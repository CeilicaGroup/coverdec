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" sheetId="1" r:id="rId5"/>
    <sheet state="visible" name="🗂️ Proyectos" sheetId="2" r:id="rId6"/>
    <sheet state="visible" name="👷horas" sheetId="3" r:id="rId7"/>
    <sheet state="hidden" name="Claude Cache" sheetId="4" r:id="rId8"/>
    <sheet state="hidden" name="📄Informe de producción" sheetId="5" r:id="rId9"/>
    <sheet state="visible" name="Plantilla horas" sheetId="6" r:id="rId10"/>
  </sheets>
  <definedNames>
    <definedName name="A156A1">'🗂️ Proyectos'!$A$156</definedName>
    <definedName hidden="1" localSheetId="0" name="_xlnm._FilterDatabase">BBDD!$G$1:$J$121</definedName>
    <definedName hidden="1" localSheetId="1" name="_xlnm._FilterDatabase">'🗂️ Proyectos'!$A$1:$R$258</definedName>
    <definedName hidden="1" localSheetId="2" name="_xlnm._FilterDatabase">'👷horas'!$A$1:$M$944</definedName>
  </definedNames>
  <calcPr/>
</workbook>
</file>

<file path=xl/sharedStrings.xml><?xml version="1.0" encoding="utf-8"?>
<sst xmlns="http://schemas.openxmlformats.org/spreadsheetml/2006/main" count="7226" uniqueCount="533">
  <si>
    <t>Proyecto</t>
  </si>
  <si>
    <t>Responsable</t>
  </si>
  <si>
    <t>Lámpara</t>
  </si>
  <si>
    <t>Estado</t>
  </si>
  <si>
    <t>Área</t>
  </si>
  <si>
    <t>Proceso</t>
  </si>
  <si>
    <t>TIPO DE BASTIDOR</t>
  </si>
  <si>
    <t>General</t>
  </si>
  <si>
    <t>Hrs/m</t>
  </si>
  <si>
    <t>Ikon Light system</t>
  </si>
  <si>
    <t>Claudio Peralta</t>
  </si>
  <si>
    <t>Cruz</t>
  </si>
  <si>
    <t>Pendiente</t>
  </si>
  <si>
    <t>CNC</t>
  </si>
  <si>
    <t>BASTIDOR DE TABICA 150X12</t>
  </si>
  <si>
    <t>HRS</t>
  </si>
  <si>
    <t>MIN</t>
  </si>
  <si>
    <t>Contract +</t>
  </si>
  <si>
    <t>Ihor Alieksieiev</t>
  </si>
  <si>
    <t>Parafarmacia</t>
  </si>
  <si>
    <t>Fabricación</t>
  </si>
  <si>
    <t>Corte manual</t>
  </si>
  <si>
    <t>Ensamblaje</t>
  </si>
  <si>
    <t>IMPRIMACION M2</t>
  </si>
  <si>
    <t>Pintura</t>
  </si>
  <si>
    <t>Lijado y/o Masillado</t>
  </si>
  <si>
    <t>Ceilica</t>
  </si>
  <si>
    <t>Serhii Kotluienko</t>
  </si>
  <si>
    <t>Gracos</t>
  </si>
  <si>
    <t>Terminada</t>
  </si>
  <si>
    <t>Colocación de perfiles</t>
  </si>
  <si>
    <t>Imprimación/Pintura</t>
  </si>
  <si>
    <t>Cullera</t>
  </si>
  <si>
    <t>Tetiana Mesriakin</t>
  </si>
  <si>
    <t>Gracos 2</t>
  </si>
  <si>
    <t>Embalaje/carga/descarga material</t>
  </si>
  <si>
    <t>PINTURA M2</t>
  </si>
  <si>
    <t>Picanya</t>
  </si>
  <si>
    <t>John Castelblanco</t>
  </si>
  <si>
    <t>Hair</t>
  </si>
  <si>
    <t>Druni cc la Villa (Canarias)</t>
  </si>
  <si>
    <t>Cesar Rodriguez</t>
  </si>
  <si>
    <t>Palmera</t>
  </si>
  <si>
    <t>IMPRIMACION TABICA TRASERA</t>
  </si>
  <si>
    <t>Druni cc las arenas (Canarias)</t>
  </si>
  <si>
    <t>Instalador</t>
  </si>
  <si>
    <t>Techo palmera</t>
  </si>
  <si>
    <t>Pegado de composite/chapa</t>
  </si>
  <si>
    <t>BASTIDOR DE TABICA 150X12 COMPLETO</t>
  </si>
  <si>
    <t>Druni Cordoba fase 2</t>
  </si>
  <si>
    <t>Daniil Shcheglov</t>
  </si>
  <si>
    <t>Pilar Palmera</t>
  </si>
  <si>
    <t>BYD Tarragona</t>
  </si>
  <si>
    <t>Mueble palmera</t>
  </si>
  <si>
    <t>Limpieza</t>
  </si>
  <si>
    <t>BYD Paterna</t>
  </si>
  <si>
    <t>Prototipo</t>
  </si>
  <si>
    <t>Supervisión/reunión</t>
  </si>
  <si>
    <t>Selcos</t>
  </si>
  <si>
    <t>Producción</t>
  </si>
  <si>
    <t>Inventario</t>
  </si>
  <si>
    <t>Arenal CC Marineda</t>
  </si>
  <si>
    <t>Selcos metacrilato</t>
  </si>
  <si>
    <t>Transporte material</t>
  </si>
  <si>
    <t>Prueba</t>
  </si>
  <si>
    <t>Cromado</t>
  </si>
  <si>
    <t>Descarga de material</t>
  </si>
  <si>
    <t>BASTIDOR DE TABICA CURVA 150X12</t>
  </si>
  <si>
    <t>Arenal el rosal</t>
  </si>
  <si>
    <t>Ameba</t>
  </si>
  <si>
    <t>Limpieza de cabina</t>
  </si>
  <si>
    <t>Druni cc Lìlla</t>
  </si>
  <si>
    <t>Punto</t>
  </si>
  <si>
    <t>Limpieza puesto de trabajo</t>
  </si>
  <si>
    <t>Hotel - Ana</t>
  </si>
  <si>
    <t>Mantenimiento</t>
  </si>
  <si>
    <t>Druni CC los alcores</t>
  </si>
  <si>
    <t>Curvas madera</t>
  </si>
  <si>
    <t>Colocar tela</t>
  </si>
  <si>
    <t>Druni Corralejo</t>
  </si>
  <si>
    <t>Revestimiento</t>
  </si>
  <si>
    <t>Trabajo en nave 3</t>
  </si>
  <si>
    <t>Druni Morrojable</t>
  </si>
  <si>
    <t>Ranura para placas</t>
  </si>
  <si>
    <t>Preparación de material</t>
  </si>
  <si>
    <t>BASTIDOR DE TABICA CURVA 150X12 COMPLETO</t>
  </si>
  <si>
    <t>Proveedor</t>
  </si>
  <si>
    <t>Canopi</t>
  </si>
  <si>
    <t>Arandelas</t>
  </si>
  <si>
    <t>Druni CC Safari</t>
  </si>
  <si>
    <t>Caja chapa</t>
  </si>
  <si>
    <t>Druni CC Meridiano fase 2</t>
  </si>
  <si>
    <t>Plantillas</t>
  </si>
  <si>
    <t>Druni CC Biosfera</t>
  </si>
  <si>
    <t>Escalera</t>
  </si>
  <si>
    <t>Urbysol</t>
  </si>
  <si>
    <t>Nave</t>
  </si>
  <si>
    <t>BASTIDOR NORMAL 150</t>
  </si>
  <si>
    <t>Druni Catarroja</t>
  </si>
  <si>
    <t>Transporte</t>
  </si>
  <si>
    <t>Druni Aguilas</t>
  </si>
  <si>
    <t>Bastidor Sol</t>
  </si>
  <si>
    <t>Arenal Ourense</t>
  </si>
  <si>
    <t>Bastidor Sol plus</t>
  </si>
  <si>
    <t>Carga de lámparas/material</t>
  </si>
  <si>
    <t>Estudio Ama</t>
  </si>
  <si>
    <t>Varias lamparas</t>
  </si>
  <si>
    <t>Casadecor</t>
  </si>
  <si>
    <t>Machimbrado</t>
  </si>
  <si>
    <t>BASTIDOR NORMAL 100</t>
  </si>
  <si>
    <t>Druni Maisonnave Alicante</t>
  </si>
  <si>
    <t>supervisión</t>
  </si>
  <si>
    <t>Novodecor</t>
  </si>
  <si>
    <t>Gestión nave</t>
  </si>
  <si>
    <t>Druni Torre del mar</t>
  </si>
  <si>
    <t>Registro</t>
  </si>
  <si>
    <t>Druni cc la Vie</t>
  </si>
  <si>
    <t>Perfil tela</t>
  </si>
  <si>
    <t>NOVODECOR Delybreads</t>
  </si>
  <si>
    <t>Perfil grand</t>
  </si>
  <si>
    <t>Druni cc Leon</t>
  </si>
  <si>
    <t>Pasillo</t>
  </si>
  <si>
    <t>BASTIDOR NORMAL 50</t>
  </si>
  <si>
    <t>Arenal vialia</t>
  </si>
  <si>
    <t>Bastidor normal 150</t>
  </si>
  <si>
    <t>Druni X Madrid</t>
  </si>
  <si>
    <t>Bastidor normal 100</t>
  </si>
  <si>
    <t>Saiho</t>
  </si>
  <si>
    <t>Caja de envío</t>
  </si>
  <si>
    <t>Druni Baricentro</t>
  </si>
  <si>
    <t>Reunión</t>
  </si>
  <si>
    <t>Druni Añaza</t>
  </si>
  <si>
    <t>Mueble</t>
  </si>
  <si>
    <t>Druni Parc Central</t>
  </si>
  <si>
    <t>Rayos</t>
  </si>
  <si>
    <t>HAIR - ESPEJO</t>
  </si>
  <si>
    <t>Culdesac-Coldculture</t>
  </si>
  <si>
    <t>Sol dinámico</t>
  </si>
  <si>
    <t>Druni PonteVella</t>
  </si>
  <si>
    <t>Curvas</t>
  </si>
  <si>
    <t>BYD Barcelona</t>
  </si>
  <si>
    <t>Focos Nakamuta</t>
  </si>
  <si>
    <t>YPLUSFIVE</t>
  </si>
  <si>
    <t>Lineales</t>
  </si>
  <si>
    <t>Guerola oficinas Colon</t>
  </si>
  <si>
    <t>Estanteria</t>
  </si>
  <si>
    <t>Bastidor separador</t>
  </si>
  <si>
    <t>CURVA SIMPLE</t>
  </si>
  <si>
    <t>Techo Stand</t>
  </si>
  <si>
    <t>Bastidor tela y metacrilato</t>
  </si>
  <si>
    <t>Policarbonato</t>
  </si>
  <si>
    <t>Bastidor especial</t>
  </si>
  <si>
    <t>Malla Saiho</t>
  </si>
  <si>
    <t>Sol</t>
  </si>
  <si>
    <t>CURVA DOBLE</t>
  </si>
  <si>
    <t>Pilar</t>
  </si>
  <si>
    <t>Cupula</t>
  </si>
  <si>
    <t>Prototipo 2</t>
  </si>
  <si>
    <t>Prototipo 3</t>
  </si>
  <si>
    <t>Capsula</t>
  </si>
  <si>
    <t>Caja</t>
  </si>
  <si>
    <t>CANOPI</t>
  </si>
  <si>
    <t>BASTIDOR DE METACRILATO RECTO</t>
  </si>
  <si>
    <t>BASTIDOR DE METACRILATO CURVO</t>
  </si>
  <si>
    <t>BASTIDOR DE TABICA 300X12</t>
  </si>
  <si>
    <t>BASTIDOR DE TABICA CURVA 300X12</t>
  </si>
  <si>
    <t>CUPULA DE MADERA</t>
  </si>
  <si>
    <t>CUPULA DE COMPOSITE</t>
  </si>
  <si>
    <t>BASTIDOR SEPARADOR DE SOL</t>
  </si>
  <si>
    <t>RANURA PARA CHAPA</t>
  </si>
  <si>
    <t>MALLA SAIHO VEGETACION</t>
  </si>
  <si>
    <t>BASTIDOR ESPECIAL CURVA CULDESAC</t>
  </si>
  <si>
    <t>PREPARACION DE CHAPA</t>
  </si>
  <si>
    <t>ESTANTERIA CULDESAC - PERFIL METACRILATO</t>
  </si>
  <si>
    <t>BASTIDOR DE TABICA FINO CURVO 240X12</t>
  </si>
  <si>
    <t>BASTIDOR DE TABICA FINO CURVO 240X12 - REVESTIMIENTO</t>
  </si>
  <si>
    <t>TIEMPO PRESUPUESTO</t>
  </si>
  <si>
    <t>TIEMPO NO COBRADO</t>
  </si>
  <si>
    <t>PROTOTIPO</t>
  </si>
  <si>
    <t>Lampara</t>
  </si>
  <si>
    <t>Tipo_bastidor</t>
  </si>
  <si>
    <t>Medida</t>
  </si>
  <si>
    <t>Fecha_de_entrega</t>
  </si>
  <si>
    <t>Hr_plan</t>
  </si>
  <si>
    <t>Hr_total</t>
  </si>
  <si>
    <t>Hr_normal</t>
  </si>
  <si>
    <t>Hr_extra</t>
  </si>
  <si>
    <t>Prom/hr</t>
  </si>
  <si>
    <t>Hr_Pend</t>
  </si>
  <si>
    <t>Desviación</t>
  </si>
  <si>
    <t>%_Avance</t>
  </si>
  <si>
    <t>Estado_proyecto</t>
  </si>
  <si>
    <t>Avance</t>
  </si>
  <si>
    <t>Terminado</t>
  </si>
  <si>
    <t>Malla saiho</t>
  </si>
  <si>
    <t>En proceso</t>
  </si>
  <si>
    <t>Timestamp</t>
  </si>
  <si>
    <t>Fecha</t>
  </si>
  <si>
    <t>Operario</t>
  </si>
  <si>
    <t>Hora Inicio</t>
  </si>
  <si>
    <t>Hora Fin</t>
  </si>
  <si>
    <t>Horas Normales</t>
  </si>
  <si>
    <t>Horas Extras</t>
  </si>
  <si>
    <t>Observaciones</t>
  </si>
  <si>
    <t>Corte máquina cnc</t>
  </si>
  <si>
    <t>y llevar a nave 1</t>
  </si>
  <si>
    <t>Imprimación</t>
  </si>
  <si>
    <t>Carga de Material</t>
  </si>
  <si>
    <t>Organizar zona estanterias chapas y zona de materiales</t>
  </si>
  <si>
    <t>Cargar a contenedor todas las lámparas de La villa</t>
  </si>
  <si>
    <t>Cargar a contenedor todas las lámparas de las arenas</t>
  </si>
  <si>
    <t>Pegar chapa a contrachapado para pruebas</t>
  </si>
  <si>
    <t>Hacer inventario general</t>
  </si>
  <si>
    <t>Limpieza de nave nueva</t>
  </si>
  <si>
    <t>Apoyo a Ikon en iluminación</t>
  </si>
  <si>
    <t xml:space="preserve">Limpieza e inventario </t>
  </si>
  <si>
    <t>Llevar material a Cullera</t>
  </si>
  <si>
    <t>Trabajando en nave 3 para ayudar a terminar proyecto</t>
  </si>
  <si>
    <t>Trabajar en Ikon Light system - apoyo en tareas</t>
  </si>
  <si>
    <t>Inventario de pintura (peso y cantidades)</t>
  </si>
  <si>
    <t>ranura hembre y macho para machimbrado</t>
  </si>
  <si>
    <t>Corte de composite</t>
  </si>
  <si>
    <t>inventario de pintura (peso y cantidades)</t>
  </si>
  <si>
    <t>Corte de composte espejo</t>
  </si>
  <si>
    <t>Ensamble de estructura</t>
  </si>
  <si>
    <t>Corte manual de MDF y esquinas de composite para pegado mejor</t>
  </si>
  <si>
    <t>Inventario de chapa ocean blue, composite dorado (sobrantes)</t>
  </si>
  <si>
    <t>Limpieza de zona</t>
  </si>
  <si>
    <t>ensamble de cruz</t>
  </si>
  <si>
    <t>Gestión de nave</t>
  </si>
  <si>
    <t xml:space="preserve">Transporte de material a empresa de curvado </t>
  </si>
  <si>
    <t>Llevar material para fabricación en nave 3</t>
  </si>
  <si>
    <t>Pegar chapa a contrachapado</t>
  </si>
  <si>
    <t>Fresado para pasar cable</t>
  </si>
  <si>
    <t>Corte manual para curvar</t>
  </si>
  <si>
    <t>Lijado y masillado</t>
  </si>
  <si>
    <t>Busqeuda de maquinaria</t>
  </si>
  <si>
    <t>Embalar</t>
  </si>
  <si>
    <t>Debido a la poca producción, realizo proceso durante la jornada</t>
  </si>
  <si>
    <t>Ensamblaje acrílico para Vlad</t>
  </si>
  <si>
    <t>Corte de fajas</t>
  </si>
  <si>
    <t>Corte de composite en tiras</t>
  </si>
  <si>
    <t>Transporte de material a nave 3</t>
  </si>
  <si>
    <t>Ensamble</t>
  </si>
  <si>
    <t>Llevar material a nave 1</t>
  </si>
  <si>
    <t>Limpieza revisar material estanteria</t>
  </si>
  <si>
    <t>Lijado imprimación y empapelado</t>
  </si>
  <si>
    <t>Descargar del camión material</t>
  </si>
  <si>
    <t>Pegado de espumado y composite, prueba de pegamento</t>
  </si>
  <si>
    <t>Recoger composite</t>
  </si>
  <si>
    <t xml:space="preserve">Preparar y compactar material en hueco piso </t>
  </si>
  <si>
    <t>Ensamblar + preprarar ranura, lijar</t>
  </si>
  <si>
    <t>Embalar material y llevarlo a nave 1</t>
  </si>
  <si>
    <t>Lijado de pieza</t>
  </si>
  <si>
    <t xml:space="preserve">Losa, hueco del pieso </t>
  </si>
  <si>
    <t xml:space="preserve">Corte manual de perfil para curvado </t>
  </si>
  <si>
    <t>Masillado de cruz</t>
  </si>
  <si>
    <t>Llevar material a nave 3 y traer perfil para curvar</t>
  </si>
  <si>
    <t xml:space="preserve">Corte de perfil para curvado </t>
  </si>
  <si>
    <t>Masillar</t>
  </si>
  <si>
    <t>Prueba cromo perfiles munich o agolar</t>
  </si>
  <si>
    <t>Recoger material comprado en obramat para losa de nave 2</t>
  </si>
  <si>
    <t>Colocar perfiles</t>
  </si>
  <si>
    <t>Embalar cruz</t>
  </si>
  <si>
    <t>Lijar cruz</t>
  </si>
  <si>
    <t>Pegar composite cuña de Lilla a contrachapado</t>
  </si>
  <si>
    <t>Limpieza de nave</t>
  </si>
  <si>
    <t>limpieza, lijado y masillado</t>
  </si>
  <si>
    <t>ensamble, ranura, corte de material</t>
  </si>
  <si>
    <t>ensamble de cilindro de 400</t>
  </si>
  <si>
    <t>Ensamblar, preparación de material</t>
  </si>
  <si>
    <t>Planificación proyecto alcores</t>
  </si>
  <si>
    <t>Lijar amebas</t>
  </si>
  <si>
    <t>Medición y corte de perfil</t>
  </si>
  <si>
    <t xml:space="preserve">Pegar </t>
  </si>
  <si>
    <t xml:space="preserve">Fresado de canto </t>
  </si>
  <si>
    <t>Se planifico junto con Claudio, para llegar con los tiempos</t>
  </si>
  <si>
    <t>Lijar y masillar</t>
  </si>
  <si>
    <t>Ensamblar saiho</t>
  </si>
  <si>
    <t>Lijado de piezas</t>
  </si>
  <si>
    <t>Verificar calidad, y revisar todas las tiendas</t>
  </si>
  <si>
    <t>Limpieza de cabina de pintura</t>
  </si>
  <si>
    <t>Corte de material y ensamblaje</t>
  </si>
  <si>
    <t>Pegar composite espejo a contrachapado</t>
  </si>
  <si>
    <t xml:space="preserve">Lijado después de imprimación </t>
  </si>
  <si>
    <t>Limpieza de zona de trabajo</t>
  </si>
  <si>
    <t>Ensamblar lámparas</t>
  </si>
  <si>
    <t xml:space="preserve">Prueba de moldura color madera </t>
  </si>
  <si>
    <t>Embalaje</t>
  </si>
  <si>
    <t>Se reunió con Oleh Zab</t>
  </si>
  <si>
    <t>Prueba de moldura color oro</t>
  </si>
  <si>
    <t>Lijar antes de imprimación</t>
  </si>
  <si>
    <t>Cargar material a caja para enviar a tienda</t>
  </si>
  <si>
    <t>Corte de perfiles y llevar a nave 1</t>
  </si>
  <si>
    <t>Lijar después de imprimación</t>
  </si>
  <si>
    <t>Embalar lámpara pendiente</t>
  </si>
  <si>
    <t>Pintura rosa</t>
  </si>
  <si>
    <t>Prueba Stardust</t>
  </si>
  <si>
    <t>Fresado de canto</t>
  </si>
  <si>
    <t>Revisando materiales, planos de muebles</t>
  </si>
  <si>
    <t>Perdio 1 hora reunidos entre Serhii, Ihor y Tetiana 12:30-13:30</t>
  </si>
  <si>
    <t>Se perdio 0,5hr de 7-7:30</t>
  </si>
  <si>
    <t>Lijar después de imprimación y empapelar</t>
  </si>
  <si>
    <t>Lijado , limpieza, masillado, empapelado</t>
  </si>
  <si>
    <t>Prueba de cromo</t>
  </si>
  <si>
    <t>Limpieza cabina</t>
  </si>
  <si>
    <t>Pintar</t>
  </si>
  <si>
    <t>ensamblar circulo</t>
  </si>
  <si>
    <t>Lijar</t>
  </si>
  <si>
    <t>Colocar perfil</t>
  </si>
  <si>
    <t>Lijar, masillar y empapelar</t>
  </si>
  <si>
    <t>Quitar papel de pintura</t>
  </si>
  <si>
    <t>Repintado gracos 230</t>
  </si>
  <si>
    <t>Limpieza filtros de pintura</t>
  </si>
  <si>
    <t xml:space="preserve">Acompañar a Sergio Kolchack a traer caddic </t>
  </si>
  <si>
    <t>pegar espejo</t>
  </si>
  <si>
    <t>Sellado de perfil con silicona</t>
  </si>
  <si>
    <t>Llevar a Sergio y luego recogerlo</t>
  </si>
  <si>
    <t>Cortar perfil y en trozos para curvar</t>
  </si>
  <si>
    <t>Preparar composite espejo plata 3,05x1,25</t>
  </si>
  <si>
    <t>Embalar ameba</t>
  </si>
  <si>
    <t>Ayudar a embalar Malla Saiho</t>
  </si>
  <si>
    <t>GB blue</t>
  </si>
  <si>
    <t>Ensamblar</t>
  </si>
  <si>
    <t>Limpieza de zona de trabajo general</t>
  </si>
  <si>
    <t>Mdf 19</t>
  </si>
  <si>
    <t>Mdf 30</t>
  </si>
  <si>
    <t>Corte de fajas y explicar a instaladores cual sería la mejor forma</t>
  </si>
  <si>
    <t>Estilo único - David Ventaja</t>
  </si>
  <si>
    <t>Corte y embalaje de perfil, corte a 1m</t>
  </si>
  <si>
    <t>Definicion de detalles</t>
  </si>
  <si>
    <t>Empapelado</t>
  </si>
  <si>
    <t>Corte de ocean gold y embalaje</t>
  </si>
  <si>
    <t>Reunión con Oleh, con Cesar y luego reunión general</t>
  </si>
  <si>
    <t xml:space="preserve">Traer material de nave 3 a nave 2 </t>
  </si>
  <si>
    <t xml:space="preserve">Preparar material de nave 3 para traer a nave 2 </t>
  </si>
  <si>
    <t>Corte de PVC a 2 medidas con canal para prueba de tela PDK</t>
  </si>
  <si>
    <t>PROTOTIPO PARA CULDESAC ESTANTERIA</t>
  </si>
  <si>
    <t>Colchon y otros pedidos de Sergio Kolc</t>
  </si>
  <si>
    <t>Corte de perfil</t>
  </si>
  <si>
    <t>Hacer tacos, huecos, colocar PVC con perfil</t>
  </si>
  <si>
    <t>Corte de piezas</t>
  </si>
  <si>
    <t>Corte de pieza para prueba</t>
  </si>
  <si>
    <t>Corte de perfil, pegar perfil, ayudar en el proceso</t>
  </si>
  <si>
    <t>PROTOTIPO PARA CULDESAC ESTANTERIA ayudar a Claudio</t>
  </si>
  <si>
    <t>Contrachapado</t>
  </si>
  <si>
    <t>imprimación</t>
  </si>
  <si>
    <t>Limpieza y cambio de máquina, se daño</t>
  </si>
  <si>
    <t>Druni Ficxa</t>
  </si>
  <si>
    <t>preparar y embalar chapas</t>
  </si>
  <si>
    <t>Prototipo de perfil metacrilato, pruebas con Oleh y lijar</t>
  </si>
  <si>
    <t>Lijar perfil PROTOTIPO PARA CULDESAC ESTANTERIA</t>
  </si>
  <si>
    <t>Tralado de lámparas a nave 1</t>
  </si>
  <si>
    <t>Pegado de espejo</t>
  </si>
  <si>
    <t>Corte de espejo</t>
  </si>
  <si>
    <t>Canto</t>
  </si>
  <si>
    <t>Cargar contenedor para envío a islas canarias</t>
  </si>
  <si>
    <t>Sacar coches, preparar la caja y el palet para envío</t>
  </si>
  <si>
    <t>Solo imprimación</t>
  </si>
  <si>
    <t>Corte solamente</t>
  </si>
  <si>
    <t>Organizando caja de chapas</t>
  </si>
  <si>
    <t>Instalar estanterias</t>
  </si>
  <si>
    <t>Organizar estanterias</t>
  </si>
  <si>
    <t>Colocar Techo del stand, para luego ubicar el mueble</t>
  </si>
  <si>
    <t>Descargar palets</t>
  </si>
  <si>
    <t xml:space="preserve">Ensamblar Flexible y estructura y hacer ranura para perfil </t>
  </si>
  <si>
    <t>Preparación de material MDF 12, flexible 9 y mdf 3 para catarroja y aguilas</t>
  </si>
  <si>
    <t>Descargar 8 palets nave 3</t>
  </si>
  <si>
    <t>Conteo de chapas</t>
  </si>
  <si>
    <t>Pegar MDF 3</t>
  </si>
  <si>
    <t>Mover chapas para poder ubicar chapas para envío, ya que son chapas que no se usa</t>
  </si>
  <si>
    <t>Tralado a nave 1</t>
  </si>
  <si>
    <t>Sellar perfil ensamblado.</t>
  </si>
  <si>
    <t>Estructura</t>
  </si>
  <si>
    <t xml:space="preserve">Limpieza de pistolas </t>
  </si>
  <si>
    <t>Reunión y verificación con Nubia</t>
  </si>
  <si>
    <t xml:space="preserve">Masillar por perfil ensamblado </t>
  </si>
  <si>
    <t>estructura</t>
  </si>
  <si>
    <t xml:space="preserve">Traer material de nave 3 </t>
  </si>
  <si>
    <t>Corte de mariposas para bastidores</t>
  </si>
  <si>
    <t>lijado de piezas</t>
  </si>
  <si>
    <t>lijar metacrilato</t>
  </si>
  <si>
    <t>Parte trasera</t>
  </si>
  <si>
    <t>y lllevar a nave 1</t>
  </si>
  <si>
    <t>Limpieza de zona y puesto de trabajo</t>
  </si>
  <si>
    <t>Pieza faltante</t>
  </si>
  <si>
    <t>imprimacion</t>
  </si>
  <si>
    <t>Imprimacion</t>
  </si>
  <si>
    <t>Cargar a contenedor</t>
  </si>
  <si>
    <t>CARGAR CONTENEDOR</t>
  </si>
  <si>
    <t>Corte de composite tiras de 10mm</t>
  </si>
  <si>
    <t>Letras</t>
  </si>
  <si>
    <t>Recogida de material</t>
  </si>
  <si>
    <t xml:space="preserve">descargar en nave 1 </t>
  </si>
  <si>
    <t>Composite</t>
  </si>
  <si>
    <t>Contrachapada</t>
  </si>
  <si>
    <t>Lijado</t>
  </si>
  <si>
    <t>DM 30 -  lijado</t>
  </si>
  <si>
    <t>lijado de letras</t>
  </si>
  <si>
    <t xml:space="preserve">limpieza de zona de trabajo </t>
  </si>
  <si>
    <t xml:space="preserve">llevar a nave 1 </t>
  </si>
  <si>
    <t>DM 19</t>
  </si>
  <si>
    <t>Clasificación de metales</t>
  </si>
  <si>
    <t>Pegar Canto</t>
  </si>
  <si>
    <t>Cargar chatarra y arreglar patio trasero</t>
  </si>
  <si>
    <t>Corte de tiras de composite de 10 cm 200 uds</t>
  </si>
  <si>
    <t>Limpieza de aluminio</t>
  </si>
  <si>
    <t>Cargar coche chatarra</t>
  </si>
  <si>
    <t>Corte de perfiles</t>
  </si>
  <si>
    <t>Reunión con Lamello</t>
  </si>
  <si>
    <t>Bajar material de metacrilato, para corte de letra, prueba</t>
  </si>
  <si>
    <t>Descargar material</t>
  </si>
  <si>
    <t>Traer material de nave 3 y llevar material de producción</t>
  </si>
  <si>
    <t>Limpieza, orden Oleh Zab</t>
  </si>
  <si>
    <t>Fresado</t>
  </si>
  <si>
    <t>HPL</t>
  </si>
  <si>
    <t>Carga de camion</t>
  </si>
  <si>
    <t>Contrachapada 15mm</t>
  </si>
  <si>
    <t>Reforma</t>
  </si>
  <si>
    <t>Fresa y lijado de madera y plastico</t>
  </si>
  <si>
    <t>prueba de fastmount con base metálica para instalación de curvas en biosfera</t>
  </si>
  <si>
    <t xml:space="preserve">Cargar deposito en camión </t>
  </si>
  <si>
    <t>ESPEJO 3mm</t>
  </si>
  <si>
    <t>MDF12mm</t>
  </si>
  <si>
    <t>MDF 30</t>
  </si>
  <si>
    <t>Contrachapado 20</t>
  </si>
  <si>
    <t>MDf 30</t>
  </si>
  <si>
    <t>Limpieza zona de estanteria y patio, Oleh</t>
  </si>
  <si>
    <t>Ubicar estructura en el techo</t>
  </si>
  <si>
    <t>Limpieza zona de trabajo</t>
  </si>
  <si>
    <t>Desmontar estantería del patio</t>
  </si>
  <si>
    <t>Lijado después de imprimación</t>
  </si>
  <si>
    <t>contrachapado 20mm</t>
  </si>
  <si>
    <t>MDF 7mm</t>
  </si>
  <si>
    <t>contrachapado 15 mm</t>
  </si>
  <si>
    <t>espejo 3mm</t>
  </si>
  <si>
    <t xml:space="preserve">Mdf 30 </t>
  </si>
  <si>
    <t>corte de perfil y colocarlo</t>
  </si>
  <si>
    <t>Sellado</t>
  </si>
  <si>
    <t>Contrachapado 20mm</t>
  </si>
  <si>
    <t>Mdf 2.5</t>
  </si>
  <si>
    <t>lijar, empapelar</t>
  </si>
  <si>
    <t>Plantilla</t>
  </si>
  <si>
    <t>Armado</t>
  </si>
  <si>
    <t>gestion</t>
  </si>
  <si>
    <t>Contrachapado flexible 05</t>
  </si>
  <si>
    <t>cortar perfil, lijado y pegamento de metacrilato</t>
  </si>
  <si>
    <t>Pegado de flexible 5 al prototipo</t>
  </si>
  <si>
    <t>Recoger a Oleh Yefemenco</t>
  </si>
  <si>
    <t>Organización del almacenamiento específico de materiales en el Nave 2</t>
  </si>
  <si>
    <t>Aplique con Lamello</t>
  </si>
  <si>
    <t>MDF 12</t>
  </si>
  <si>
    <t>Contrachapado + chapa rosa</t>
  </si>
  <si>
    <t>Ayudar a guardar material en caja para añaza</t>
  </si>
  <si>
    <t>Aprendiendo imprimación</t>
  </si>
  <si>
    <t>ensenar a danil como preparar fondo. regular pistola etc</t>
  </si>
  <si>
    <t>acomodar material</t>
  </si>
  <si>
    <t>EXPLICACION A IHOR</t>
  </si>
  <si>
    <t xml:space="preserve">Pegado de led junto con Daniil </t>
  </si>
  <si>
    <t>Pegado de led junto con Tetiana</t>
  </si>
  <si>
    <t>Enseñandole a colocar imprimación</t>
  </si>
  <si>
    <t>Enviada por Oleh Zab</t>
  </si>
  <si>
    <t>Organizar estanteria para colgar lámpara e ir a nave 3 por material y colgar</t>
  </si>
  <si>
    <t xml:space="preserve">instalar gripple para colgar </t>
  </si>
  <si>
    <t>.</t>
  </si>
  <si>
    <t>Ayudar a Claudio con corte a 45º del composite espejo cepillado</t>
  </si>
  <si>
    <t>Organizar estanteria para colgar lámpara y colgar</t>
  </si>
  <si>
    <t>Corte de policarbonato</t>
  </si>
  <si>
    <t>Colocar imprimación a pincel, por quitar el perfil y ubicar más abajo</t>
  </si>
  <si>
    <t>Pegado de composite junto con Ihor</t>
  </si>
  <si>
    <t>Bastidor para mostrar a cliente, pedido Oleh</t>
  </si>
  <si>
    <t>Bastidor pedido de Oleh</t>
  </si>
  <si>
    <t xml:space="preserve">Perfiles negro </t>
  </si>
  <si>
    <t>⚠️ SHEET RESERVED FOR =CLAUDE... FUNCTIONS. DO NOT EDIT! ⚠️</t>
  </si>
  <si>
    <t>Key</t>
  </si>
  <si>
    <t>Value</t>
  </si>
  <si>
    <t>Expiration</t>
  </si>
  <si>
    <t>📈 INFORME DE PRODUCCIÓN</t>
  </si>
  <si>
    <t>RESUMEN EJECUTIVO</t>
  </si>
  <si>
    <t>Periodo</t>
  </si>
  <si>
    <t>Fecha de inicio</t>
  </si>
  <si>
    <t>Fecha parcial/fin</t>
  </si>
  <si>
    <t>Días</t>
  </si>
  <si>
    <t>MÉTRICAS PRINCIPALES:</t>
  </si>
  <si>
    <t>━━━━━━━━━━━━━━━━━━━━━━━━━━━━━━━━━━━━━━━━━━━━━━━━━━━━━━━━━━━━━━━━━━━━━</t>
  </si>
  <si>
    <t>Total de metros producidos:</t>
  </si>
  <si>
    <t>m</t>
  </si>
  <si>
    <t>Total de m2 producidos:</t>
  </si>
  <si>
    <t>m2</t>
  </si>
  <si>
    <t>Total de horas trabajadas:</t>
  </si>
  <si>
    <t>hrs</t>
  </si>
  <si>
    <t>hrs proyectadas</t>
  </si>
  <si>
    <t>Tiempo promedio por m</t>
  </si>
  <si>
    <t>hrs/m</t>
  </si>
  <si>
    <t>Eficiencia</t>
  </si>
  <si>
    <t>hr</t>
  </si>
  <si>
    <t>Número de operarios:</t>
  </si>
  <si>
    <t>Cantidad de lámparas</t>
  </si>
  <si>
    <t>DISTRIBUCIÓN POR ÁREA Y BASTIDOR:</t>
  </si>
  <si>
    <t>Hora normal</t>
  </si>
  <si>
    <t>Hora extra</t>
  </si>
  <si>
    <t>Hora total</t>
  </si>
  <si>
    <t>Hora plan</t>
  </si>
  <si>
    <t>Horas totales</t>
  </si>
  <si>
    <t>ANALISIS MO COSTE:</t>
  </si>
  <si>
    <t>PVP</t>
  </si>
  <si>
    <t>Coste pto</t>
  </si>
  <si>
    <t>Coste real</t>
  </si>
  <si>
    <t>Coste esperado</t>
  </si>
  <si>
    <t>Diferencia</t>
  </si>
  <si>
    <t>%margen utilidad</t>
  </si>
  <si>
    <t>TOTAL</t>
  </si>
  <si>
    <t>Promedio</t>
  </si>
  <si>
    <t>Tiempo cnc, ensamblaje, embalaje y pintura menor en un 16,67% de lo estimado</t>
  </si>
  <si>
    <t>Tiempo colocación de perfiles, lijado y/o masillado mayor en un 48,09% de lo estimado</t>
  </si>
  <si>
    <r>
      <rPr>
        <rFont val="Arial"/>
        <b/>
        <color theme="1"/>
      </rPr>
      <t>Nota</t>
    </r>
    <r>
      <rPr>
        <rFont val="Arial"/>
        <color theme="1"/>
      </rPr>
      <t>: Coste esperado: coste sin horas extras</t>
    </r>
  </si>
  <si>
    <t>OBSERVACIONES Y RECOMENDACIONES:</t>
  </si>
  <si>
    <t>━━━━━━━━━━━━━━━━━━━━━━━━━━━━━━━━━━━━━━━━━━━━━━━━━━━━━━━━━━━━━━</t>
  </si>
  <si>
    <t xml:space="preserve">Se recibio el pedido a producción el 16 febrero </t>
  </si>
  <si>
    <t>Primera entrega el 20 febrero</t>
  </si>
  <si>
    <t>Segunda entrega el 02 marzo - se pospuso el 27 febrero para entrega al 04 marzo</t>
  </si>
  <si>
    <t xml:space="preserve">Se realizarón horas extras, debido a los tiempos de pedido del proyecto inicialmente pactados. </t>
  </si>
  <si>
    <t>Se ajusto planning para no realizar más horas extras después de posponer la segunda entrega.</t>
  </si>
  <si>
    <t>Orden de fabricación diaria</t>
  </si>
  <si>
    <t xml:space="preserve">Responsable: </t>
  </si>
  <si>
    <t>Fecha:</t>
  </si>
  <si>
    <t>Prioridad</t>
  </si>
  <si>
    <t>Luminaria</t>
  </si>
  <si>
    <t>Tarea</t>
  </si>
  <si>
    <t>Cantidad</t>
  </si>
  <si>
    <t>Estimado</t>
  </si>
  <si>
    <t>Real</t>
  </si>
  <si>
    <t>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</si>
</sst>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dd&quot;,  &quot;d&quot; &quot;mmmm"/>
    <numFmt numFmtId="165" formatCode="0.000"/>
    <numFmt numFmtId="166" formatCode="0.0%"/>
    <numFmt numFmtId="167" formatCode="0.0"/>
    <numFmt numFmtId="168" formatCode="M/d/yyyy"/>
    <numFmt numFmtId="169" formatCode="d/m/yyyy"/>
    <numFmt numFmtId="170" formatCode="m/d/yyyy h:mm:ss"/>
    <numFmt numFmtId="171" formatCode="yyyy-mm-dd"/>
    <numFmt numFmtId="172" formatCode="d/MM/yyyy"/>
    <numFmt numFmtId="173" formatCode="#,##0.00\ [$€-1]"/>
    <numFmt numFmtId="174" formatCode="dd/mm/yyyy"/>
  </numFmts>
  <fonts count="24">
    <font>
      <sz val="10.0"/>
      <color rgb="FF000000"/>
      <name val="Arial"/>
      <scheme val="minor"/>
    </font>
    <font>
      <sz val="12.0"/>
      <color rgb="FFFFFFFF"/>
      <name val="Arial"/>
    </font>
    <font>
      <b/>
      <sz val="12.0"/>
      <color rgb="FFFFFFFF"/>
      <name val="Arial"/>
    </font>
    <font>
      <sz val="12.0"/>
      <color rgb="FF000000"/>
      <name val="Arial"/>
    </font>
    <font>
      <color theme="1"/>
      <name val="Arial"/>
      <scheme val="minor"/>
    </font>
    <font>
      <color rgb="FF434343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0.0"/>
      <color rgb="FF000000"/>
      <name val="Merriweather"/>
    </font>
    <font>
      <b/>
      <sz val="10.0"/>
      <color rgb="FFFFFFFF"/>
      <name val="Merriweather"/>
    </font>
    <font>
      <sz val="10.0"/>
      <color theme="1"/>
      <name val="Merriweather"/>
    </font>
    <font>
      <b/>
      <color theme="1"/>
      <name val="Arial"/>
      <scheme val="minor"/>
    </font>
    <font>
      <i/>
      <sz val="20.0"/>
      <color rgb="FFAAAAAA"/>
      <name val="Arial"/>
    </font>
    <font>
      <b/>
      <sz val="12.0"/>
      <color rgb="FF1F4E78"/>
      <name val="Cambria"/>
    </font>
    <font>
      <sz val="11.0"/>
      <color rgb="FFCCCCCC"/>
      <name val="Cambria"/>
    </font>
    <font>
      <sz val="11.0"/>
      <color rgb="FF000000"/>
      <name val="Calibri"/>
    </font>
    <font>
      <i/>
      <color rgb="FFAAAAAA"/>
      <name val="Arial"/>
    </font>
    <font>
      <color rgb="FF000000"/>
      <name val="Arial"/>
      <scheme val="minor"/>
    </font>
    <font>
      <b/>
      <sz val="11.0"/>
      <color rgb="FF000000"/>
      <name val="Calibri"/>
    </font>
    <font>
      <sz val="25.0"/>
      <color theme="1"/>
      <name val="Montserrat"/>
    </font>
    <font>
      <b/>
      <sz val="25.0"/>
      <color theme="1"/>
      <name val="Montserrat"/>
    </font>
    <font>
      <sz val="25.0"/>
      <color rgb="FF000000"/>
      <name val="Montserrat"/>
    </font>
    <font/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40E30"/>
        <bgColor rgb="FF040E30"/>
      </patternFill>
    </fill>
    <fill>
      <patternFill patternType="solid">
        <fgColor rgb="FF1A1A2E"/>
        <bgColor rgb="FF1A1A2E"/>
      </patternFill>
    </fill>
    <fill>
      <patternFill patternType="solid">
        <fgColor theme="0"/>
        <bgColor theme="0"/>
      </patternFill>
    </fill>
  </fills>
  <borders count="3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91A00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3" numFmtId="2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shrinkToFit="0" vertical="center" wrapText="0"/>
    </xf>
    <xf borderId="2" fillId="0" fontId="3" numFmtId="2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2" fillId="0" fontId="3" numFmtId="2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2" fillId="0" fontId="3" numFmtId="2" xfId="0" applyAlignment="1" applyBorder="1" applyFont="1" applyNumberFormat="1">
      <alignment horizontal="center" shrinkToFit="0" vertical="center" wrapText="0"/>
    </xf>
    <xf borderId="0" fillId="0" fontId="3" numFmtId="2" xfId="0" applyAlignment="1" applyFont="1" applyNumberFormat="1">
      <alignment horizontal="center"/>
    </xf>
    <xf borderId="3" fillId="2" fontId="5" numFmtId="0" xfId="0" applyBorder="1" applyFont="1"/>
    <xf borderId="0" fillId="2" fontId="3" numFmtId="0" xfId="0" applyAlignment="1" applyFont="1">
      <alignment horizontal="left" readingOrder="0" shrinkToFit="0" vertical="center" wrapText="0"/>
    </xf>
    <xf borderId="2" fillId="0" fontId="3" numFmtId="2" xfId="0" applyAlignment="1" applyBorder="1" applyFont="1" applyNumberFormat="1">
      <alignment horizontal="center" shrinkToFit="0" wrapText="0"/>
    </xf>
    <xf borderId="0" fillId="3" fontId="3" numFmtId="0" xfId="0" applyAlignment="1" applyFont="1">
      <alignment horizontal="center" readingOrder="0" shrinkToFit="0" vertical="center" wrapText="0"/>
    </xf>
    <xf borderId="0" fillId="0" fontId="3" numFmtId="2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6" numFmtId="4" xfId="0" applyAlignment="1" applyFont="1" applyNumberForma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6" numFmtId="10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4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4" xfId="0" applyAlignment="1" applyFont="1" applyNumberFormat="1">
      <alignment horizontal="center" shrinkToFit="0" vertical="center" wrapText="0"/>
    </xf>
    <xf borderId="0" fillId="0" fontId="6" numFmtId="2" xfId="0" applyAlignment="1" applyFont="1" applyNumberFormat="1">
      <alignment horizontal="center" shrinkToFit="0" vertical="center" wrapText="0"/>
    </xf>
    <xf borderId="0" fillId="0" fontId="6" numFmtId="2" xfId="0" applyAlignment="1" applyFont="1" applyNumberFormat="1">
      <alignment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6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shrinkToFit="0" vertical="center" wrapText="0"/>
    </xf>
    <xf borderId="1" fillId="2" fontId="8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4" xfId="0" applyAlignment="1" applyFont="1" applyNumberForma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6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4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center" wrapText="0"/>
    </xf>
    <xf borderId="0" fillId="0" fontId="6" numFmtId="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0" fillId="0" fontId="6" numFmtId="2" xfId="0" applyAlignment="1" applyFont="1" applyNumberFormat="1">
      <alignment horizontal="center" shrinkToFit="0" vertical="center" wrapText="0"/>
    </xf>
    <xf borderId="0" fillId="0" fontId="6" numFmtId="2" xfId="0" applyAlignment="1" applyFont="1" applyNumberFormat="1">
      <alignment shrinkToFit="0" vertical="center" wrapText="0"/>
    </xf>
    <xf borderId="0" fillId="0" fontId="7" numFmtId="4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4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4" xfId="0" applyFont="1" applyNumberFormat="1"/>
    <xf borderId="0" fillId="4" fontId="10" numFmtId="0" xfId="0" applyAlignment="1" applyFill="1" applyFont="1">
      <alignment horizontal="center" readingOrder="0"/>
    </xf>
    <xf borderId="0" fillId="4" fontId="10" numFmtId="168" xfId="0" applyAlignment="1" applyFont="1" applyNumberFormat="1">
      <alignment horizontal="center" readingOrder="0"/>
    </xf>
    <xf borderId="0" fillId="4" fontId="10" numFmtId="2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2" fontId="9" numFmtId="168" xfId="0" applyAlignment="1" applyFont="1" applyNumberFormat="1">
      <alignment horizontal="center" readingOrder="0"/>
    </xf>
    <xf borderId="0" fillId="2" fontId="9" numFmtId="0" xfId="0" applyAlignment="1" applyFont="1">
      <alignment horizontal="center"/>
    </xf>
    <xf borderId="0" fillId="2" fontId="9" numFmtId="2" xfId="0" applyAlignment="1" applyFont="1" applyNumberFormat="1">
      <alignment horizontal="center"/>
    </xf>
    <xf borderId="0" fillId="3" fontId="9" numFmtId="168" xfId="0" applyAlignment="1" applyFont="1" applyNumberFormat="1">
      <alignment horizontal="center"/>
    </xf>
    <xf borderId="0" fillId="3" fontId="9" numFmtId="0" xfId="0" applyAlignment="1" applyFont="1">
      <alignment horizontal="center"/>
    </xf>
    <xf borderId="0" fillId="3" fontId="9" numFmtId="2" xfId="0" applyAlignment="1" applyFont="1" applyNumberFormat="1">
      <alignment horizontal="center"/>
    </xf>
    <xf borderId="0" fillId="2" fontId="9" numFmtId="168" xfId="0" applyAlignment="1" applyFont="1" applyNumberFormat="1">
      <alignment horizontal="center"/>
    </xf>
    <xf borderId="0" fillId="3" fontId="9" numFmtId="0" xfId="0" applyAlignment="1" applyFont="1">
      <alignment horizontal="center" readingOrder="0" shrinkToFit="0" wrapText="0"/>
    </xf>
    <xf borderId="0" fillId="2" fontId="9" numFmtId="0" xfId="0" applyAlignment="1" applyFont="1">
      <alignment horizontal="center" readingOrder="0"/>
    </xf>
    <xf borderId="0" fillId="2" fontId="9" numFmtId="2" xfId="0" applyAlignment="1" applyFont="1" applyNumberFormat="1">
      <alignment horizontal="center" readingOrder="0"/>
    </xf>
    <xf borderId="0" fillId="3" fontId="9" numFmtId="168" xfId="0" applyAlignment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2" xfId="0" applyAlignment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 shrinkToFit="0" wrapText="0"/>
    </xf>
    <xf borderId="0" fillId="3" fontId="9" numFmtId="2" xfId="0" applyAlignment="1" applyFont="1" applyNumberFormat="1">
      <alignment horizontal="center" shrinkToFit="0" wrapText="0"/>
    </xf>
    <xf borderId="0" fillId="2" fontId="9" numFmtId="168" xfId="0" applyAlignment="1" applyFont="1" applyNumberFormat="1">
      <alignment horizontal="center" shrinkToFit="0" wrapText="0"/>
    </xf>
    <xf borderId="0" fillId="2" fontId="9" numFmtId="0" xfId="0" applyAlignment="1" applyFont="1">
      <alignment horizontal="center" shrinkToFit="0" wrapText="0"/>
    </xf>
    <xf borderId="0" fillId="2" fontId="9" numFmtId="0" xfId="0" applyAlignment="1" applyFont="1">
      <alignment horizontal="center" shrinkToFit="0" wrapText="0"/>
    </xf>
    <xf borderId="0" fillId="2" fontId="9" numFmtId="0" xfId="0" applyAlignment="1" applyFont="1">
      <alignment horizontal="center" readingOrder="0" shrinkToFit="0" wrapText="0"/>
    </xf>
    <xf borderId="0" fillId="3" fontId="9" numFmtId="168" xfId="0" applyAlignment="1" applyFont="1" applyNumberFormat="1">
      <alignment horizontal="center" shrinkToFit="0" wrapText="0"/>
    </xf>
    <xf borderId="0" fillId="3" fontId="9" numFmtId="0" xfId="0" applyAlignment="1" applyFont="1">
      <alignment horizontal="center" shrinkToFit="0" wrapText="0"/>
    </xf>
    <xf borderId="0" fillId="3" fontId="9" numFmtId="0" xfId="0" applyAlignment="1" applyFont="1">
      <alignment horizontal="center" readingOrder="0" shrinkToFit="0" wrapText="0"/>
    </xf>
    <xf borderId="0" fillId="2" fontId="9" numFmtId="168" xfId="0" applyAlignment="1" applyFont="1" applyNumberFormat="1">
      <alignment horizontal="center" readingOrder="0" shrinkToFit="0" wrapText="0"/>
    </xf>
    <xf borderId="0" fillId="3" fontId="9" numFmtId="168" xfId="0" applyAlignment="1" applyFont="1" applyNumberFormat="1">
      <alignment horizontal="center" readingOrder="0" shrinkToFit="0" wrapText="0"/>
    </xf>
    <xf borderId="0" fillId="3" fontId="9" numFmtId="2" xfId="0" applyAlignment="1" applyFont="1" applyNumberFormat="1">
      <alignment horizontal="center" vertical="bottom"/>
    </xf>
    <xf borderId="0" fillId="2" fontId="9" numFmtId="2" xfId="0" applyAlignment="1" applyFont="1" applyNumberFormat="1">
      <alignment horizontal="center" readingOrder="0" vertical="bottom"/>
    </xf>
    <xf borderId="0" fillId="3" fontId="9" numFmtId="2" xfId="0" applyAlignment="1" applyFont="1" applyNumberFormat="1">
      <alignment horizontal="center" readingOrder="0" vertical="bottom"/>
    </xf>
    <xf borderId="0" fillId="2" fontId="9" numFmtId="0" xfId="0" applyAlignment="1" applyFont="1">
      <alignment horizontal="center"/>
    </xf>
    <xf borderId="0" fillId="3" fontId="9" numFmtId="0" xfId="0" applyAlignment="1" applyFont="1">
      <alignment horizontal="center"/>
    </xf>
    <xf borderId="4" fillId="2" fontId="9" numFmtId="168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 shrinkToFit="0" wrapText="0"/>
    </xf>
    <xf borderId="0" fillId="2" fontId="9" numFmtId="0" xfId="0" applyAlignment="1" applyFont="1">
      <alignment horizontal="center" readingOrder="0" shrinkToFit="0" wrapText="0"/>
    </xf>
    <xf borderId="0" fillId="3" fontId="9" numFmtId="0" xfId="0" applyAlignment="1" applyFont="1">
      <alignment horizontal="center" readingOrder="0" shrinkToFit="0" wrapText="0"/>
    </xf>
    <xf borderId="0" fillId="2" fontId="9" numFmtId="2" xfId="0" applyAlignment="1" applyFont="1" applyNumberFormat="1">
      <alignment horizontal="center" readingOrder="0" shrinkToFit="0" wrapText="0"/>
    </xf>
    <xf borderId="0" fillId="2" fontId="9" numFmtId="169" xfId="0" applyAlignment="1" applyFont="1" applyNumberFormat="1">
      <alignment horizontal="center" readingOrder="0" shrinkToFit="0" wrapText="0"/>
    </xf>
    <xf borderId="0" fillId="3" fontId="9" numFmtId="2" xfId="0" applyAlignment="1" applyFont="1" applyNumberFormat="1">
      <alignment horizontal="center" readingOrder="0" shrinkToFit="0" wrapText="0"/>
    </xf>
    <xf borderId="0" fillId="3" fontId="9" numFmtId="169" xfId="0" applyAlignment="1" applyFont="1" applyNumberFormat="1">
      <alignment horizontal="center" readingOrder="0" shrinkToFit="0" wrapText="0"/>
    </xf>
    <xf borderId="0" fillId="3" fontId="9" numFmtId="0" xfId="0" applyAlignment="1" applyFont="1">
      <alignment horizontal="center" shrinkToFit="0" wrapText="0"/>
    </xf>
    <xf borderId="0" fillId="2" fontId="11" numFmtId="0" xfId="0" applyAlignment="1" applyFont="1">
      <alignment horizontal="center" readingOrder="0" shrinkToFit="0" wrapText="0"/>
    </xf>
    <xf borderId="0" fillId="3" fontId="11" numFmtId="0" xfId="0" applyAlignment="1" applyFont="1">
      <alignment horizontal="center" readingOrder="0" shrinkToFit="0" wrapText="0"/>
    </xf>
    <xf borderId="0" fillId="3" fontId="11" numFmtId="168" xfId="0" applyAlignment="1" applyFont="1" applyNumberFormat="1">
      <alignment horizontal="center" readingOrder="0" shrinkToFit="0" wrapText="0"/>
    </xf>
    <xf borderId="0" fillId="3" fontId="11" numFmtId="0" xfId="0" applyAlignment="1" applyFont="1">
      <alignment horizontal="center" readingOrder="0" shrinkToFit="0" wrapText="0"/>
    </xf>
    <xf borderId="0" fillId="3" fontId="11" numFmtId="0" xfId="0" applyAlignment="1" applyFont="1">
      <alignment horizontal="center" readingOrder="0" shrinkToFit="0" wrapText="0"/>
    </xf>
    <xf borderId="0" fillId="2" fontId="11" numFmtId="168" xfId="0" applyAlignment="1" applyFont="1" applyNumberFormat="1">
      <alignment horizontal="center" readingOrder="0" shrinkToFit="0" wrapText="0"/>
    </xf>
    <xf borderId="0" fillId="2" fontId="11" numFmtId="0" xfId="0" applyAlignment="1" applyFont="1">
      <alignment horizontal="center" readingOrder="0" shrinkToFit="0" wrapText="0"/>
    </xf>
    <xf borderId="5" fillId="3" fontId="11" numFmtId="168" xfId="0" applyAlignment="1" applyBorder="1" applyFont="1" applyNumberFormat="1">
      <alignment horizontal="center" readingOrder="0" shrinkToFit="0" wrapText="0"/>
    </xf>
    <xf borderId="6" fillId="2" fontId="11" numFmtId="168" xfId="0" applyAlignment="1" applyBorder="1" applyFont="1" applyNumberFormat="1">
      <alignment horizontal="center" readingOrder="0" shrinkToFit="0" wrapText="0"/>
    </xf>
    <xf borderId="0" fillId="2" fontId="11" numFmtId="0" xfId="0" applyAlignment="1" applyFont="1">
      <alignment horizontal="center" readingOrder="0" shrinkToFit="0" wrapText="0"/>
    </xf>
    <xf borderId="5" fillId="3" fontId="9" numFmtId="168" xfId="0" applyAlignment="1" applyBorder="1" applyFont="1" applyNumberFormat="1">
      <alignment horizontal="center" readingOrder="0" shrinkToFit="0" wrapText="0"/>
    </xf>
    <xf borderId="6" fillId="2" fontId="9" numFmtId="168" xfId="0" applyAlignment="1" applyBorder="1" applyFont="1" applyNumberFormat="1">
      <alignment horizontal="center" readingOrder="0" shrinkToFit="0" wrapText="0"/>
    </xf>
    <xf borderId="5" fillId="2" fontId="11" numFmtId="168" xfId="0" applyAlignment="1" applyBorder="1" applyFont="1" applyNumberFormat="1">
      <alignment horizontal="center" readingOrder="0" shrinkToFit="0" wrapText="0"/>
    </xf>
    <xf borderId="5" fillId="2" fontId="11" numFmtId="168" xfId="0" applyAlignment="1" applyBorder="1" applyFont="1" applyNumberFormat="1">
      <alignment horizontal="center" shrinkToFit="0" wrapText="0"/>
    </xf>
    <xf borderId="5" fillId="3" fontId="11" numFmtId="168" xfId="0" applyAlignment="1" applyBorder="1" applyFont="1" applyNumberFormat="1">
      <alignment horizontal="center" shrinkToFit="0" wrapText="0"/>
    </xf>
    <xf borderId="0" fillId="3" fontId="11" numFmtId="0" xfId="0" applyAlignment="1" applyFont="1">
      <alignment horizontal="center" shrinkToFit="0" wrapText="0"/>
    </xf>
    <xf borderId="0" fillId="3" fontId="11" numFmtId="168" xfId="0" applyAlignment="1" applyFont="1" applyNumberFormat="1">
      <alignment horizontal="center" shrinkToFit="0" wrapText="0"/>
    </xf>
    <xf borderId="0" fillId="2" fontId="11" numFmtId="168" xfId="0" applyAlignment="1" applyFont="1" applyNumberFormat="1">
      <alignment horizontal="center" shrinkToFit="0" wrapText="0"/>
    </xf>
    <xf borderId="0" fillId="2" fontId="11" numFmtId="0" xfId="0" applyAlignment="1" applyFont="1">
      <alignment horizontal="center" shrinkToFit="0" wrapText="0"/>
    </xf>
    <xf borderId="0" fillId="2" fontId="9" numFmtId="0" xfId="0" applyAlignment="1" applyFont="1">
      <alignment horizontal="center" shrinkToFit="0" wrapText="0"/>
    </xf>
    <xf borderId="0" fillId="2" fontId="11" numFmtId="2" xfId="0" applyAlignment="1" applyFont="1" applyNumberFormat="1">
      <alignment horizontal="center"/>
    </xf>
    <xf borderId="0" fillId="3" fontId="11" numFmtId="2" xfId="0" applyAlignment="1" applyFont="1" applyNumberFormat="1">
      <alignment horizontal="center"/>
    </xf>
    <xf borderId="0" fillId="2" fontId="3" numFmtId="0" xfId="0" applyAlignment="1" applyFont="1">
      <alignment horizontal="center" readingOrder="0" shrinkToFit="0" vertical="bottom" wrapText="0"/>
    </xf>
    <xf borderId="0" fillId="2" fontId="11" numFmtId="0" xfId="0" applyAlignment="1" applyFont="1">
      <alignment horizontal="center" shrinkToFit="0" wrapText="0"/>
    </xf>
    <xf borderId="0" fillId="2" fontId="11" numFmtId="2" xfId="0" applyAlignment="1" applyFont="1" applyNumberFormat="1">
      <alignment horizontal="center" shrinkToFit="0" wrapText="0"/>
    </xf>
    <xf borderId="0" fillId="3" fontId="11" numFmtId="2" xfId="0" applyAlignment="1" applyFont="1" applyNumberFormat="1">
      <alignment horizontal="center" shrinkToFit="0" wrapText="0"/>
    </xf>
    <xf borderId="3" fillId="3" fontId="9" numFmtId="2" xfId="0" applyAlignment="1" applyBorder="1" applyFont="1" applyNumberFormat="1">
      <alignment horizontal="center" readingOrder="0" shrinkToFit="0" wrapText="0"/>
    </xf>
    <xf borderId="3" fillId="2" fontId="9" numFmtId="2" xfId="0" applyAlignment="1" applyBorder="1" applyFont="1" applyNumberFormat="1">
      <alignment horizontal="center" readingOrder="0" shrinkToFit="0" wrapText="0"/>
    </xf>
    <xf borderId="0" fillId="3" fontId="11" numFmtId="2" xfId="0" applyAlignment="1" applyFont="1" applyNumberFormat="1">
      <alignment horizontal="center" readingOrder="0" shrinkToFit="0" wrapText="0"/>
    </xf>
    <xf borderId="0" fillId="2" fontId="11" numFmtId="2" xfId="0" applyAlignment="1" applyFont="1" applyNumberFormat="1">
      <alignment horizontal="center" readingOrder="0" shrinkToFit="0" wrapText="0"/>
    </xf>
    <xf borderId="7" fillId="3" fontId="9" numFmtId="168" xfId="0" applyAlignment="1" applyBorder="1" applyFont="1" applyNumberFormat="1">
      <alignment horizontal="center" readingOrder="0" shrinkToFit="0" wrapText="0"/>
    </xf>
    <xf borderId="7" fillId="2" fontId="9" numFmtId="168" xfId="0" applyAlignment="1" applyBorder="1" applyFont="1" applyNumberFormat="1">
      <alignment horizontal="center" readingOrder="0" shrinkToFit="0" wrapText="0"/>
    </xf>
    <xf borderId="0" fillId="2" fontId="11" numFmtId="0" xfId="0" applyAlignment="1" applyFont="1">
      <alignment horizontal="center" shrinkToFit="0" wrapText="0"/>
    </xf>
    <xf borderId="0" fillId="0" fontId="11" numFmtId="170" xfId="0" applyAlignment="1" applyFont="1" applyNumberFormat="1">
      <alignment horizontal="center" readingOrder="0"/>
    </xf>
    <xf borderId="0" fillId="3" fontId="9" numFmtId="20" xfId="0" applyAlignment="1" applyFont="1" applyNumberFormat="1">
      <alignment horizontal="center" readingOrder="0" shrinkToFit="0" wrapText="0"/>
    </xf>
    <xf borderId="0" fillId="3" fontId="9" numFmtId="2" xfId="0" applyAlignment="1" applyFont="1" applyNumberFormat="1">
      <alignment readingOrder="0" shrinkToFit="0" wrapText="0"/>
    </xf>
    <xf borderId="0" fillId="2" fontId="9" numFmtId="2" xfId="0" applyAlignment="1" applyFont="1" applyNumberFormat="1">
      <alignment readingOrder="0" shrinkToFit="0" wrapText="0"/>
    </xf>
    <xf borderId="0" fillId="2" fontId="9" numFmtId="20" xfId="0" applyAlignment="1" applyFont="1" applyNumberForma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/>
    </xf>
    <xf borderId="0" fillId="3" fontId="9" numFmtId="171" xfId="0" applyAlignment="1" applyFont="1" applyNumberFormat="1">
      <alignment horizontal="center" readingOrder="0" shrinkToFit="0" wrapText="0"/>
    </xf>
    <xf borderId="0" fillId="2" fontId="9" numFmtId="171" xfId="0" applyAlignment="1" applyFont="1" applyNumberFormat="1">
      <alignment horizontal="center" readingOrder="0" shrinkToFit="0" wrapText="0"/>
    </xf>
    <xf borderId="0" fillId="2" fontId="11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shrinkToFit="0" wrapText="1"/>
    </xf>
    <xf borderId="0" fillId="0" fontId="12" numFmtId="0" xfId="0" applyFont="1"/>
    <xf borderId="0" fillId="0" fontId="1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5" fontId="13" numFmtId="0" xfId="0" applyAlignment="1" applyFill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72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16" numFmtId="167" xfId="0" applyAlignment="1" applyFont="1" applyNumberFormat="1">
      <alignment horizontal="right" readingOrder="0" shrinkToFit="0" vertical="bottom" wrapText="0"/>
    </xf>
    <xf borderId="0" fillId="0" fontId="4" numFmtId="2" xfId="0" applyAlignment="1" applyFont="1" applyNumberFormat="1">
      <alignment readingOrder="0"/>
    </xf>
    <xf borderId="0" fillId="0" fontId="16" numFmtId="2" xfId="0" applyAlignment="1" applyFont="1" applyNumberFormat="1">
      <alignment horizontal="right" readingOrder="0" shrinkToFit="0" vertical="bottom" wrapText="0"/>
    </xf>
    <xf borderId="0" fillId="0" fontId="4" numFmtId="2" xfId="0" applyFont="1" applyNumberFormat="1"/>
    <xf borderId="0" fillId="0" fontId="4" numFmtId="10" xfId="0" applyFont="1" applyNumberFormat="1"/>
    <xf borderId="0" fillId="0" fontId="4" numFmtId="0" xfId="0" applyFont="1"/>
    <xf borderId="0" fillId="0" fontId="16" numFmtId="0" xfId="0" applyAlignment="1" applyFont="1">
      <alignment horizontal="left" shrinkToFit="0" vertical="bottom" wrapText="0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7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4" numFmtId="167" xfId="0" applyAlignment="1" applyFont="1" applyNumberFormat="1">
      <alignment horizontal="center"/>
    </xf>
    <xf borderId="0" fillId="0" fontId="16" numFmtId="2" xfId="0" applyAlignment="1" applyFont="1" applyNumberFormat="1">
      <alignment horizontal="left"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9" numFmtId="167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19" numFmtId="2" xfId="0" applyAlignment="1" applyFont="1" applyNumberFormat="1">
      <alignment horizontal="lef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2" numFmtId="167" xfId="0" applyAlignment="1" applyFont="1" applyNumberFormat="1">
      <alignment horizontal="center"/>
    </xf>
    <xf borderId="0" fillId="0" fontId="4" numFmtId="173" xfId="0" applyAlignment="1" applyFont="1" applyNumberFormat="1">
      <alignment readingOrder="0"/>
    </xf>
    <xf borderId="0" fillId="0" fontId="16" numFmtId="173" xfId="0" applyAlignment="1" applyFont="1" applyNumberFormat="1">
      <alignment readingOrder="0" shrinkToFit="0" vertical="bottom" wrapText="0"/>
    </xf>
    <xf borderId="0" fillId="0" fontId="4" numFmtId="173" xfId="0" applyAlignment="1" applyFont="1" applyNumberFormat="1">
      <alignment horizontal="center"/>
    </xf>
    <xf borderId="0" fillId="0" fontId="4" numFmtId="10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/>
    </xf>
    <xf borderId="8" fillId="0" fontId="4" numFmtId="0" xfId="0" applyAlignment="1" applyBorder="1" applyFont="1">
      <alignment horizontal="right" readingOrder="0"/>
    </xf>
    <xf borderId="8" fillId="0" fontId="4" numFmtId="0" xfId="0" applyBorder="1" applyFont="1"/>
    <xf borderId="8" fillId="0" fontId="4" numFmtId="0" xfId="0" applyAlignment="1" applyBorder="1" applyFont="1">
      <alignment readingOrder="0"/>
    </xf>
    <xf borderId="8" fillId="0" fontId="4" numFmtId="10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/>
    </xf>
    <xf borderId="0" fillId="0" fontId="4" numFmtId="173" xfId="0" applyFont="1" applyNumberFormat="1"/>
    <xf borderId="9" fillId="6" fontId="20" numFmtId="0" xfId="0" applyAlignment="1" applyBorder="1" applyFill="1" applyFont="1">
      <alignment readingOrder="0"/>
    </xf>
    <xf borderId="10" fillId="6" fontId="21" numFmtId="0" xfId="0" applyAlignment="1" applyBorder="1" applyFont="1">
      <alignment horizontal="center" readingOrder="0" vertical="center"/>
    </xf>
    <xf borderId="10" fillId="6" fontId="20" numFmtId="0" xfId="0" applyBorder="1" applyFont="1"/>
    <xf borderId="10" fillId="6" fontId="20" numFmtId="0" xfId="0" applyAlignment="1" applyBorder="1" applyFont="1">
      <alignment horizontal="center"/>
    </xf>
    <xf borderId="11" fillId="6" fontId="20" numFmtId="0" xfId="0" applyBorder="1" applyFont="1"/>
    <xf borderId="12" fillId="6" fontId="20" numFmtId="0" xfId="0" applyBorder="1" applyFont="1"/>
    <xf borderId="0" fillId="6" fontId="21" numFmtId="0" xfId="0" applyAlignment="1" applyFont="1">
      <alignment horizontal="center" readingOrder="0" vertical="center"/>
    </xf>
    <xf borderId="0" fillId="6" fontId="21" numFmtId="0" xfId="0" applyAlignment="1" applyFont="1">
      <alignment readingOrder="0"/>
    </xf>
    <xf borderId="13" fillId="6" fontId="22" numFmtId="0" xfId="0" applyAlignment="1" applyBorder="1" applyFont="1">
      <alignment horizontal="center" readingOrder="0" shrinkToFit="0" vertical="bottom" wrapText="0"/>
    </xf>
    <xf borderId="14" fillId="6" fontId="20" numFmtId="0" xfId="0" applyBorder="1" applyFont="1"/>
    <xf borderId="0" fillId="6" fontId="20" numFmtId="0" xfId="0" applyFont="1"/>
    <xf borderId="0" fillId="6" fontId="20" numFmtId="0" xfId="0" applyAlignment="1" applyFont="1">
      <alignment horizontal="center"/>
    </xf>
    <xf borderId="0" fillId="6" fontId="21" numFmtId="0" xfId="0" applyAlignment="1" applyFont="1">
      <alignment horizontal="left" readingOrder="0" vertical="center"/>
    </xf>
    <xf borderId="13" fillId="6" fontId="22" numFmtId="174" xfId="0" applyAlignment="1" applyBorder="1" applyFont="1" applyNumberFormat="1">
      <alignment horizontal="center" readingOrder="0" shrinkToFit="0" vertical="bottom" wrapText="0"/>
    </xf>
    <xf borderId="12" fillId="6" fontId="21" numFmtId="0" xfId="0" applyBorder="1" applyFont="1"/>
    <xf borderId="13" fillId="6" fontId="21" numFmtId="0" xfId="0" applyAlignment="1" applyBorder="1" applyFont="1">
      <alignment horizontal="center" readingOrder="0"/>
    </xf>
    <xf borderId="15" fillId="6" fontId="21" numFmtId="0" xfId="0" applyAlignment="1" applyBorder="1" applyFont="1">
      <alignment horizontal="center" readingOrder="0"/>
    </xf>
    <xf borderId="16" fillId="0" fontId="23" numFmtId="0" xfId="0" applyBorder="1" applyFont="1"/>
    <xf borderId="14" fillId="6" fontId="21" numFmtId="0" xfId="0" applyBorder="1" applyFont="1"/>
    <xf borderId="13" fillId="6" fontId="22" numFmtId="0" xfId="0" applyAlignment="1" applyBorder="1" applyFont="1">
      <alignment horizontal="left" readingOrder="0" shrinkToFit="0" vertical="bottom" wrapText="0"/>
    </xf>
    <xf borderId="13" fillId="6" fontId="20" numFmtId="0" xfId="0" applyAlignment="1" applyBorder="1" applyFont="1">
      <alignment readingOrder="0"/>
    </xf>
    <xf borderId="13" fillId="6" fontId="22" numFmtId="0" xfId="0" applyAlignment="1" applyBorder="1" applyFont="1">
      <alignment horizontal="center" readingOrder="0" shrinkToFit="0" wrapText="0"/>
    </xf>
    <xf borderId="15" fillId="6" fontId="20" numFmtId="0" xfId="0" applyBorder="1" applyFont="1"/>
    <xf borderId="13" fillId="6" fontId="20" numFmtId="0" xfId="0" applyBorder="1" applyFont="1"/>
    <xf borderId="17" fillId="6" fontId="20" numFmtId="0" xfId="0" applyAlignment="1" applyBorder="1" applyFont="1">
      <alignment horizontal="center"/>
    </xf>
    <xf borderId="18" fillId="6" fontId="20" numFmtId="0" xfId="0" applyBorder="1" applyFont="1"/>
    <xf borderId="19" fillId="6" fontId="20" numFmtId="0" xfId="0" applyBorder="1" applyFont="1"/>
    <xf borderId="19" fillId="6" fontId="20" numFmtId="0" xfId="0" applyAlignment="1" applyBorder="1" applyFont="1">
      <alignment horizontal="center"/>
    </xf>
    <xf borderId="20" fillId="6" fontId="20" numFmtId="0" xfId="0" applyBorder="1" applyFont="1"/>
    <xf borderId="21" fillId="6" fontId="20" numFmtId="0" xfId="0" applyBorder="1" applyFont="1"/>
    <xf borderId="22" fillId="0" fontId="23" numFmtId="0" xfId="0" applyBorder="1" applyFont="1"/>
    <xf borderId="23" fillId="6" fontId="20" numFmtId="0" xfId="0" applyAlignment="1" applyBorder="1" applyFont="1">
      <alignment horizontal="center"/>
    </xf>
    <xf borderId="24" fillId="6" fontId="20" numFmtId="0" xfId="0" applyBorder="1" applyFont="1"/>
    <xf borderId="25" fillId="6" fontId="20" numFmtId="0" xfId="0" applyBorder="1" applyFont="1"/>
    <xf borderId="25" fillId="6" fontId="20" numFmtId="0" xfId="0" applyAlignment="1" applyBorder="1" applyFont="1">
      <alignment horizontal="center"/>
    </xf>
    <xf borderId="26" fillId="6" fontId="20" numFmtId="0" xfId="0" applyBorder="1" applyFont="1"/>
    <xf borderId="27" fillId="0" fontId="23" numFmtId="0" xfId="0" applyBorder="1" applyFont="1"/>
    <xf borderId="28" fillId="6" fontId="20" numFmtId="0" xfId="0" applyBorder="1" applyFont="1"/>
    <xf borderId="29" fillId="6" fontId="20" numFmtId="0" xfId="0" applyAlignment="1" applyBorder="1" applyFont="1">
      <alignment horizontal="center"/>
    </xf>
    <xf borderId="29" fillId="6" fontId="20" numFmtId="0" xfId="0" applyBorder="1" applyFont="1"/>
    <xf borderId="29" fillId="0" fontId="23" numFmtId="0" xfId="0" applyBorder="1" applyFont="1"/>
    <xf borderId="27" fillId="6" fontId="20" numFmtId="0" xfId="0" applyBorder="1" applyFont="1"/>
    <xf borderId="9" fillId="6" fontId="20" numFmtId="0" xfId="0" applyBorder="1" applyFont="1"/>
    <xf borderId="15" fillId="6" fontId="20" numFmtId="0" xfId="0" applyAlignment="1" applyBorder="1" applyFont="1">
      <alignment readingOrder="0"/>
    </xf>
    <xf borderId="13" fillId="6" fontId="22" numFmtId="0" xfId="0" applyAlignment="1" applyBorder="1" applyFont="1">
      <alignment readingOrder="0" shrinkToFit="0" wrapText="0"/>
    </xf>
    <xf borderId="13" fillId="6" fontId="20" numFmtId="0" xfId="0" applyAlignment="1" applyBorder="1" applyFont="1">
      <alignment horizontal="center" readingOrder="0"/>
    </xf>
    <xf borderId="30" fillId="6" fontId="20" numFmtId="0" xfId="0" applyAlignment="1" applyBorder="1" applyFont="1">
      <alignment horizontal="center"/>
    </xf>
    <xf borderId="31" fillId="6" fontId="20" numFmtId="0" xfId="0" applyAlignment="1" applyBorder="1" applyFont="1">
      <alignment readingOrder="0"/>
    </xf>
    <xf borderId="20" fillId="6" fontId="20" numFmtId="0" xfId="0" applyAlignment="1" applyBorder="1" applyFont="1">
      <alignment readingOrder="0"/>
    </xf>
    <xf borderId="20" fillId="6" fontId="20" numFmtId="0" xfId="0" applyAlignment="1" applyBorder="1" applyFont="1">
      <alignment horizontal="center" readingOrder="0"/>
    </xf>
    <xf borderId="18" fillId="6" fontId="20" numFmtId="0" xfId="0" applyAlignment="1" applyBorder="1" applyFont="1">
      <alignment readingOrder="0"/>
    </xf>
    <xf borderId="19" fillId="6" fontId="20" numFmtId="0" xfId="0" applyAlignment="1" applyBorder="1" applyFont="1">
      <alignment readingOrder="0"/>
    </xf>
    <xf borderId="19" fillId="6" fontId="20" numFmtId="0" xfId="0" applyAlignment="1" applyBorder="1" applyFont="1">
      <alignment horizontal="center" readingOrder="0"/>
    </xf>
    <xf borderId="16" fillId="6" fontId="22" numFmtId="0" xfId="0" applyAlignment="1" applyBorder="1" applyFont="1">
      <alignment horizontal="center" readingOrder="0" shrinkToFit="0" vertical="bottom" wrapText="0"/>
    </xf>
    <xf borderId="13" fillId="6" fontId="20" numFmtId="0" xfId="0" applyAlignment="1" applyBorder="1" applyFont="1">
      <alignment readingOrder="0" vertical="bottom"/>
    </xf>
    <xf borderId="13" fillId="6" fontId="20" numFmtId="0" xfId="0" applyAlignment="1" applyBorder="1" applyFont="1">
      <alignment horizontal="center" readingOrder="0" vertical="bottom"/>
    </xf>
    <xf borderId="15" fillId="6" fontId="22" numFmtId="0" xfId="0" applyAlignment="1" applyBorder="1" applyFont="1">
      <alignment horizontal="center" readingOrder="0" shrinkToFit="0" vertical="bottom" wrapText="0"/>
    </xf>
    <xf borderId="31" fillId="6" fontId="20" numFmtId="0" xfId="0" applyBorder="1" applyFont="1"/>
    <xf borderId="20" fillId="6" fontId="20" numFmtId="0" xfId="0" applyAlignment="1" applyBorder="1" applyFont="1">
      <alignment horizontal="center"/>
    </xf>
    <xf borderId="13" fillId="6" fontId="20" numFmtId="0" xfId="0" applyAlignment="1" applyBorder="1" applyFont="1">
      <alignment vertical="bottom"/>
    </xf>
    <xf borderId="15" fillId="6" fontId="20" numFmtId="0" xfId="0" applyAlignment="1" applyBorder="1" applyFont="1">
      <alignment readingOrder="0" vertical="bottom"/>
    </xf>
    <xf borderId="13" fillId="6" fontId="20" numFmtId="0" xfId="0" applyAlignment="1" applyBorder="1" applyFont="1">
      <alignment horizontal="left" readingOrder="0"/>
    </xf>
    <xf borderId="32" fillId="6" fontId="20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40E30"/>
          <bgColor rgb="FF040E30"/>
        </patternFill>
      </fill>
      <border/>
    </dxf>
  </dxfs>
  <tableStyles count="10">
    <tableStyle count="4" pivot="0" name="BBD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BDD-style 8">
      <tableStyleElement dxfId="2" type="firstRowStripe"/>
      <tableStyleElement dxfId="3" type="secondRowStripe"/>
    </tableStyle>
    <tableStyle count="4" pivot="0" name="🗂️ Proyecto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🗂️ Proyecto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457200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18</xdr:row>
      <xdr:rowOff>457200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37</xdr:row>
      <xdr:rowOff>419100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55</xdr:row>
      <xdr:rowOff>400050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74</xdr:row>
      <xdr:rowOff>438150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110</xdr:row>
      <xdr:rowOff>457200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128</xdr:row>
      <xdr:rowOff>457200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148</xdr:row>
      <xdr:rowOff>438150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167</xdr:row>
      <xdr:rowOff>19050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92</xdr:row>
      <xdr:rowOff>438150</xdr:rowOff>
    </xdr:from>
    <xdr:ext cx="4457700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49" displayName="PROYECTO" name="PROYECTO" id="1">
  <tableColumns count="1">
    <tableColumn name="Proyecto" id="1"/>
  </tableColumns>
  <tableStyleInfo name="BBDD-style" showColumnStripes="0" showFirstColumn="1" showLastColumn="1" showRowStripes="1"/>
</table>
</file>

<file path=xl/tables/table2.xml><?xml version="1.0" encoding="utf-8"?>
<table xmlns="http://schemas.openxmlformats.org/spreadsheetml/2006/main" ref="B1:B9" displayName="RESPONSABLE" name="RESPONSABLE" id="2">
  <tableColumns count="1">
    <tableColumn name="Responsable" id="1"/>
  </tableColumns>
  <tableStyleInfo name="BBDD-style 2" showColumnStripes="0" showFirstColumn="1" showLastColumn="1" showRowStripes="1"/>
</table>
</file>

<file path=xl/tables/table3.xml><?xml version="1.0" encoding="utf-8"?>
<table xmlns="http://schemas.openxmlformats.org/spreadsheetml/2006/main" ref="C1:C62" displayName="LAMPARA" name="LAMPARA" id="3">
  <tableColumns count="1">
    <tableColumn name="Lámpara" id="1"/>
  </tableColumns>
  <tableStyleInfo name="BBDD-style 3" showColumnStripes="0" showFirstColumn="1" showLastColumn="1" showRowStripes="1"/>
</table>
</file>

<file path=xl/tables/table4.xml><?xml version="1.0" encoding="utf-8"?>
<table xmlns="http://schemas.openxmlformats.org/spreadsheetml/2006/main" ref="D1:D4" displayName="ESTADO" name="ESTADO" id="4">
  <tableColumns count="1">
    <tableColumn name="Estado" id="1"/>
  </tableColumns>
  <tableStyleInfo name="BBDD-style 4" showColumnStripes="0" showFirstColumn="1" showLastColumn="1" showRowStripes="1"/>
</table>
</file>

<file path=xl/tables/table5.xml><?xml version="1.0" encoding="utf-8"?>
<table xmlns="http://schemas.openxmlformats.org/spreadsheetml/2006/main" ref="E1:E10" displayName="AREA" name="AREA" id="5">
  <tableColumns count="1">
    <tableColumn name="Área" id="1"/>
  </tableColumns>
  <tableStyleInfo name="BBDD-style 5" showColumnStripes="0" showFirstColumn="1" showLastColumn="1" showRowStripes="1"/>
</table>
</file>

<file path=xl/tables/table6.xml><?xml version="1.0" encoding="utf-8"?>
<table xmlns="http://schemas.openxmlformats.org/spreadsheetml/2006/main" ref="F1:F1124" displayName="PROCESO" name="PROCESO" id="6">
  <tableColumns count="1">
    <tableColumn name="Proceso" id="1"/>
  </tableColumns>
  <tableStyleInfo name="BBDD-style 6" showColumnStripes="0" showFirstColumn="1" showLastColumn="1" showRowStripes="1"/>
</table>
</file>

<file path=xl/tables/table7.xml><?xml version="1.0" encoding="utf-8"?>
<table xmlns="http://schemas.openxmlformats.org/spreadsheetml/2006/main" ref="G1:J121" displayName="BBDD_TIEMPO" name="BBDD_TIEMPO" id="7">
  <autoFilter ref="$G$1:$J$121"/>
  <tableColumns count="4">
    <tableColumn name="TIPO DE BASTIDOR" id="1"/>
    <tableColumn name="General" id="2"/>
    <tableColumn name="Proceso" id="3"/>
    <tableColumn name="Hrs/m" id="4"/>
  </tableColumns>
  <tableStyleInfo name="BBDD-style 7" showColumnStripes="0" showFirstColumn="1" showLastColumn="1" showRowStripes="1"/>
</table>
</file>

<file path=xl/tables/table8.xml><?xml version="1.0" encoding="utf-8"?>
<table xmlns="http://schemas.openxmlformats.org/spreadsheetml/2006/main" headerRowCount="0" ref="L3:Q8" displayName="Table_1" name="Table_1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BDD-style 8" showColumnStripes="0" showFirstColumn="1" showLastColumn="1" showRowStripes="1"/>
</table>
</file>

<file path=xl/tables/table9.xml><?xml version="1.0" encoding="utf-8"?>
<table xmlns="http://schemas.openxmlformats.org/spreadsheetml/2006/main" ref="A1:R258" displayName="TIEMPO_PLANIFICADO" name="TIEMPO_PLANIFICADO" id="9">
  <autoFilter ref="$A$1:$R$258"/>
  <tableColumns count="18">
    <tableColumn name="Proyecto" id="1"/>
    <tableColumn name="Lampara" id="2"/>
    <tableColumn name="Tipo_bastidor" id="3"/>
    <tableColumn name="Medida" id="4"/>
    <tableColumn name="Fecha_de_entrega" id="5"/>
    <tableColumn name="Área" id="6"/>
    <tableColumn name="Proceso" id="7"/>
    <tableColumn name="Hr_plan" id="8"/>
    <tableColumn name="Hr_total" id="9"/>
    <tableColumn name="Hr_normal" id="10"/>
    <tableColumn name="Hr_extra" id="11"/>
    <tableColumn name="Prom/hr" id="12"/>
    <tableColumn name="Hr_Pend" id="13"/>
    <tableColumn name="Desviación" id="14"/>
    <tableColumn name="%_Avance" id="15"/>
    <tableColumn name="Estado" id="16"/>
    <tableColumn name="Estado_proyecto" id="17"/>
    <tableColumn name="Avance" id="18"/>
  </tableColumns>
  <tableStyleInfo name="🗂️ Proyectos-style" showColumnStripes="0" showFirstColumn="1" showLastColumn="1" showRowStripes="1"/>
</table>
</file>

<file path=xl/tables/table10.xml><?xml version="1.0" encoding="utf-8"?>
<table xmlns="http://schemas.openxmlformats.org/spreadsheetml/2006/main" headerRowCount="0" ref="S75:Z76" displayName="Table_2" name="Table_2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🗂️ Proyect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8.75"/>
    <col customWidth="1" min="3" max="3" width="30.0"/>
    <col customWidth="1" min="4" max="4" width="11.75"/>
    <col customWidth="1" min="5" max="5" width="18.13"/>
    <col customWidth="1" min="6" max="6" width="32.63"/>
    <col customWidth="1" min="7" max="7" width="68.88"/>
    <col customWidth="1" min="8" max="8" width="13.0"/>
    <col customWidth="1" min="9" max="9" width="33.0"/>
    <col customWidth="1" min="10" max="10" width="14.38"/>
    <col customWidth="1" min="12" max="12" width="43.75"/>
    <col customWidth="1" min="13" max="13" width="31.75"/>
    <col customWidth="1" min="14" max="14" width="18.75"/>
    <col customWidth="1" min="15" max="15" width="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5</v>
      </c>
      <c r="J1" s="4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7" t="s">
        <v>13</v>
      </c>
      <c r="G2" s="7" t="s">
        <v>14</v>
      </c>
      <c r="H2" s="7" t="s">
        <v>13</v>
      </c>
      <c r="I2" s="7" t="s">
        <v>13</v>
      </c>
      <c r="J2" s="8">
        <v>0.2</v>
      </c>
      <c r="K2" s="9"/>
      <c r="L2" s="9"/>
      <c r="M2" s="9"/>
      <c r="N2" s="9"/>
      <c r="O2" s="9"/>
      <c r="P2" s="10" t="s">
        <v>15</v>
      </c>
      <c r="Q2" s="10" t="s">
        <v>16</v>
      </c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6" t="s">
        <v>17</v>
      </c>
      <c r="B3" s="6" t="s">
        <v>18</v>
      </c>
      <c r="C3" s="6" t="s">
        <v>19</v>
      </c>
      <c r="D3" s="6" t="s">
        <v>5</v>
      </c>
      <c r="E3" s="6" t="s">
        <v>20</v>
      </c>
      <c r="F3" s="6" t="s">
        <v>21</v>
      </c>
      <c r="G3" s="11" t="s">
        <v>14</v>
      </c>
      <c r="H3" s="6" t="s">
        <v>20</v>
      </c>
      <c r="I3" s="6" t="s">
        <v>22</v>
      </c>
      <c r="J3" s="12">
        <v>0.62</v>
      </c>
      <c r="K3" s="9"/>
      <c r="L3" s="13" t="s">
        <v>23</v>
      </c>
      <c r="M3" s="14" t="s">
        <v>24</v>
      </c>
      <c r="N3" s="14" t="s">
        <v>25</v>
      </c>
      <c r="O3" s="15">
        <v>0.1</v>
      </c>
      <c r="P3" s="16">
        <f t="shared" ref="P3:P4" si="1">O3*1.4</f>
        <v>0.14</v>
      </c>
      <c r="Q3" s="16">
        <f t="shared" ref="Q3:Q6" si="2">P3*60</f>
        <v>8.4</v>
      </c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6" t="s">
        <v>26</v>
      </c>
      <c r="B4" s="6" t="s">
        <v>27</v>
      </c>
      <c r="C4" s="6" t="s">
        <v>28</v>
      </c>
      <c r="D4" s="6" t="s">
        <v>29</v>
      </c>
      <c r="E4" s="6" t="s">
        <v>20</v>
      </c>
      <c r="F4" s="6" t="s">
        <v>22</v>
      </c>
      <c r="G4" s="7" t="s">
        <v>14</v>
      </c>
      <c r="H4" s="6" t="s">
        <v>20</v>
      </c>
      <c r="I4" s="6" t="s">
        <v>30</v>
      </c>
      <c r="J4" s="12">
        <v>0.2</v>
      </c>
      <c r="K4" s="9"/>
      <c r="L4" s="13" t="s">
        <v>23</v>
      </c>
      <c r="M4" s="14" t="s">
        <v>24</v>
      </c>
      <c r="N4" s="14" t="s">
        <v>31</v>
      </c>
      <c r="O4" s="15">
        <v>0.19</v>
      </c>
      <c r="P4" s="16">
        <f t="shared" si="1"/>
        <v>0.266</v>
      </c>
      <c r="Q4" s="16">
        <f t="shared" si="2"/>
        <v>15.96</v>
      </c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6" t="s">
        <v>32</v>
      </c>
      <c r="B5" s="6" t="s">
        <v>33</v>
      </c>
      <c r="C5" s="6" t="s">
        <v>34</v>
      </c>
      <c r="D5" s="9"/>
      <c r="E5" s="6" t="s">
        <v>24</v>
      </c>
      <c r="F5" s="6" t="s">
        <v>25</v>
      </c>
      <c r="G5" s="11" t="s">
        <v>14</v>
      </c>
      <c r="H5" s="6" t="s">
        <v>20</v>
      </c>
      <c r="I5" s="6" t="s">
        <v>35</v>
      </c>
      <c r="J5" s="12">
        <v>0.15</v>
      </c>
      <c r="K5" s="9"/>
      <c r="L5" s="17" t="s">
        <v>36</v>
      </c>
      <c r="M5" s="14" t="s">
        <v>24</v>
      </c>
      <c r="N5" s="14" t="s">
        <v>25</v>
      </c>
      <c r="O5" s="18">
        <v>0.15</v>
      </c>
      <c r="P5" s="16">
        <f t="shared" ref="P5:P6" si="3">O5*0.39</f>
        <v>0.0585</v>
      </c>
      <c r="Q5" s="16">
        <f t="shared" si="2"/>
        <v>3.51</v>
      </c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6" t="s">
        <v>37</v>
      </c>
      <c r="B6" s="6" t="s">
        <v>38</v>
      </c>
      <c r="C6" s="6" t="s">
        <v>39</v>
      </c>
      <c r="D6" s="9"/>
      <c r="E6" s="6" t="s">
        <v>20</v>
      </c>
      <c r="F6" s="6" t="s">
        <v>30</v>
      </c>
      <c r="G6" s="11" t="s">
        <v>14</v>
      </c>
      <c r="H6" s="6" t="s">
        <v>24</v>
      </c>
      <c r="I6" s="6" t="s">
        <v>25</v>
      </c>
      <c r="J6" s="12">
        <v>0.5</v>
      </c>
      <c r="K6" s="9"/>
      <c r="L6" s="17" t="s">
        <v>36</v>
      </c>
      <c r="M6" s="14" t="s">
        <v>24</v>
      </c>
      <c r="N6" s="14" t="s">
        <v>31</v>
      </c>
      <c r="O6" s="18">
        <v>0.28</v>
      </c>
      <c r="P6" s="16">
        <f t="shared" si="3"/>
        <v>0.1092</v>
      </c>
      <c r="Q6" s="16">
        <f t="shared" si="2"/>
        <v>6.552</v>
      </c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6" t="s">
        <v>40</v>
      </c>
      <c r="B7" s="6" t="s">
        <v>41</v>
      </c>
      <c r="C7" s="6" t="s">
        <v>42</v>
      </c>
      <c r="D7" s="9"/>
      <c r="E7" s="6" t="s">
        <v>24</v>
      </c>
      <c r="F7" s="6" t="s">
        <v>31</v>
      </c>
      <c r="G7" s="11" t="s">
        <v>14</v>
      </c>
      <c r="H7" s="6" t="s">
        <v>24</v>
      </c>
      <c r="I7" s="6" t="s">
        <v>31</v>
      </c>
      <c r="J7" s="12">
        <v>0.4</v>
      </c>
      <c r="K7" s="9"/>
      <c r="L7" s="17" t="s">
        <v>43</v>
      </c>
      <c r="M7" s="14" t="s">
        <v>24</v>
      </c>
      <c r="N7" s="14" t="s">
        <v>25</v>
      </c>
      <c r="O7" s="18">
        <v>0.21</v>
      </c>
      <c r="P7" s="16"/>
      <c r="Q7" s="16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6" t="s">
        <v>44</v>
      </c>
      <c r="B8" s="6" t="s">
        <v>45</v>
      </c>
      <c r="C8" s="6" t="s">
        <v>46</v>
      </c>
      <c r="D8" s="9"/>
      <c r="E8" s="6" t="s">
        <v>20</v>
      </c>
      <c r="F8" s="6" t="s">
        <v>47</v>
      </c>
      <c r="G8" s="19" t="s">
        <v>48</v>
      </c>
      <c r="H8" s="7" t="s">
        <v>13</v>
      </c>
      <c r="I8" s="7" t="s">
        <v>13</v>
      </c>
      <c r="J8" s="12">
        <f t="shared" ref="J8:J11" si="4">J2</f>
        <v>0.2</v>
      </c>
      <c r="K8" s="9"/>
      <c r="L8" s="17" t="s">
        <v>43</v>
      </c>
      <c r="M8" s="14" t="s">
        <v>24</v>
      </c>
      <c r="N8" s="14" t="s">
        <v>31</v>
      </c>
      <c r="O8" s="18">
        <v>0.315</v>
      </c>
      <c r="P8" s="16"/>
      <c r="Q8" s="16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6" t="s">
        <v>49</v>
      </c>
      <c r="B9" s="6" t="s">
        <v>50</v>
      </c>
      <c r="C9" s="6" t="s">
        <v>51</v>
      </c>
      <c r="D9" s="9"/>
      <c r="E9" s="6" t="s">
        <v>20</v>
      </c>
      <c r="F9" s="6" t="s">
        <v>35</v>
      </c>
      <c r="G9" s="19" t="s">
        <v>48</v>
      </c>
      <c r="H9" s="6" t="s">
        <v>20</v>
      </c>
      <c r="I9" s="6" t="s">
        <v>22</v>
      </c>
      <c r="J9" s="12">
        <f t="shared" si="4"/>
        <v>0.62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20" t="s">
        <v>52</v>
      </c>
      <c r="C10" s="6" t="s">
        <v>53</v>
      </c>
      <c r="D10" s="9"/>
      <c r="E10" s="6" t="s">
        <v>54</v>
      </c>
      <c r="F10" s="6" t="s">
        <v>54</v>
      </c>
      <c r="G10" s="19" t="s">
        <v>48</v>
      </c>
      <c r="H10" s="6" t="s">
        <v>20</v>
      </c>
      <c r="I10" s="6" t="s">
        <v>30</v>
      </c>
      <c r="J10" s="12">
        <f t="shared" si="4"/>
        <v>0.2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6" t="s">
        <v>55</v>
      </c>
      <c r="B11" s="9"/>
      <c r="C11" s="6" t="s">
        <v>56</v>
      </c>
      <c r="D11" s="9"/>
      <c r="E11" s="14" t="s">
        <v>20</v>
      </c>
      <c r="F11" s="6" t="s">
        <v>57</v>
      </c>
      <c r="G11" s="19" t="s">
        <v>48</v>
      </c>
      <c r="H11" s="6" t="s">
        <v>20</v>
      </c>
      <c r="I11" s="6" t="s">
        <v>35</v>
      </c>
      <c r="J11" s="12">
        <f t="shared" si="4"/>
        <v>0.15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6" t="s">
        <v>56</v>
      </c>
      <c r="B12" s="9"/>
      <c r="C12" s="6" t="s">
        <v>58</v>
      </c>
      <c r="D12" s="9"/>
      <c r="E12" s="14" t="s">
        <v>59</v>
      </c>
      <c r="F12" s="6" t="s">
        <v>60</v>
      </c>
      <c r="G12" s="19" t="s">
        <v>48</v>
      </c>
      <c r="H12" s="6" t="s">
        <v>24</v>
      </c>
      <c r="I12" s="6" t="s">
        <v>25</v>
      </c>
      <c r="J12" s="12">
        <f>J6+0.315</f>
        <v>0.815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6" t="s">
        <v>61</v>
      </c>
      <c r="B13" s="9"/>
      <c r="C13" s="6" t="s">
        <v>62</v>
      </c>
      <c r="D13" s="9"/>
      <c r="E13" s="14" t="s">
        <v>20</v>
      </c>
      <c r="F13" s="6" t="s">
        <v>63</v>
      </c>
      <c r="G13" s="19" t="s">
        <v>48</v>
      </c>
      <c r="H13" s="6" t="s">
        <v>24</v>
      </c>
      <c r="I13" s="6" t="s">
        <v>31</v>
      </c>
      <c r="J13" s="12">
        <f>J7+0.21</f>
        <v>0.61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6" t="s">
        <v>64</v>
      </c>
      <c r="B14" s="9"/>
      <c r="C14" s="6" t="s">
        <v>65</v>
      </c>
      <c r="D14" s="9"/>
      <c r="E14" s="14" t="s">
        <v>20</v>
      </c>
      <c r="F14" s="20" t="s">
        <v>66</v>
      </c>
      <c r="G14" s="7" t="s">
        <v>67</v>
      </c>
      <c r="H14" s="7" t="s">
        <v>13</v>
      </c>
      <c r="I14" s="7" t="s">
        <v>13</v>
      </c>
      <c r="J14" s="8">
        <v>0.2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6" t="s">
        <v>68</v>
      </c>
      <c r="B15" s="9"/>
      <c r="C15" s="6" t="s">
        <v>69</v>
      </c>
      <c r="D15" s="9"/>
      <c r="E15" s="14" t="s">
        <v>24</v>
      </c>
      <c r="F15" s="20" t="s">
        <v>70</v>
      </c>
      <c r="G15" s="11" t="s">
        <v>67</v>
      </c>
      <c r="H15" s="6" t="s">
        <v>20</v>
      </c>
      <c r="I15" s="6" t="s">
        <v>22</v>
      </c>
      <c r="J15" s="12">
        <v>0.79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6" t="s">
        <v>71</v>
      </c>
      <c r="B16" s="9"/>
      <c r="C16" s="6" t="s">
        <v>72</v>
      </c>
      <c r="D16" s="9"/>
      <c r="E16" s="14" t="s">
        <v>54</v>
      </c>
      <c r="F16" s="20" t="s">
        <v>73</v>
      </c>
      <c r="G16" s="7" t="s">
        <v>67</v>
      </c>
      <c r="H16" s="6" t="s">
        <v>20</v>
      </c>
      <c r="I16" s="6" t="s">
        <v>30</v>
      </c>
      <c r="J16" s="12">
        <v>0.2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6" t="s">
        <v>74</v>
      </c>
      <c r="B17" s="9"/>
      <c r="C17" s="6" t="s">
        <v>59</v>
      </c>
      <c r="D17" s="9"/>
      <c r="E17" s="14" t="s">
        <v>20</v>
      </c>
      <c r="F17" s="6" t="s">
        <v>75</v>
      </c>
      <c r="G17" s="11" t="s">
        <v>67</v>
      </c>
      <c r="H17" s="6" t="s">
        <v>20</v>
      </c>
      <c r="I17" s="6" t="s">
        <v>35</v>
      </c>
      <c r="J17" s="12">
        <v>0.15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6" t="s">
        <v>76</v>
      </c>
      <c r="B18" s="9"/>
      <c r="C18" s="6" t="s">
        <v>77</v>
      </c>
      <c r="D18" s="9"/>
      <c r="E18" s="14" t="s">
        <v>20</v>
      </c>
      <c r="F18" s="6" t="s">
        <v>78</v>
      </c>
      <c r="G18" s="11" t="s">
        <v>67</v>
      </c>
      <c r="H18" s="6" t="s">
        <v>24</v>
      </c>
      <c r="I18" s="6" t="s">
        <v>25</v>
      </c>
      <c r="J18" s="12">
        <v>0.6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20" t="s">
        <v>79</v>
      </c>
      <c r="B19" s="9"/>
      <c r="C19" s="6" t="s">
        <v>80</v>
      </c>
      <c r="D19" s="9"/>
      <c r="E19" s="14" t="s">
        <v>20</v>
      </c>
      <c r="F19" s="6" t="s">
        <v>81</v>
      </c>
      <c r="G19" s="11" t="s">
        <v>67</v>
      </c>
      <c r="H19" s="6" t="s">
        <v>24</v>
      </c>
      <c r="I19" s="6" t="s">
        <v>31</v>
      </c>
      <c r="J19" s="12">
        <v>0.4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20" t="s">
        <v>82</v>
      </c>
      <c r="B20" s="9"/>
      <c r="C20" s="6" t="s">
        <v>83</v>
      </c>
      <c r="D20" s="9"/>
      <c r="E20" s="14" t="s">
        <v>20</v>
      </c>
      <c r="F20" s="6" t="s">
        <v>84</v>
      </c>
      <c r="G20" s="19" t="s">
        <v>85</v>
      </c>
      <c r="H20" s="7" t="s">
        <v>13</v>
      </c>
      <c r="I20" s="7" t="s">
        <v>13</v>
      </c>
      <c r="J20" s="8">
        <v>0.2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21" t="s">
        <v>86</v>
      </c>
      <c r="B21" s="9"/>
      <c r="C21" s="6" t="s">
        <v>87</v>
      </c>
      <c r="D21" s="9"/>
      <c r="G21" s="19" t="s">
        <v>85</v>
      </c>
      <c r="H21" s="6" t="s">
        <v>20</v>
      </c>
      <c r="I21" s="6" t="s">
        <v>22</v>
      </c>
      <c r="J21" s="12">
        <v>0.79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21" t="s">
        <v>60</v>
      </c>
      <c r="B22" s="9"/>
      <c r="C22" s="6" t="s">
        <v>88</v>
      </c>
      <c r="D22" s="9"/>
      <c r="E22" s="9"/>
      <c r="F22" s="6"/>
      <c r="G22" s="19" t="s">
        <v>85</v>
      </c>
      <c r="H22" s="6" t="s">
        <v>20</v>
      </c>
      <c r="I22" s="6" t="s">
        <v>30</v>
      </c>
      <c r="J22" s="12">
        <v>0.2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21" t="s">
        <v>89</v>
      </c>
      <c r="B23" s="9"/>
      <c r="C23" s="6" t="s">
        <v>90</v>
      </c>
      <c r="D23" s="9"/>
      <c r="E23" s="9"/>
      <c r="F23" s="6"/>
      <c r="G23" s="19" t="s">
        <v>85</v>
      </c>
      <c r="H23" s="6" t="s">
        <v>20</v>
      </c>
      <c r="I23" s="6" t="s">
        <v>35</v>
      </c>
      <c r="J23" s="12">
        <v>0.15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21" t="s">
        <v>91</v>
      </c>
      <c r="B24" s="9"/>
      <c r="C24" s="6" t="s">
        <v>92</v>
      </c>
      <c r="D24" s="9"/>
      <c r="E24" s="9"/>
      <c r="F24" s="6"/>
      <c r="G24" s="19" t="s">
        <v>85</v>
      </c>
      <c r="H24" s="6" t="s">
        <v>24</v>
      </c>
      <c r="I24" s="6" t="s">
        <v>25</v>
      </c>
      <c r="J24" s="12">
        <f>J18+0.315</f>
        <v>0.915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21" t="s">
        <v>93</v>
      </c>
      <c r="B25" s="9"/>
      <c r="C25" s="6" t="s">
        <v>94</v>
      </c>
      <c r="D25" s="9"/>
      <c r="E25" s="9"/>
      <c r="F25" s="6"/>
      <c r="G25" s="19" t="s">
        <v>85</v>
      </c>
      <c r="H25" s="6" t="s">
        <v>24</v>
      </c>
      <c r="I25" s="6" t="s">
        <v>31</v>
      </c>
      <c r="J25" s="12">
        <f>J19+0.21</f>
        <v>0.61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21" t="s">
        <v>95</v>
      </c>
      <c r="B26" s="9"/>
      <c r="C26" s="6" t="s">
        <v>96</v>
      </c>
      <c r="D26" s="9"/>
      <c r="E26" s="9"/>
      <c r="F26" s="22"/>
      <c r="G26" s="19" t="s">
        <v>97</v>
      </c>
      <c r="H26" s="7" t="s">
        <v>13</v>
      </c>
      <c r="I26" s="7" t="s">
        <v>13</v>
      </c>
      <c r="J26" s="23">
        <f>J32+(2/50.54)</f>
        <v>0.3895726157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21" t="s">
        <v>98</v>
      </c>
      <c r="B27" s="9"/>
      <c r="C27" s="6" t="s">
        <v>99</v>
      </c>
      <c r="D27" s="9"/>
      <c r="E27" s="9"/>
      <c r="F27" s="22"/>
      <c r="G27" s="19" t="s">
        <v>97</v>
      </c>
      <c r="H27" s="6" t="s">
        <v>20</v>
      </c>
      <c r="I27" s="6" t="s">
        <v>22</v>
      </c>
      <c r="J27" s="23">
        <f>1+(3.5/50.54)</f>
        <v>1.069252078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21" t="s">
        <v>100</v>
      </c>
      <c r="B28" s="9"/>
      <c r="C28" s="6" t="s">
        <v>101</v>
      </c>
      <c r="D28" s="9"/>
      <c r="E28" s="9"/>
      <c r="F28" s="20"/>
      <c r="G28" s="19" t="s">
        <v>97</v>
      </c>
      <c r="H28" s="6" t="s">
        <v>20</v>
      </c>
      <c r="I28" s="6" t="s">
        <v>30</v>
      </c>
      <c r="J28" s="23">
        <v>0.2</v>
      </c>
      <c r="K28" s="9"/>
      <c r="L28" s="9"/>
      <c r="M28" s="2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21" t="s">
        <v>102</v>
      </c>
      <c r="B29" s="9"/>
      <c r="C29" s="6" t="s">
        <v>103</v>
      </c>
      <c r="D29" s="9"/>
      <c r="E29" s="9"/>
      <c r="F29" s="21"/>
      <c r="G29" s="19" t="s">
        <v>97</v>
      </c>
      <c r="H29" s="6" t="s">
        <v>20</v>
      </c>
      <c r="I29" s="6" t="s">
        <v>35</v>
      </c>
      <c r="J29" s="23">
        <f>0.15+(0.5/50.54)</f>
        <v>0.1598931539</v>
      </c>
      <c r="K29" s="9"/>
      <c r="L29" s="9"/>
      <c r="M29" s="24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21" t="s">
        <v>55</v>
      </c>
      <c r="B30" s="9"/>
      <c r="C30" s="6" t="s">
        <v>104</v>
      </c>
      <c r="D30" s="9"/>
      <c r="E30" s="9"/>
      <c r="F30" s="21"/>
      <c r="G30" s="19" t="s">
        <v>97</v>
      </c>
      <c r="H30" s="6" t="s">
        <v>24</v>
      </c>
      <c r="I30" s="6" t="s">
        <v>25</v>
      </c>
      <c r="J30" s="23">
        <f>0.6+0.005+0.00055</f>
        <v>0.60555</v>
      </c>
      <c r="K30" s="9"/>
      <c r="L30" s="9"/>
      <c r="M30" s="24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21" t="s">
        <v>105</v>
      </c>
      <c r="B31" s="9"/>
      <c r="C31" s="20" t="s">
        <v>106</v>
      </c>
      <c r="D31" s="9"/>
      <c r="E31" s="9"/>
      <c r="F31" s="21"/>
      <c r="G31" s="19" t="s">
        <v>97</v>
      </c>
      <c r="H31" s="6" t="s">
        <v>24</v>
      </c>
      <c r="I31" s="6" t="s">
        <v>31</v>
      </c>
      <c r="J31" s="23">
        <f>0.5+(0.009)+(0.0005)+0.014</f>
        <v>0.5235</v>
      </c>
      <c r="K31" s="9"/>
      <c r="L31" s="9"/>
      <c r="M31" s="24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21" t="s">
        <v>107</v>
      </c>
      <c r="B32" s="9"/>
      <c r="C32" s="20" t="s">
        <v>108</v>
      </c>
      <c r="D32" s="9"/>
      <c r="E32" s="9"/>
      <c r="F32" s="21"/>
      <c r="G32" s="7" t="s">
        <v>109</v>
      </c>
      <c r="H32" s="7" t="s">
        <v>13</v>
      </c>
      <c r="I32" s="7" t="s">
        <v>13</v>
      </c>
      <c r="J32" s="8">
        <v>0.35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21" t="s">
        <v>110</v>
      </c>
      <c r="B33" s="9"/>
      <c r="C33" s="20" t="s">
        <v>111</v>
      </c>
      <c r="D33" s="9"/>
      <c r="E33" s="9"/>
      <c r="F33" s="21"/>
      <c r="G33" s="11" t="s">
        <v>109</v>
      </c>
      <c r="H33" s="6" t="s">
        <v>20</v>
      </c>
      <c r="I33" s="6" t="s">
        <v>22</v>
      </c>
      <c r="J33" s="12">
        <v>1.0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21" t="s">
        <v>112</v>
      </c>
      <c r="B34" s="9"/>
      <c r="C34" s="20" t="s">
        <v>113</v>
      </c>
      <c r="D34" s="9"/>
      <c r="E34" s="9"/>
      <c r="F34" s="21"/>
      <c r="G34" s="7" t="s">
        <v>109</v>
      </c>
      <c r="H34" s="6" t="s">
        <v>20</v>
      </c>
      <c r="I34" s="6" t="s">
        <v>30</v>
      </c>
      <c r="J34" s="12">
        <v>0.2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21" t="s">
        <v>114</v>
      </c>
      <c r="B35" s="9"/>
      <c r="C35" s="20" t="s">
        <v>115</v>
      </c>
      <c r="D35" s="9"/>
      <c r="E35" s="9"/>
      <c r="F35" s="21"/>
      <c r="G35" s="11" t="s">
        <v>109</v>
      </c>
      <c r="H35" s="6" t="s">
        <v>20</v>
      </c>
      <c r="I35" s="6" t="s">
        <v>35</v>
      </c>
      <c r="J35" s="12">
        <v>0.15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21" t="s">
        <v>116</v>
      </c>
      <c r="B36" s="9"/>
      <c r="C36" s="20" t="s">
        <v>117</v>
      </c>
      <c r="D36" s="9"/>
      <c r="E36" s="9"/>
      <c r="F36" s="21"/>
      <c r="G36" s="7" t="s">
        <v>109</v>
      </c>
      <c r="H36" s="6" t="s">
        <v>24</v>
      </c>
      <c r="I36" s="6" t="s">
        <v>25</v>
      </c>
      <c r="J36" s="12">
        <v>0.6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21" t="s">
        <v>118</v>
      </c>
      <c r="B37" s="25"/>
      <c r="C37" s="20" t="s">
        <v>119</v>
      </c>
      <c r="D37" s="9"/>
      <c r="E37" s="9"/>
      <c r="F37" s="21"/>
      <c r="G37" s="11" t="s">
        <v>109</v>
      </c>
      <c r="H37" s="6" t="s">
        <v>24</v>
      </c>
      <c r="I37" s="6" t="s">
        <v>31</v>
      </c>
      <c r="J37" s="12">
        <v>0.5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21" t="s">
        <v>120</v>
      </c>
      <c r="B38" s="9"/>
      <c r="C38" s="20" t="s">
        <v>121</v>
      </c>
      <c r="D38" s="9"/>
      <c r="E38" s="9"/>
      <c r="F38" s="21"/>
      <c r="G38" s="7" t="s">
        <v>122</v>
      </c>
      <c r="H38" s="7" t="s">
        <v>13</v>
      </c>
      <c r="I38" s="7" t="s">
        <v>13</v>
      </c>
      <c r="J38" s="8">
        <v>0.29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21" t="s">
        <v>123</v>
      </c>
      <c r="B39" s="9"/>
      <c r="C39" s="6" t="s">
        <v>124</v>
      </c>
      <c r="D39" s="9"/>
      <c r="E39" s="9"/>
      <c r="F39" s="21"/>
      <c r="G39" s="11" t="s">
        <v>122</v>
      </c>
      <c r="H39" s="6" t="s">
        <v>20</v>
      </c>
      <c r="I39" s="6" t="s">
        <v>22</v>
      </c>
      <c r="J39" s="12">
        <v>1.0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21" t="s">
        <v>125</v>
      </c>
      <c r="B40" s="9"/>
      <c r="C40" s="6" t="s">
        <v>126</v>
      </c>
      <c r="D40" s="9"/>
      <c r="E40" s="9"/>
      <c r="F40" s="21"/>
      <c r="G40" s="7" t="s">
        <v>122</v>
      </c>
      <c r="H40" s="6" t="s">
        <v>20</v>
      </c>
      <c r="I40" s="6" t="s">
        <v>30</v>
      </c>
      <c r="J40" s="12">
        <v>0.2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21" t="s">
        <v>127</v>
      </c>
      <c r="B41" s="9"/>
      <c r="C41" s="20" t="s">
        <v>128</v>
      </c>
      <c r="D41" s="9"/>
      <c r="E41" s="9"/>
      <c r="F41" s="21"/>
      <c r="G41" s="11" t="s">
        <v>122</v>
      </c>
      <c r="H41" s="6" t="s">
        <v>20</v>
      </c>
      <c r="I41" s="6" t="s">
        <v>35</v>
      </c>
      <c r="J41" s="12">
        <v>0.15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21" t="s">
        <v>129</v>
      </c>
      <c r="B42" s="9"/>
      <c r="C42" s="20" t="s">
        <v>130</v>
      </c>
      <c r="D42" s="9"/>
      <c r="E42" s="9"/>
      <c r="F42" s="21"/>
      <c r="G42" s="7" t="s">
        <v>122</v>
      </c>
      <c r="H42" s="6" t="s">
        <v>24</v>
      </c>
      <c r="I42" s="6" t="s">
        <v>25</v>
      </c>
      <c r="J42" s="12">
        <v>0.6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21" t="s">
        <v>131</v>
      </c>
      <c r="B43" s="9"/>
      <c r="C43" s="21" t="s">
        <v>132</v>
      </c>
      <c r="D43" s="9"/>
      <c r="E43" s="9"/>
      <c r="F43" s="21"/>
      <c r="G43" s="11" t="s">
        <v>122</v>
      </c>
      <c r="H43" s="6" t="s">
        <v>24</v>
      </c>
      <c r="I43" s="6" t="s">
        <v>31</v>
      </c>
      <c r="J43" s="12">
        <v>0.5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21" t="s">
        <v>133</v>
      </c>
      <c r="B44" s="9"/>
      <c r="C44" s="21" t="s">
        <v>134</v>
      </c>
      <c r="D44" s="9"/>
      <c r="E44" s="9"/>
      <c r="F44" s="21"/>
      <c r="G44" s="7" t="s">
        <v>135</v>
      </c>
      <c r="H44" s="6" t="s">
        <v>20</v>
      </c>
      <c r="I44" s="6" t="s">
        <v>47</v>
      </c>
      <c r="J44" s="12">
        <v>0.52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21" t="s">
        <v>136</v>
      </c>
      <c r="B45" s="9"/>
      <c r="C45" s="21" t="s">
        <v>137</v>
      </c>
      <c r="D45" s="9"/>
      <c r="E45" s="9"/>
      <c r="F45" s="21"/>
      <c r="G45" s="11" t="s">
        <v>135</v>
      </c>
      <c r="H45" s="6" t="s">
        <v>20</v>
      </c>
      <c r="I45" s="6" t="s">
        <v>35</v>
      </c>
      <c r="J45" s="12">
        <f>0.31+0.15</f>
        <v>0.46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21" t="s">
        <v>138</v>
      </c>
      <c r="B46" s="9"/>
      <c r="C46" s="21" t="s">
        <v>139</v>
      </c>
      <c r="D46" s="9"/>
      <c r="E46" s="9"/>
      <c r="F46" s="21"/>
      <c r="G46" s="11" t="s">
        <v>135</v>
      </c>
      <c r="H46" s="7" t="s">
        <v>13</v>
      </c>
      <c r="I46" s="7" t="s">
        <v>13</v>
      </c>
      <c r="J46" s="8">
        <v>0.37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26" t="s">
        <v>140</v>
      </c>
      <c r="B47" s="9"/>
      <c r="C47" s="21" t="s">
        <v>141</v>
      </c>
      <c r="D47" s="9"/>
      <c r="E47" s="9"/>
      <c r="F47" s="21"/>
      <c r="G47" s="11" t="s">
        <v>135</v>
      </c>
      <c r="H47" s="6" t="s">
        <v>20</v>
      </c>
      <c r="I47" s="6" t="s">
        <v>22</v>
      </c>
      <c r="J47" s="12">
        <v>0.32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26" t="s">
        <v>142</v>
      </c>
      <c r="B48" s="9"/>
      <c r="C48" s="21" t="s">
        <v>143</v>
      </c>
      <c r="D48" s="9"/>
      <c r="E48" s="9"/>
      <c r="F48" s="21"/>
      <c r="G48" s="11" t="s">
        <v>135</v>
      </c>
      <c r="H48" s="6" t="s">
        <v>20</v>
      </c>
      <c r="I48" s="6" t="s">
        <v>30</v>
      </c>
      <c r="J48" s="12">
        <v>0.15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26" t="s">
        <v>144</v>
      </c>
      <c r="B49" s="9"/>
      <c r="C49" s="21" t="s">
        <v>145</v>
      </c>
      <c r="D49" s="9"/>
      <c r="E49" s="9"/>
      <c r="F49" s="21"/>
      <c r="G49" s="11" t="s">
        <v>135</v>
      </c>
      <c r="H49" s="6" t="s">
        <v>24</v>
      </c>
      <c r="I49" s="6" t="s">
        <v>31</v>
      </c>
      <c r="J49" s="12">
        <v>0.1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9"/>
      <c r="B50" s="9"/>
      <c r="C50" s="21" t="s">
        <v>146</v>
      </c>
      <c r="D50" s="9"/>
      <c r="E50" s="9"/>
      <c r="F50" s="21"/>
      <c r="G50" s="7" t="s">
        <v>147</v>
      </c>
      <c r="H50" s="7" t="s">
        <v>13</v>
      </c>
      <c r="I50" s="7" t="s">
        <v>13</v>
      </c>
      <c r="J50" s="12">
        <v>0.4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9"/>
      <c r="B51" s="9"/>
      <c r="C51" s="21" t="s">
        <v>148</v>
      </c>
      <c r="D51" s="9"/>
      <c r="E51" s="9"/>
      <c r="F51" s="21"/>
      <c r="G51" s="11" t="s">
        <v>147</v>
      </c>
      <c r="H51" s="6" t="s">
        <v>20</v>
      </c>
      <c r="I51" s="6" t="s">
        <v>22</v>
      </c>
      <c r="J51" s="12">
        <v>0.16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9"/>
      <c r="B52" s="9"/>
      <c r="C52" s="21" t="s">
        <v>149</v>
      </c>
      <c r="D52" s="9"/>
      <c r="E52" s="9"/>
      <c r="F52" s="21"/>
      <c r="G52" s="7" t="s">
        <v>147</v>
      </c>
      <c r="H52" s="6" t="s">
        <v>20</v>
      </c>
      <c r="I52" s="6" t="s">
        <v>30</v>
      </c>
      <c r="J52" s="12">
        <v>0.0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9"/>
      <c r="B53" s="9"/>
      <c r="C53" s="21" t="s">
        <v>150</v>
      </c>
      <c r="D53" s="9"/>
      <c r="E53" s="9"/>
      <c r="F53" s="21"/>
      <c r="G53" s="11" t="s">
        <v>147</v>
      </c>
      <c r="H53" s="6" t="s">
        <v>20</v>
      </c>
      <c r="I53" s="6" t="s">
        <v>35</v>
      </c>
      <c r="J53" s="12">
        <v>0.1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9"/>
      <c r="B54" s="9"/>
      <c r="C54" s="21" t="s">
        <v>151</v>
      </c>
      <c r="D54" s="9"/>
      <c r="E54" s="9"/>
      <c r="F54" s="21"/>
      <c r="G54" s="7" t="s">
        <v>147</v>
      </c>
      <c r="H54" s="6" t="s">
        <v>24</v>
      </c>
      <c r="I54" s="6" t="s">
        <v>25</v>
      </c>
      <c r="J54" s="12">
        <v>0.6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9"/>
      <c r="B55" s="9"/>
      <c r="C55" s="21" t="s">
        <v>152</v>
      </c>
      <c r="D55" s="9"/>
      <c r="E55" s="9"/>
      <c r="F55" s="21"/>
      <c r="G55" s="11" t="s">
        <v>147</v>
      </c>
      <c r="H55" s="6" t="s">
        <v>24</v>
      </c>
      <c r="I55" s="6" t="s">
        <v>31</v>
      </c>
      <c r="J55" s="12">
        <v>0.75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9"/>
      <c r="B56" s="9"/>
      <c r="C56" s="21" t="s">
        <v>153</v>
      </c>
      <c r="D56" s="9"/>
      <c r="E56" s="9"/>
      <c r="F56" s="21"/>
      <c r="G56" s="7" t="s">
        <v>154</v>
      </c>
      <c r="H56" s="7" t="s">
        <v>13</v>
      </c>
      <c r="I56" s="7" t="s">
        <v>13</v>
      </c>
      <c r="J56" s="12">
        <v>0.48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9"/>
      <c r="B57" s="9"/>
      <c r="C57" s="21" t="s">
        <v>155</v>
      </c>
      <c r="D57" s="9"/>
      <c r="E57" s="9"/>
      <c r="F57" s="21"/>
      <c r="G57" s="11" t="s">
        <v>154</v>
      </c>
      <c r="H57" s="6" t="s">
        <v>20</v>
      </c>
      <c r="I57" s="6" t="s">
        <v>22</v>
      </c>
      <c r="J57" s="12">
        <v>0.16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9"/>
      <c r="B58" s="9"/>
      <c r="C58" s="21" t="s">
        <v>156</v>
      </c>
      <c r="D58" s="9"/>
      <c r="E58" s="9"/>
      <c r="F58" s="21"/>
      <c r="G58" s="7" t="s">
        <v>154</v>
      </c>
      <c r="H58" s="6" t="s">
        <v>20</v>
      </c>
      <c r="I58" s="6" t="s">
        <v>30</v>
      </c>
      <c r="J58" s="12">
        <v>0.0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9"/>
      <c r="B59" s="9"/>
      <c r="C59" s="21" t="s">
        <v>157</v>
      </c>
      <c r="D59" s="9"/>
      <c r="E59" s="9"/>
      <c r="F59" s="21"/>
      <c r="G59" s="11" t="s">
        <v>154</v>
      </c>
      <c r="H59" s="6" t="s">
        <v>20</v>
      </c>
      <c r="I59" s="6" t="s">
        <v>35</v>
      </c>
      <c r="J59" s="12">
        <v>0.1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9"/>
      <c r="B60" s="9"/>
      <c r="C60" s="21" t="s">
        <v>158</v>
      </c>
      <c r="D60" s="9"/>
      <c r="E60" s="9"/>
      <c r="F60" s="21"/>
      <c r="G60" s="7" t="s">
        <v>154</v>
      </c>
      <c r="H60" s="6" t="s">
        <v>24</v>
      </c>
      <c r="I60" s="6" t="s">
        <v>25</v>
      </c>
      <c r="J60" s="12">
        <v>0.7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9"/>
      <c r="B61" s="9"/>
      <c r="C61" s="21" t="s">
        <v>159</v>
      </c>
      <c r="D61" s="9"/>
      <c r="E61" s="9"/>
      <c r="F61" s="21"/>
      <c r="G61" s="11" t="s">
        <v>154</v>
      </c>
      <c r="H61" s="6" t="s">
        <v>24</v>
      </c>
      <c r="I61" s="6" t="s">
        <v>31</v>
      </c>
      <c r="J61" s="12">
        <v>0.95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9"/>
      <c r="B62" s="9"/>
      <c r="C62" s="21" t="s">
        <v>160</v>
      </c>
      <c r="D62" s="9"/>
      <c r="E62" s="9"/>
      <c r="F62" s="21"/>
      <c r="G62" s="7" t="s">
        <v>161</v>
      </c>
      <c r="H62" s="7" t="s">
        <v>13</v>
      </c>
      <c r="I62" s="7" t="s">
        <v>13</v>
      </c>
      <c r="J62" s="12">
        <v>0.2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9"/>
      <c r="B63" s="9"/>
      <c r="C63" s="9"/>
      <c r="D63" s="9"/>
      <c r="E63" s="9"/>
      <c r="F63" s="21"/>
      <c r="G63" s="11" t="s">
        <v>161</v>
      </c>
      <c r="H63" s="6" t="s">
        <v>20</v>
      </c>
      <c r="I63" s="6" t="s">
        <v>22</v>
      </c>
      <c r="J63" s="12">
        <v>0.9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9"/>
      <c r="B64" s="9"/>
      <c r="C64" s="9"/>
      <c r="D64" s="9"/>
      <c r="E64" s="9"/>
      <c r="F64" s="21"/>
      <c r="G64" s="7" t="s">
        <v>161</v>
      </c>
      <c r="H64" s="6" t="s">
        <v>20</v>
      </c>
      <c r="I64" s="6" t="s">
        <v>30</v>
      </c>
      <c r="J64" s="12">
        <v>0.25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9"/>
      <c r="B65" s="9"/>
      <c r="C65" s="9"/>
      <c r="D65" s="9"/>
      <c r="E65" s="9"/>
      <c r="F65" s="21"/>
      <c r="G65" s="11" t="s">
        <v>161</v>
      </c>
      <c r="H65" s="6" t="s">
        <v>20</v>
      </c>
      <c r="I65" s="6" t="s">
        <v>35</v>
      </c>
      <c r="J65" s="12">
        <v>0.15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9"/>
      <c r="B66" s="9"/>
      <c r="C66" s="9"/>
      <c r="D66" s="9"/>
      <c r="E66" s="9"/>
      <c r="F66" s="21"/>
      <c r="G66" s="7" t="s">
        <v>161</v>
      </c>
      <c r="H66" s="6" t="s">
        <v>24</v>
      </c>
      <c r="I66" s="6" t="s">
        <v>25</v>
      </c>
      <c r="J66" s="12">
        <v>0.5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9"/>
      <c r="B67" s="9"/>
      <c r="C67" s="9"/>
      <c r="D67" s="9"/>
      <c r="E67" s="9"/>
      <c r="F67" s="21"/>
      <c r="G67" s="11" t="s">
        <v>161</v>
      </c>
      <c r="H67" s="6" t="s">
        <v>24</v>
      </c>
      <c r="I67" s="6" t="s">
        <v>31</v>
      </c>
      <c r="J67" s="12">
        <v>0.55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9"/>
      <c r="B68" s="9"/>
      <c r="C68" s="9"/>
      <c r="D68" s="9"/>
      <c r="E68" s="9"/>
      <c r="F68" s="21"/>
      <c r="G68" s="7" t="s">
        <v>162</v>
      </c>
      <c r="H68" s="6" t="s">
        <v>20</v>
      </c>
      <c r="I68" s="6" t="s">
        <v>22</v>
      </c>
      <c r="J68" s="12">
        <f>0.57+0.33</f>
        <v>0.9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9"/>
      <c r="B69" s="9"/>
      <c r="C69" s="9"/>
      <c r="D69" s="9"/>
      <c r="E69" s="9"/>
      <c r="F69" s="21"/>
      <c r="G69" s="7" t="s">
        <v>162</v>
      </c>
      <c r="H69" s="6" t="s">
        <v>20</v>
      </c>
      <c r="I69" s="6" t="s">
        <v>35</v>
      </c>
      <c r="J69" s="12">
        <v>0.17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9"/>
      <c r="B70" s="9"/>
      <c r="C70" s="9"/>
      <c r="D70" s="9"/>
      <c r="E70" s="9"/>
      <c r="F70" s="21"/>
      <c r="G70" s="11" t="s">
        <v>163</v>
      </c>
      <c r="H70" s="6" t="s">
        <v>20</v>
      </c>
      <c r="I70" s="6" t="s">
        <v>22</v>
      </c>
      <c r="J70" s="12">
        <f>2.15+0.35</f>
        <v>2.5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9"/>
      <c r="B71" s="9"/>
      <c r="C71" s="9"/>
      <c r="D71" s="9"/>
      <c r="E71" s="9"/>
      <c r="F71" s="21"/>
      <c r="G71" s="11" t="s">
        <v>163</v>
      </c>
      <c r="H71" s="6" t="s">
        <v>20</v>
      </c>
      <c r="I71" s="6" t="s">
        <v>35</v>
      </c>
      <c r="J71" s="12">
        <v>0.13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9"/>
      <c r="B72" s="9"/>
      <c r="C72" s="9"/>
      <c r="D72" s="9"/>
      <c r="E72" s="9"/>
      <c r="F72" s="21"/>
      <c r="G72" s="7" t="s">
        <v>164</v>
      </c>
      <c r="H72" s="7" t="s">
        <v>13</v>
      </c>
      <c r="I72" s="7" t="s">
        <v>13</v>
      </c>
      <c r="J72" s="12">
        <f>J2</f>
        <v>0.2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9"/>
      <c r="B73" s="9"/>
      <c r="C73" s="9"/>
      <c r="D73" s="9"/>
      <c r="E73" s="9"/>
      <c r="F73" s="21"/>
      <c r="G73" s="11" t="s">
        <v>164</v>
      </c>
      <c r="H73" s="6" t="s">
        <v>20</v>
      </c>
      <c r="I73" s="6" t="s">
        <v>22</v>
      </c>
      <c r="J73" s="12">
        <v>0.73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9"/>
      <c r="B74" s="9"/>
      <c r="C74" s="9"/>
      <c r="D74" s="9"/>
      <c r="E74" s="9"/>
      <c r="F74" s="21"/>
      <c r="G74" s="7" t="s">
        <v>164</v>
      </c>
      <c r="H74" s="6" t="s">
        <v>20</v>
      </c>
      <c r="I74" s="6" t="s">
        <v>30</v>
      </c>
      <c r="J74" s="12">
        <v>0.2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9"/>
      <c r="B75" s="9"/>
      <c r="C75" s="9"/>
      <c r="D75" s="9"/>
      <c r="E75" s="9"/>
      <c r="F75" s="21"/>
      <c r="G75" s="11" t="s">
        <v>164</v>
      </c>
      <c r="H75" s="6" t="s">
        <v>20</v>
      </c>
      <c r="I75" s="6" t="s">
        <v>35</v>
      </c>
      <c r="J75" s="12">
        <v>0.25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9"/>
      <c r="B76" s="9"/>
      <c r="C76" s="9"/>
      <c r="D76" s="9"/>
      <c r="E76" s="9"/>
      <c r="F76" s="21"/>
      <c r="G76" s="7" t="s">
        <v>164</v>
      </c>
      <c r="H76" s="6" t="s">
        <v>24</v>
      </c>
      <c r="I76" s="6" t="s">
        <v>25</v>
      </c>
      <c r="J76" s="12">
        <v>0.531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9"/>
      <c r="B77" s="9"/>
      <c r="C77" s="9"/>
      <c r="D77" s="9"/>
      <c r="E77" s="9"/>
      <c r="F77" s="21"/>
      <c r="G77" s="11" t="s">
        <v>164</v>
      </c>
      <c r="H77" s="6" t="s">
        <v>24</v>
      </c>
      <c r="I77" s="6" t="s">
        <v>31</v>
      </c>
      <c r="J77" s="12">
        <v>0.472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9"/>
      <c r="B78" s="9"/>
      <c r="C78" s="9"/>
      <c r="D78" s="9"/>
      <c r="E78" s="9"/>
      <c r="F78" s="21"/>
      <c r="G78" s="19" t="s">
        <v>165</v>
      </c>
      <c r="H78" s="7" t="s">
        <v>13</v>
      </c>
      <c r="I78" s="7" t="s">
        <v>13</v>
      </c>
      <c r="J78" s="1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9"/>
      <c r="B79" s="9"/>
      <c r="C79" s="9"/>
      <c r="D79" s="9"/>
      <c r="E79" s="9"/>
      <c r="F79" s="21"/>
      <c r="G79" s="19" t="s">
        <v>165</v>
      </c>
      <c r="H79" s="6" t="s">
        <v>20</v>
      </c>
      <c r="I79" s="6" t="s">
        <v>22</v>
      </c>
      <c r="J79" s="12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9"/>
      <c r="B80" s="9"/>
      <c r="C80" s="9"/>
      <c r="D80" s="9"/>
      <c r="E80" s="9"/>
      <c r="F80" s="21"/>
      <c r="G80" s="19" t="s">
        <v>165</v>
      </c>
      <c r="H80" s="6" t="s">
        <v>20</v>
      </c>
      <c r="I80" s="6" t="s">
        <v>30</v>
      </c>
      <c r="J80" s="12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9"/>
      <c r="B81" s="9"/>
      <c r="C81" s="9"/>
      <c r="D81" s="9"/>
      <c r="E81" s="9"/>
      <c r="F81" s="21"/>
      <c r="G81" s="19" t="s">
        <v>165</v>
      </c>
      <c r="H81" s="6" t="s">
        <v>20</v>
      </c>
      <c r="I81" s="6" t="s">
        <v>35</v>
      </c>
      <c r="J81" s="12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9"/>
      <c r="B82" s="9"/>
      <c r="C82" s="9"/>
      <c r="D82" s="9"/>
      <c r="E82" s="9"/>
      <c r="F82" s="21"/>
      <c r="G82" s="19" t="s">
        <v>165</v>
      </c>
      <c r="H82" s="6" t="s">
        <v>24</v>
      </c>
      <c r="I82" s="6" t="s">
        <v>25</v>
      </c>
      <c r="J82" s="1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9"/>
      <c r="B83" s="9"/>
      <c r="C83" s="9"/>
      <c r="D83" s="9"/>
      <c r="E83" s="9"/>
      <c r="F83" s="21"/>
      <c r="G83" s="19" t="s">
        <v>165</v>
      </c>
      <c r="H83" s="6" t="s">
        <v>24</v>
      </c>
      <c r="I83" s="6" t="s">
        <v>31</v>
      </c>
      <c r="J83" s="12"/>
      <c r="K83" s="9"/>
      <c r="L83" s="13"/>
      <c r="M83" s="14"/>
      <c r="N83" s="14"/>
      <c r="O83" s="27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9"/>
      <c r="B84" s="9"/>
      <c r="C84" s="9"/>
      <c r="D84" s="9"/>
      <c r="E84" s="9"/>
      <c r="F84" s="21"/>
      <c r="G84" s="7" t="s">
        <v>166</v>
      </c>
      <c r="H84" s="6" t="s">
        <v>20</v>
      </c>
      <c r="I84" s="6" t="s">
        <v>22</v>
      </c>
      <c r="J84" s="12"/>
      <c r="K84" s="9"/>
      <c r="L84" s="13"/>
      <c r="M84" s="14"/>
      <c r="N84" s="14"/>
      <c r="O84" s="27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9"/>
      <c r="B85" s="9"/>
      <c r="C85" s="9"/>
      <c r="D85" s="9"/>
      <c r="E85" s="9"/>
      <c r="F85" s="21"/>
      <c r="G85" s="7" t="s">
        <v>166</v>
      </c>
      <c r="H85" s="6" t="s">
        <v>24</v>
      </c>
      <c r="I85" s="6" t="s">
        <v>25</v>
      </c>
      <c r="J85" s="12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9"/>
      <c r="B86" s="9"/>
      <c r="C86" s="9"/>
      <c r="D86" s="9"/>
      <c r="E86" s="9"/>
      <c r="F86" s="21"/>
      <c r="G86" s="7" t="s">
        <v>166</v>
      </c>
      <c r="H86" s="6" t="s">
        <v>24</v>
      </c>
      <c r="I86" s="6" t="s">
        <v>31</v>
      </c>
      <c r="J86" s="12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9"/>
      <c r="B87" s="9"/>
      <c r="C87" s="9"/>
      <c r="D87" s="9"/>
      <c r="E87" s="9"/>
      <c r="F87" s="21"/>
      <c r="G87" s="7" t="s">
        <v>167</v>
      </c>
      <c r="H87" s="6" t="s">
        <v>20</v>
      </c>
      <c r="I87" s="6" t="s">
        <v>22</v>
      </c>
      <c r="J87" s="12">
        <v>0.25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9"/>
      <c r="B88" s="9"/>
      <c r="C88" s="9"/>
      <c r="D88" s="9"/>
      <c r="E88" s="9"/>
      <c r="F88" s="21"/>
      <c r="G88" s="11" t="s">
        <v>167</v>
      </c>
      <c r="H88" s="6" t="s">
        <v>20</v>
      </c>
      <c r="I88" s="6" t="s">
        <v>35</v>
      </c>
      <c r="J88" s="12">
        <v>0.05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9"/>
      <c r="B89" s="9"/>
      <c r="C89" s="9"/>
      <c r="D89" s="9"/>
      <c r="E89" s="9"/>
      <c r="F89" s="21"/>
      <c r="G89" s="7" t="s">
        <v>167</v>
      </c>
      <c r="H89" s="6" t="s">
        <v>20</v>
      </c>
      <c r="I89" s="6" t="s">
        <v>21</v>
      </c>
      <c r="J89" s="12">
        <v>0.01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9"/>
      <c r="B90" s="9"/>
      <c r="C90" s="9"/>
      <c r="D90" s="9"/>
      <c r="E90" s="9"/>
      <c r="F90" s="21"/>
      <c r="G90" s="11" t="s">
        <v>168</v>
      </c>
      <c r="H90" s="6" t="s">
        <v>20</v>
      </c>
      <c r="I90" s="6" t="s">
        <v>22</v>
      </c>
      <c r="J90" s="8">
        <v>0.7</v>
      </c>
      <c r="K90" s="9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9"/>
      <c r="B91" s="9"/>
      <c r="C91" s="9"/>
      <c r="D91" s="9"/>
      <c r="E91" s="9"/>
      <c r="F91" s="21"/>
      <c r="G91" s="11" t="s">
        <v>168</v>
      </c>
      <c r="H91" s="6" t="s">
        <v>20</v>
      </c>
      <c r="I91" s="6" t="s">
        <v>35</v>
      </c>
      <c r="J91" s="8">
        <v>0.05</v>
      </c>
      <c r="K91" s="9"/>
      <c r="L91" s="1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9"/>
      <c r="B92" s="9"/>
      <c r="C92" s="9"/>
      <c r="D92" s="9"/>
      <c r="E92" s="9"/>
      <c r="F92" s="21"/>
      <c r="G92" s="7" t="s">
        <v>169</v>
      </c>
      <c r="H92" s="7" t="s">
        <v>13</v>
      </c>
      <c r="I92" s="7" t="s">
        <v>13</v>
      </c>
      <c r="J92" s="12">
        <v>0.0475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9"/>
      <c r="B93" s="9"/>
      <c r="C93" s="9"/>
      <c r="D93" s="9"/>
      <c r="E93" s="9"/>
      <c r="F93" s="21"/>
      <c r="G93" s="11" t="s">
        <v>169</v>
      </c>
      <c r="H93" s="6" t="s">
        <v>20</v>
      </c>
      <c r="I93" s="6" t="s">
        <v>35</v>
      </c>
      <c r="J93" s="12">
        <v>0.0237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9"/>
      <c r="B94" s="9"/>
      <c r="C94" s="9"/>
      <c r="D94" s="9"/>
      <c r="E94" s="9"/>
      <c r="F94" s="21"/>
      <c r="G94" s="7" t="s">
        <v>169</v>
      </c>
      <c r="H94" s="6" t="s">
        <v>24</v>
      </c>
      <c r="I94" s="6" t="s">
        <v>25</v>
      </c>
      <c r="J94" s="12">
        <v>0.01425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9"/>
      <c r="B95" s="9"/>
      <c r="C95" s="9"/>
      <c r="D95" s="9"/>
      <c r="E95" s="9"/>
      <c r="F95" s="21"/>
      <c r="G95" s="11" t="s">
        <v>169</v>
      </c>
      <c r="H95" s="6" t="s">
        <v>24</v>
      </c>
      <c r="I95" s="6" t="s">
        <v>31</v>
      </c>
      <c r="J95" s="12">
        <v>0.0594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9"/>
      <c r="B96" s="9"/>
      <c r="C96" s="9"/>
      <c r="D96" s="9"/>
      <c r="E96" s="9"/>
      <c r="F96" s="21"/>
      <c r="G96" s="28" t="s">
        <v>170</v>
      </c>
      <c r="H96" s="6" t="s">
        <v>20</v>
      </c>
      <c r="I96" s="6" t="s">
        <v>22</v>
      </c>
      <c r="J96" s="29">
        <v>2.0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9"/>
      <c r="B97" s="9"/>
      <c r="C97" s="9"/>
      <c r="D97" s="9"/>
      <c r="E97" s="9"/>
      <c r="F97" s="21"/>
      <c r="G97" s="28" t="s">
        <v>170</v>
      </c>
      <c r="H97" s="6" t="s">
        <v>20</v>
      </c>
      <c r="I97" s="6" t="s">
        <v>35</v>
      </c>
      <c r="J97" s="29">
        <v>0.05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9"/>
      <c r="B98" s="9"/>
      <c r="C98" s="9"/>
      <c r="D98" s="9"/>
      <c r="E98" s="9"/>
      <c r="F98" s="21"/>
      <c r="G98" s="19" t="s">
        <v>171</v>
      </c>
      <c r="H98" s="7" t="s">
        <v>13</v>
      </c>
      <c r="I98" s="7" t="s">
        <v>13</v>
      </c>
      <c r="J98" s="12">
        <v>0.2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9"/>
      <c r="B99" s="9"/>
      <c r="C99" s="9"/>
      <c r="D99" s="9"/>
      <c r="E99" s="9"/>
      <c r="F99" s="21"/>
      <c r="G99" s="19" t="s">
        <v>171</v>
      </c>
      <c r="H99" s="6" t="s">
        <v>20</v>
      </c>
      <c r="I99" s="6" t="s">
        <v>22</v>
      </c>
      <c r="J99" s="12">
        <f>0.79+(2/4.71)</f>
        <v>1.21462845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9"/>
      <c r="B100" s="9"/>
      <c r="C100" s="9"/>
      <c r="D100" s="9"/>
      <c r="E100" s="9"/>
      <c r="F100" s="21"/>
      <c r="G100" s="19" t="s">
        <v>171</v>
      </c>
      <c r="H100" s="6" t="s">
        <v>20</v>
      </c>
      <c r="I100" s="6" t="s">
        <v>30</v>
      </c>
      <c r="J100" s="12">
        <f>0.2+(2/4.71)</f>
        <v>0.6246284501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9"/>
      <c r="B101" s="9"/>
      <c r="C101" s="9"/>
      <c r="D101" s="9"/>
      <c r="E101" s="9"/>
      <c r="F101" s="21"/>
      <c r="G101" s="19" t="s">
        <v>171</v>
      </c>
      <c r="H101" s="6" t="s">
        <v>20</v>
      </c>
      <c r="I101" s="6" t="s">
        <v>35</v>
      </c>
      <c r="J101" s="12">
        <v>0.15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9"/>
      <c r="B102" s="9"/>
      <c r="C102" s="9"/>
      <c r="D102" s="9"/>
      <c r="E102" s="9"/>
      <c r="F102" s="21"/>
      <c r="G102" s="19" t="s">
        <v>171</v>
      </c>
      <c r="H102" s="6" t="s">
        <v>24</v>
      </c>
      <c r="I102" s="6" t="s">
        <v>25</v>
      </c>
      <c r="J102" s="12">
        <v>0.6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9"/>
      <c r="B103" s="9"/>
      <c r="C103" s="9"/>
      <c r="D103" s="9"/>
      <c r="E103" s="9"/>
      <c r="F103" s="21"/>
      <c r="G103" s="19" t="s">
        <v>171</v>
      </c>
      <c r="H103" s="6" t="s">
        <v>24</v>
      </c>
      <c r="I103" s="6" t="s">
        <v>31</v>
      </c>
      <c r="J103" s="12">
        <v>0.4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9"/>
      <c r="B104" s="9"/>
      <c r="C104" s="9"/>
      <c r="D104" s="9"/>
      <c r="E104" s="9"/>
      <c r="F104" s="21"/>
      <c r="G104" s="30" t="s">
        <v>172</v>
      </c>
      <c r="H104" s="6" t="s">
        <v>20</v>
      </c>
      <c r="I104" s="6" t="s">
        <v>35</v>
      </c>
      <c r="J104" s="29">
        <v>0.025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9"/>
      <c r="B105" s="9"/>
      <c r="C105" s="9"/>
      <c r="D105" s="9"/>
      <c r="E105" s="9"/>
      <c r="F105" s="21"/>
      <c r="G105" s="28" t="s">
        <v>173</v>
      </c>
      <c r="H105" s="6" t="s">
        <v>20</v>
      </c>
      <c r="I105" s="31" t="s">
        <v>22</v>
      </c>
      <c r="J105" s="29">
        <v>1.33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9"/>
      <c r="B106" s="9"/>
      <c r="C106" s="9"/>
      <c r="D106" s="9"/>
      <c r="E106" s="9"/>
      <c r="F106" s="21"/>
      <c r="G106" s="28" t="s">
        <v>173</v>
      </c>
      <c r="H106" s="6" t="s">
        <v>20</v>
      </c>
      <c r="I106" s="6" t="s">
        <v>30</v>
      </c>
      <c r="J106" s="29">
        <v>1.66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9"/>
      <c r="B107" s="9"/>
      <c r="C107" s="9"/>
      <c r="D107" s="9"/>
      <c r="E107" s="9"/>
      <c r="F107" s="21"/>
      <c r="G107" s="19" t="s">
        <v>174</v>
      </c>
      <c r="H107" s="7" t="s">
        <v>13</v>
      </c>
      <c r="I107" s="7" t="s">
        <v>13</v>
      </c>
      <c r="J107" s="29">
        <f>J14</f>
        <v>0.2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9"/>
      <c r="B108" s="9"/>
      <c r="C108" s="9"/>
      <c r="D108" s="9"/>
      <c r="E108" s="9"/>
      <c r="F108" s="21"/>
      <c r="G108" s="19" t="s">
        <v>174</v>
      </c>
      <c r="H108" s="6" t="s">
        <v>20</v>
      </c>
      <c r="I108" s="6" t="s">
        <v>22</v>
      </c>
      <c r="J108" s="29">
        <f>J15+0.625</f>
        <v>1.415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9"/>
      <c r="B109" s="9"/>
      <c r="C109" s="9"/>
      <c r="D109" s="9"/>
      <c r="E109" s="9"/>
      <c r="F109" s="21"/>
      <c r="G109" s="19" t="s">
        <v>174</v>
      </c>
      <c r="H109" s="6" t="s">
        <v>20</v>
      </c>
      <c r="I109" s="6" t="s">
        <v>30</v>
      </c>
      <c r="J109" s="29">
        <f>J16+0.3125</f>
        <v>0.5125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9"/>
      <c r="B110" s="9"/>
      <c r="C110" s="9"/>
      <c r="D110" s="9"/>
      <c r="E110" s="9"/>
      <c r="F110" s="21"/>
      <c r="G110" s="19" t="s">
        <v>174</v>
      </c>
      <c r="H110" s="6" t="s">
        <v>20</v>
      </c>
      <c r="I110" s="6" t="s">
        <v>35</v>
      </c>
      <c r="J110" s="29">
        <f>J17+0.03125</f>
        <v>0.18125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9"/>
      <c r="B111" s="9"/>
      <c r="C111" s="9"/>
      <c r="D111" s="9"/>
      <c r="E111" s="9"/>
      <c r="F111" s="21"/>
      <c r="G111" s="19" t="s">
        <v>174</v>
      </c>
      <c r="H111" s="6" t="s">
        <v>24</v>
      </c>
      <c r="I111" s="6" t="s">
        <v>25</v>
      </c>
      <c r="J111" s="29">
        <f t="shared" ref="J111:J112" si="5">J18</f>
        <v>0.6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9"/>
      <c r="B112" s="9"/>
      <c r="C112" s="9"/>
      <c r="D112" s="9"/>
      <c r="E112" s="9"/>
      <c r="F112" s="21"/>
      <c r="G112" s="19" t="s">
        <v>174</v>
      </c>
      <c r="H112" s="6" t="s">
        <v>24</v>
      </c>
      <c r="I112" s="6" t="s">
        <v>31</v>
      </c>
      <c r="J112" s="29">
        <f t="shared" si="5"/>
        <v>0.4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9"/>
      <c r="B113" s="9"/>
      <c r="C113" s="9"/>
      <c r="D113" s="9"/>
      <c r="E113" s="9"/>
      <c r="F113" s="21"/>
      <c r="G113" s="19" t="s">
        <v>175</v>
      </c>
      <c r="H113" s="7" t="s">
        <v>13</v>
      </c>
      <c r="I113" s="7" t="s">
        <v>13</v>
      </c>
      <c r="J113" s="29">
        <f>J14</f>
        <v>0.2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9"/>
      <c r="B114" s="9"/>
      <c r="C114" s="9"/>
      <c r="D114" s="9"/>
      <c r="E114" s="9"/>
      <c r="F114" s="21"/>
      <c r="G114" s="19" t="s">
        <v>175</v>
      </c>
      <c r="H114" s="6" t="s">
        <v>20</v>
      </c>
      <c r="I114" s="6" t="s">
        <v>22</v>
      </c>
      <c r="J114" s="29">
        <f>J15+0.625</f>
        <v>1.415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9"/>
      <c r="B115" s="9"/>
      <c r="C115" s="9"/>
      <c r="D115" s="9"/>
      <c r="E115" s="9"/>
      <c r="F115" s="21"/>
      <c r="G115" s="19" t="s">
        <v>175</v>
      </c>
      <c r="H115" s="6" t="s">
        <v>20</v>
      </c>
      <c r="I115" s="6" t="s">
        <v>30</v>
      </c>
      <c r="J115" s="29">
        <f>J16+0.3125</f>
        <v>0.5125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9"/>
      <c r="B116" s="9"/>
      <c r="C116" s="9"/>
      <c r="D116" s="9"/>
      <c r="E116" s="9"/>
      <c r="F116" s="21"/>
      <c r="G116" s="19" t="s">
        <v>175</v>
      </c>
      <c r="H116" s="6" t="s">
        <v>20</v>
      </c>
      <c r="I116" s="6" t="s">
        <v>35</v>
      </c>
      <c r="J116" s="29">
        <f>J17+0.03125</f>
        <v>0.18125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9"/>
      <c r="B117" s="9"/>
      <c r="C117" s="9"/>
      <c r="D117" s="9"/>
      <c r="E117" s="9"/>
      <c r="F117" s="21"/>
      <c r="G117" s="19" t="s">
        <v>175</v>
      </c>
      <c r="H117" s="6" t="s">
        <v>24</v>
      </c>
      <c r="I117" s="6" t="s">
        <v>25</v>
      </c>
      <c r="J117" s="29">
        <f>J18+(0.1)</f>
        <v>0.7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9"/>
      <c r="B118" s="9"/>
      <c r="C118" s="9"/>
      <c r="D118" s="9"/>
      <c r="E118" s="9"/>
      <c r="F118" s="21"/>
      <c r="G118" s="19" t="s">
        <v>175</v>
      </c>
      <c r="H118" s="6" t="s">
        <v>24</v>
      </c>
      <c r="I118" s="6" t="s">
        <v>31</v>
      </c>
      <c r="J118" s="29">
        <f>J19+0.19+0.0625</f>
        <v>0.6525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9"/>
      <c r="B119" s="9"/>
      <c r="C119" s="9"/>
      <c r="D119" s="9"/>
      <c r="E119" s="9"/>
      <c r="F119" s="21"/>
      <c r="G119" s="30" t="s">
        <v>176</v>
      </c>
      <c r="H119" s="31"/>
      <c r="I119" s="31"/>
      <c r="J119" s="2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9"/>
      <c r="B120" s="9"/>
      <c r="C120" s="9"/>
      <c r="D120" s="9"/>
      <c r="E120" s="9"/>
      <c r="F120" s="21"/>
      <c r="G120" s="28" t="s">
        <v>177</v>
      </c>
      <c r="H120" s="31"/>
      <c r="I120" s="31"/>
      <c r="J120" s="2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9"/>
      <c r="B121" s="9"/>
      <c r="C121" s="9"/>
      <c r="D121" s="9"/>
      <c r="E121" s="9"/>
      <c r="F121" s="21"/>
      <c r="G121" s="28" t="s">
        <v>178</v>
      </c>
      <c r="H121" s="6" t="s">
        <v>20</v>
      </c>
      <c r="I121" s="31" t="s">
        <v>22</v>
      </c>
      <c r="J121" s="2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9"/>
      <c r="B122" s="9"/>
      <c r="C122" s="9"/>
      <c r="D122" s="9"/>
      <c r="E122" s="9"/>
      <c r="F122" s="21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9"/>
      <c r="B123" s="9"/>
      <c r="C123" s="9"/>
      <c r="D123" s="9"/>
      <c r="E123" s="9"/>
      <c r="F123" s="21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9"/>
      <c r="B124" s="9"/>
      <c r="C124" s="9"/>
      <c r="D124" s="9"/>
      <c r="E124" s="9"/>
      <c r="F124" s="21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9"/>
      <c r="B125" s="9"/>
      <c r="C125" s="9"/>
      <c r="D125" s="9"/>
      <c r="E125" s="9"/>
      <c r="F125" s="2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9"/>
      <c r="B126" s="9"/>
      <c r="C126" s="9"/>
      <c r="D126" s="9"/>
      <c r="E126" s="9"/>
      <c r="F126" s="2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9"/>
      <c r="B127" s="9"/>
      <c r="C127" s="9"/>
      <c r="D127" s="9"/>
      <c r="E127" s="9"/>
      <c r="F127" s="2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9"/>
      <c r="B128" s="9"/>
      <c r="C128" s="9"/>
      <c r="D128" s="9"/>
      <c r="E128" s="9"/>
      <c r="F128" s="2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9"/>
      <c r="B129" s="9"/>
      <c r="C129" s="9"/>
      <c r="D129" s="9"/>
      <c r="E129" s="9"/>
      <c r="F129" s="2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9"/>
      <c r="B130" s="9"/>
      <c r="C130" s="9"/>
      <c r="D130" s="9"/>
      <c r="E130" s="9"/>
      <c r="F130" s="2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9"/>
      <c r="B131" s="9"/>
      <c r="C131" s="9"/>
      <c r="D131" s="9"/>
      <c r="E131" s="9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9"/>
      <c r="B132" s="9"/>
      <c r="C132" s="9"/>
      <c r="D132" s="9"/>
      <c r="E132" s="9"/>
      <c r="F132" s="2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9"/>
      <c r="B133" s="9"/>
      <c r="C133" s="9"/>
      <c r="D133" s="9"/>
      <c r="E133" s="9"/>
      <c r="F133" s="2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9"/>
      <c r="B134" s="9"/>
      <c r="C134" s="9"/>
      <c r="D134" s="9"/>
      <c r="E134" s="9"/>
      <c r="F134" s="2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9"/>
      <c r="B135" s="9"/>
      <c r="C135" s="9"/>
      <c r="D135" s="9"/>
      <c r="E135" s="9"/>
      <c r="F135" s="2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9"/>
      <c r="B136" s="9"/>
      <c r="C136" s="9"/>
      <c r="D136" s="9"/>
      <c r="E136" s="9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9"/>
      <c r="B137" s="9"/>
      <c r="C137" s="9"/>
      <c r="D137" s="9"/>
      <c r="E137" s="9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9"/>
      <c r="B138" s="9"/>
      <c r="C138" s="9"/>
      <c r="D138" s="9"/>
      <c r="E138" s="9"/>
      <c r="F138" s="2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9"/>
      <c r="B139" s="9"/>
      <c r="C139" s="9"/>
      <c r="D139" s="9"/>
      <c r="E139" s="9"/>
      <c r="F139" s="2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9"/>
      <c r="B140" s="9"/>
      <c r="C140" s="9"/>
      <c r="D140" s="9"/>
      <c r="E140" s="9"/>
      <c r="F140" s="2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9"/>
      <c r="B141" s="9"/>
      <c r="C141" s="9"/>
      <c r="D141" s="9"/>
      <c r="E141" s="9"/>
      <c r="F141" s="2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9"/>
      <c r="B142" s="9"/>
      <c r="C142" s="9"/>
      <c r="D142" s="9"/>
      <c r="E142" s="9"/>
      <c r="F142" s="2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9"/>
      <c r="B143" s="9"/>
      <c r="C143" s="9"/>
      <c r="D143" s="9"/>
      <c r="E143" s="9"/>
      <c r="F143" s="2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9"/>
      <c r="B144" s="9"/>
      <c r="C144" s="9"/>
      <c r="D144" s="9"/>
      <c r="E144" s="9"/>
      <c r="F144" s="2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9"/>
      <c r="B145" s="9"/>
      <c r="C145" s="9"/>
      <c r="D145" s="9"/>
      <c r="E145" s="9"/>
      <c r="F145" s="2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9"/>
      <c r="B146" s="9"/>
      <c r="C146" s="9"/>
      <c r="D146" s="9"/>
      <c r="E146" s="9"/>
      <c r="F146" s="2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9"/>
      <c r="B147" s="9"/>
      <c r="C147" s="9"/>
      <c r="D147" s="9"/>
      <c r="E147" s="9"/>
      <c r="F147" s="2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9"/>
      <c r="B148" s="9"/>
      <c r="C148" s="9"/>
      <c r="D148" s="9"/>
      <c r="E148" s="9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9"/>
      <c r="B149" s="9"/>
      <c r="C149" s="9"/>
      <c r="D149" s="9"/>
      <c r="E149" s="9"/>
      <c r="F149" s="2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9"/>
      <c r="B150" s="9"/>
      <c r="C150" s="9"/>
      <c r="D150" s="9"/>
      <c r="E150" s="9"/>
      <c r="F150" s="2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9"/>
      <c r="B151" s="9"/>
      <c r="C151" s="9"/>
      <c r="D151" s="9"/>
      <c r="E151" s="9"/>
      <c r="F151" s="2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9"/>
      <c r="B152" s="9"/>
      <c r="C152" s="9"/>
      <c r="D152" s="9"/>
      <c r="E152" s="9"/>
      <c r="F152" s="2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9"/>
      <c r="B153" s="9"/>
      <c r="C153" s="9"/>
      <c r="D153" s="9"/>
      <c r="E153" s="9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9"/>
      <c r="B154" s="9"/>
      <c r="C154" s="9"/>
      <c r="D154" s="9"/>
      <c r="E154" s="9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9"/>
      <c r="B155" s="9"/>
      <c r="C155" s="9"/>
      <c r="D155" s="9"/>
      <c r="E155" s="9"/>
      <c r="F155" s="2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9"/>
      <c r="B156" s="9"/>
      <c r="C156" s="9"/>
      <c r="D156" s="9"/>
      <c r="E156" s="9"/>
      <c r="F156" s="2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9"/>
      <c r="B157" s="9"/>
      <c r="C157" s="9"/>
      <c r="D157" s="9"/>
      <c r="E157" s="9"/>
      <c r="F157" s="2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9"/>
      <c r="B158" s="9"/>
      <c r="C158" s="9"/>
      <c r="D158" s="9"/>
      <c r="E158" s="9"/>
      <c r="F158" s="2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9"/>
      <c r="B159" s="9"/>
      <c r="C159" s="9"/>
      <c r="D159" s="9"/>
      <c r="E159" s="9"/>
      <c r="F159" s="2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9"/>
      <c r="B160" s="9"/>
      <c r="C160" s="9"/>
      <c r="D160" s="9"/>
      <c r="E160" s="9"/>
      <c r="F160" s="2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9"/>
      <c r="B161" s="9"/>
      <c r="C161" s="9"/>
      <c r="D161" s="9"/>
      <c r="E161" s="9"/>
      <c r="F161" s="2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9"/>
      <c r="B162" s="9"/>
      <c r="C162" s="9"/>
      <c r="D162" s="9"/>
      <c r="E162" s="9"/>
      <c r="F162" s="2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9"/>
      <c r="B163" s="9"/>
      <c r="C163" s="9"/>
      <c r="D163" s="9"/>
      <c r="E163" s="9"/>
      <c r="F163" s="2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9"/>
      <c r="B164" s="9"/>
      <c r="C164" s="9"/>
      <c r="D164" s="9"/>
      <c r="E164" s="9"/>
      <c r="F164" s="2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9"/>
      <c r="B165" s="9"/>
      <c r="C165" s="9"/>
      <c r="D165" s="9"/>
      <c r="E165" s="9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9"/>
      <c r="B166" s="9"/>
      <c r="C166" s="9"/>
      <c r="D166" s="9"/>
      <c r="E166" s="9"/>
      <c r="F166" s="2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9"/>
      <c r="B167" s="9"/>
      <c r="C167" s="9"/>
      <c r="D167" s="9"/>
      <c r="E167" s="9"/>
      <c r="F167" s="2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9"/>
      <c r="B168" s="9"/>
      <c r="C168" s="9"/>
      <c r="D168" s="9"/>
      <c r="E168" s="9"/>
      <c r="F168" s="2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9"/>
      <c r="B169" s="9"/>
      <c r="C169" s="9"/>
      <c r="D169" s="9"/>
      <c r="E169" s="9"/>
      <c r="F169" s="2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9"/>
      <c r="B170" s="9"/>
      <c r="C170" s="9"/>
      <c r="D170" s="9"/>
      <c r="E170" s="9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9"/>
      <c r="B171" s="9"/>
      <c r="C171" s="9"/>
      <c r="D171" s="9"/>
      <c r="E171" s="9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9"/>
      <c r="B172" s="9"/>
      <c r="C172" s="9"/>
      <c r="D172" s="9"/>
      <c r="E172" s="9"/>
      <c r="F172" s="2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9"/>
      <c r="B173" s="9"/>
      <c r="C173" s="9"/>
      <c r="D173" s="9"/>
      <c r="E173" s="9"/>
      <c r="F173" s="2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9"/>
      <c r="B174" s="9"/>
      <c r="C174" s="9"/>
      <c r="D174" s="9"/>
      <c r="E174" s="9"/>
      <c r="F174" s="2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9"/>
      <c r="B175" s="9"/>
      <c r="C175" s="9"/>
      <c r="D175" s="9"/>
      <c r="E175" s="9"/>
      <c r="F175" s="2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9"/>
      <c r="B176" s="9"/>
      <c r="C176" s="9"/>
      <c r="D176" s="9"/>
      <c r="E176" s="9"/>
      <c r="F176" s="2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9"/>
      <c r="B177" s="9"/>
      <c r="C177" s="9"/>
      <c r="D177" s="9"/>
      <c r="E177" s="9"/>
      <c r="F177" s="2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9"/>
      <c r="B178" s="9"/>
      <c r="C178" s="9"/>
      <c r="D178" s="9"/>
      <c r="E178" s="9"/>
      <c r="F178" s="2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9"/>
      <c r="B179" s="9"/>
      <c r="C179" s="9"/>
      <c r="D179" s="9"/>
      <c r="E179" s="9"/>
      <c r="F179" s="2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9"/>
      <c r="B180" s="9"/>
      <c r="C180" s="9"/>
      <c r="D180" s="9"/>
      <c r="E180" s="9"/>
      <c r="F180" s="2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9"/>
      <c r="B181" s="9"/>
      <c r="C181" s="9"/>
      <c r="D181" s="9"/>
      <c r="E181" s="9"/>
      <c r="F181" s="2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9"/>
      <c r="B182" s="9"/>
      <c r="C182" s="9"/>
      <c r="D182" s="9"/>
      <c r="E182" s="9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9"/>
      <c r="B183" s="9"/>
      <c r="C183" s="9"/>
      <c r="D183" s="9"/>
      <c r="E183" s="9"/>
      <c r="F183" s="2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9"/>
      <c r="B184" s="9"/>
      <c r="C184" s="9"/>
      <c r="D184" s="9"/>
      <c r="E184" s="9"/>
      <c r="F184" s="2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9"/>
      <c r="B185" s="9"/>
      <c r="C185" s="9"/>
      <c r="D185" s="9"/>
      <c r="E185" s="9"/>
      <c r="F185" s="2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9"/>
      <c r="B186" s="9"/>
      <c r="C186" s="9"/>
      <c r="D186" s="9"/>
      <c r="E186" s="9"/>
      <c r="F186" s="2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9"/>
      <c r="B187" s="9"/>
      <c r="C187" s="9"/>
      <c r="D187" s="9"/>
      <c r="E187" s="9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9"/>
      <c r="B188" s="9"/>
      <c r="C188" s="9"/>
      <c r="D188" s="9"/>
      <c r="E188" s="9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9"/>
      <c r="B189" s="9"/>
      <c r="C189" s="9"/>
      <c r="D189" s="9"/>
      <c r="E189" s="9"/>
      <c r="F189" s="2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9"/>
      <c r="B190" s="9"/>
      <c r="C190" s="9"/>
      <c r="D190" s="9"/>
      <c r="E190" s="9"/>
      <c r="F190" s="2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9"/>
      <c r="B191" s="9"/>
      <c r="C191" s="9"/>
      <c r="D191" s="9"/>
      <c r="E191" s="9"/>
      <c r="F191" s="2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9"/>
      <c r="B192" s="9"/>
      <c r="C192" s="9"/>
      <c r="D192" s="9"/>
      <c r="E192" s="9"/>
      <c r="F192" s="2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9"/>
      <c r="B193" s="9"/>
      <c r="C193" s="9"/>
      <c r="D193" s="9"/>
      <c r="E193" s="9"/>
      <c r="F193" s="2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9"/>
      <c r="B194" s="9"/>
      <c r="C194" s="9"/>
      <c r="D194" s="9"/>
      <c r="E194" s="9"/>
      <c r="F194" s="2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9"/>
      <c r="B195" s="9"/>
      <c r="C195" s="9"/>
      <c r="D195" s="9"/>
      <c r="E195" s="9"/>
      <c r="F195" s="2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9"/>
      <c r="B196" s="9"/>
      <c r="C196" s="9"/>
      <c r="D196" s="9"/>
      <c r="E196" s="9"/>
      <c r="F196" s="2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9"/>
      <c r="B197" s="9"/>
      <c r="C197" s="9"/>
      <c r="D197" s="9"/>
      <c r="E197" s="9"/>
      <c r="F197" s="2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9"/>
      <c r="B198" s="9"/>
      <c r="C198" s="9"/>
      <c r="D198" s="9"/>
      <c r="E198" s="9"/>
      <c r="F198" s="2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9"/>
      <c r="B199" s="9"/>
      <c r="C199" s="9"/>
      <c r="D199" s="9"/>
      <c r="E199" s="9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9"/>
      <c r="B200" s="9"/>
      <c r="C200" s="9"/>
      <c r="D200" s="9"/>
      <c r="E200" s="9"/>
      <c r="F200" s="2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9"/>
      <c r="B201" s="9"/>
      <c r="C201" s="9"/>
      <c r="D201" s="9"/>
      <c r="E201" s="9"/>
      <c r="F201" s="2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9"/>
      <c r="B202" s="9"/>
      <c r="C202" s="9"/>
      <c r="D202" s="9"/>
      <c r="E202" s="9"/>
      <c r="F202" s="2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9"/>
      <c r="B203" s="9"/>
      <c r="C203" s="9"/>
      <c r="D203" s="9"/>
      <c r="E203" s="9"/>
      <c r="F203" s="2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9"/>
      <c r="B204" s="9"/>
      <c r="C204" s="9"/>
      <c r="D204" s="9"/>
      <c r="E204" s="9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9"/>
      <c r="B205" s="9"/>
      <c r="C205" s="9"/>
      <c r="D205" s="9"/>
      <c r="E205" s="9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9"/>
      <c r="B206" s="9"/>
      <c r="C206" s="9"/>
      <c r="D206" s="9"/>
      <c r="E206" s="9"/>
      <c r="F206" s="2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9"/>
      <c r="B207" s="9"/>
      <c r="C207" s="9"/>
      <c r="D207" s="9"/>
      <c r="E207" s="9"/>
      <c r="F207" s="2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9"/>
      <c r="B208" s="9"/>
      <c r="C208" s="9"/>
      <c r="D208" s="9"/>
      <c r="E208" s="9"/>
      <c r="F208" s="2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9"/>
      <c r="B209" s="9"/>
      <c r="C209" s="9"/>
      <c r="D209" s="9"/>
      <c r="E209" s="9"/>
      <c r="F209" s="2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9"/>
      <c r="B210" s="9"/>
      <c r="C210" s="9"/>
      <c r="D210" s="9"/>
      <c r="E210" s="9"/>
      <c r="F210" s="2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9"/>
      <c r="B211" s="9"/>
      <c r="C211" s="9"/>
      <c r="D211" s="9"/>
      <c r="E211" s="9"/>
      <c r="F211" s="2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9"/>
      <c r="B212" s="9"/>
      <c r="C212" s="9"/>
      <c r="D212" s="9"/>
      <c r="E212" s="9"/>
      <c r="F212" s="2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9"/>
      <c r="B213" s="9"/>
      <c r="C213" s="9"/>
      <c r="D213" s="9"/>
      <c r="E213" s="9"/>
      <c r="F213" s="2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9"/>
      <c r="B214" s="9"/>
      <c r="C214" s="9"/>
      <c r="D214" s="9"/>
      <c r="E214" s="9"/>
      <c r="F214" s="2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9"/>
      <c r="B215" s="9"/>
      <c r="C215" s="9"/>
      <c r="D215" s="9"/>
      <c r="E215" s="9"/>
      <c r="F215" s="2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9"/>
      <c r="B216" s="9"/>
      <c r="C216" s="9"/>
      <c r="D216" s="9"/>
      <c r="E216" s="9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9"/>
      <c r="B217" s="9"/>
      <c r="C217" s="9"/>
      <c r="D217" s="9"/>
      <c r="E217" s="9"/>
      <c r="F217" s="2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9"/>
      <c r="B218" s="9"/>
      <c r="C218" s="9"/>
      <c r="D218" s="9"/>
      <c r="E218" s="9"/>
      <c r="F218" s="2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9"/>
      <c r="B219" s="9"/>
      <c r="C219" s="9"/>
      <c r="D219" s="9"/>
      <c r="E219" s="9"/>
      <c r="F219" s="2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9"/>
      <c r="B220" s="9"/>
      <c r="C220" s="9"/>
      <c r="D220" s="9"/>
      <c r="E220" s="9"/>
      <c r="F220" s="2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9"/>
      <c r="B221" s="9"/>
      <c r="C221" s="9"/>
      <c r="D221" s="9"/>
      <c r="E221" s="9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9"/>
      <c r="B222" s="9"/>
      <c r="C222" s="9"/>
      <c r="D222" s="9"/>
      <c r="E222" s="9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9"/>
      <c r="B223" s="9"/>
      <c r="C223" s="9"/>
      <c r="D223" s="9"/>
      <c r="E223" s="9"/>
      <c r="F223" s="2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9"/>
      <c r="B224" s="9"/>
      <c r="C224" s="9"/>
      <c r="D224" s="9"/>
      <c r="E224" s="9"/>
      <c r="F224" s="2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9"/>
      <c r="B225" s="9"/>
      <c r="C225" s="9"/>
      <c r="D225" s="9"/>
      <c r="E225" s="9"/>
      <c r="F225" s="2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9"/>
      <c r="B226" s="9"/>
      <c r="C226" s="9"/>
      <c r="D226" s="9"/>
      <c r="E226" s="9"/>
      <c r="F226" s="2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9"/>
      <c r="B227" s="9"/>
      <c r="C227" s="9"/>
      <c r="D227" s="9"/>
      <c r="E227" s="9"/>
      <c r="F227" s="2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9"/>
      <c r="B228" s="9"/>
      <c r="C228" s="9"/>
      <c r="D228" s="9"/>
      <c r="E228" s="9"/>
      <c r="F228" s="2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9"/>
      <c r="B229" s="9"/>
      <c r="C229" s="9"/>
      <c r="D229" s="9"/>
      <c r="E229" s="9"/>
      <c r="F229" s="2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9"/>
      <c r="B230" s="9"/>
      <c r="C230" s="9"/>
      <c r="D230" s="9"/>
      <c r="E230" s="9"/>
      <c r="F230" s="2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9"/>
      <c r="B231" s="9"/>
      <c r="C231" s="9"/>
      <c r="D231" s="9"/>
      <c r="E231" s="9"/>
      <c r="F231" s="2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9"/>
      <c r="B232" s="9"/>
      <c r="C232" s="9"/>
      <c r="D232" s="9"/>
      <c r="E232" s="9"/>
      <c r="F232" s="2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9"/>
      <c r="B233" s="9"/>
      <c r="C233" s="9"/>
      <c r="D233" s="9"/>
      <c r="E233" s="9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9"/>
      <c r="B234" s="9"/>
      <c r="C234" s="9"/>
      <c r="D234" s="9"/>
      <c r="E234" s="9"/>
      <c r="F234" s="2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9"/>
      <c r="B235" s="9"/>
      <c r="C235" s="9"/>
      <c r="D235" s="9"/>
      <c r="E235" s="9"/>
      <c r="F235" s="2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9"/>
      <c r="B236" s="9"/>
      <c r="C236" s="9"/>
      <c r="D236" s="9"/>
      <c r="E236" s="9"/>
      <c r="F236" s="2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9"/>
      <c r="B237" s="9"/>
      <c r="C237" s="9"/>
      <c r="D237" s="9"/>
      <c r="E237" s="9"/>
      <c r="F237" s="2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9"/>
      <c r="B238" s="9"/>
      <c r="C238" s="9"/>
      <c r="D238" s="9"/>
      <c r="E238" s="9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9"/>
      <c r="B239" s="9"/>
      <c r="C239" s="9"/>
      <c r="D239" s="9"/>
      <c r="E239" s="9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9"/>
      <c r="B240" s="9"/>
      <c r="C240" s="9"/>
      <c r="D240" s="9"/>
      <c r="E240" s="9"/>
      <c r="F240" s="2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9"/>
      <c r="B241" s="9"/>
      <c r="C241" s="9"/>
      <c r="D241" s="9"/>
      <c r="E241" s="9"/>
      <c r="F241" s="2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9"/>
      <c r="B242" s="9"/>
      <c r="C242" s="9"/>
      <c r="D242" s="9"/>
      <c r="E242" s="9"/>
      <c r="F242" s="2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9"/>
      <c r="B243" s="9"/>
      <c r="C243" s="9"/>
      <c r="D243" s="9"/>
      <c r="E243" s="9"/>
      <c r="F243" s="2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9"/>
      <c r="B244" s="9"/>
      <c r="C244" s="9"/>
      <c r="D244" s="9"/>
      <c r="E244" s="9"/>
      <c r="F244" s="2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9"/>
      <c r="B245" s="9"/>
      <c r="C245" s="9"/>
      <c r="D245" s="9"/>
      <c r="E245" s="9"/>
      <c r="F245" s="2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9"/>
      <c r="B246" s="9"/>
      <c r="C246" s="9"/>
      <c r="D246" s="9"/>
      <c r="E246" s="9"/>
      <c r="F246" s="2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9"/>
      <c r="B247" s="9"/>
      <c r="C247" s="9"/>
      <c r="D247" s="9"/>
      <c r="E247" s="9"/>
      <c r="F247" s="2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9"/>
      <c r="B248" s="9"/>
      <c r="C248" s="9"/>
      <c r="D248" s="9"/>
      <c r="E248" s="9"/>
      <c r="F248" s="2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9"/>
      <c r="B249" s="9"/>
      <c r="C249" s="9"/>
      <c r="D249" s="9"/>
      <c r="E249" s="9"/>
      <c r="F249" s="2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9"/>
      <c r="B250" s="9"/>
      <c r="C250" s="9"/>
      <c r="D250" s="9"/>
      <c r="E250" s="9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9"/>
      <c r="B251" s="9"/>
      <c r="C251" s="9"/>
      <c r="D251" s="9"/>
      <c r="E251" s="9"/>
      <c r="F251" s="2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9"/>
      <c r="B252" s="9"/>
      <c r="C252" s="9"/>
      <c r="D252" s="9"/>
      <c r="E252" s="9"/>
      <c r="F252" s="2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9"/>
      <c r="B253" s="9"/>
      <c r="C253" s="9"/>
      <c r="D253" s="9"/>
      <c r="E253" s="9"/>
      <c r="F253" s="2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9"/>
      <c r="B254" s="9"/>
      <c r="C254" s="9"/>
      <c r="D254" s="9"/>
      <c r="E254" s="9"/>
      <c r="F254" s="2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9"/>
      <c r="B255" s="9"/>
      <c r="C255" s="9"/>
      <c r="D255" s="9"/>
      <c r="E255" s="9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9"/>
      <c r="B256" s="9"/>
      <c r="C256" s="9"/>
      <c r="D256" s="9"/>
      <c r="E256" s="9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9"/>
      <c r="B257" s="9"/>
      <c r="C257" s="9"/>
      <c r="D257" s="9"/>
      <c r="E257" s="9"/>
      <c r="F257" s="2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9"/>
      <c r="B258" s="9"/>
      <c r="C258" s="9"/>
      <c r="D258" s="9"/>
      <c r="E258" s="9"/>
      <c r="F258" s="2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9"/>
      <c r="B259" s="9"/>
      <c r="C259" s="9"/>
      <c r="D259" s="9"/>
      <c r="E259" s="9"/>
      <c r="F259" s="2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9"/>
      <c r="B260" s="9"/>
      <c r="C260" s="9"/>
      <c r="D260" s="9"/>
      <c r="E260" s="9"/>
      <c r="F260" s="2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9"/>
      <c r="B261" s="9"/>
      <c r="C261" s="9"/>
      <c r="D261" s="9"/>
      <c r="E261" s="9"/>
      <c r="F261" s="2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9"/>
      <c r="B262" s="9"/>
      <c r="C262" s="9"/>
      <c r="D262" s="9"/>
      <c r="E262" s="9"/>
      <c r="F262" s="2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9"/>
      <c r="B263" s="9"/>
      <c r="C263" s="9"/>
      <c r="D263" s="9"/>
      <c r="E263" s="9"/>
      <c r="F263" s="2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9"/>
      <c r="B264" s="9"/>
      <c r="C264" s="9"/>
      <c r="D264" s="9"/>
      <c r="E264" s="9"/>
      <c r="F264" s="2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9"/>
      <c r="B265" s="9"/>
      <c r="C265" s="9"/>
      <c r="D265" s="9"/>
      <c r="E265" s="9"/>
      <c r="F265" s="2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9"/>
      <c r="B266" s="9"/>
      <c r="C266" s="9"/>
      <c r="D266" s="9"/>
      <c r="E266" s="9"/>
      <c r="F266" s="2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9"/>
      <c r="B267" s="9"/>
      <c r="C267" s="9"/>
      <c r="D267" s="9"/>
      <c r="E267" s="9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9"/>
      <c r="B268" s="9"/>
      <c r="C268" s="9"/>
      <c r="D268" s="9"/>
      <c r="E268" s="9"/>
      <c r="F268" s="2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9"/>
      <c r="B269" s="9"/>
      <c r="C269" s="9"/>
      <c r="D269" s="9"/>
      <c r="E269" s="9"/>
      <c r="F269" s="2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9"/>
      <c r="B270" s="9"/>
      <c r="C270" s="9"/>
      <c r="D270" s="9"/>
      <c r="E270" s="9"/>
      <c r="F270" s="2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9"/>
      <c r="B271" s="9"/>
      <c r="C271" s="9"/>
      <c r="D271" s="9"/>
      <c r="E271" s="9"/>
      <c r="F271" s="2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9"/>
      <c r="B272" s="9"/>
      <c r="C272" s="9"/>
      <c r="D272" s="9"/>
      <c r="E272" s="9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9"/>
      <c r="B273" s="9"/>
      <c r="C273" s="9"/>
      <c r="D273" s="9"/>
      <c r="E273" s="9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9"/>
      <c r="B274" s="9"/>
      <c r="C274" s="9"/>
      <c r="D274" s="9"/>
      <c r="E274" s="9"/>
      <c r="F274" s="2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9"/>
      <c r="B275" s="9"/>
      <c r="C275" s="9"/>
      <c r="D275" s="9"/>
      <c r="E275" s="9"/>
      <c r="F275" s="2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9"/>
      <c r="B276" s="9"/>
      <c r="C276" s="9"/>
      <c r="D276" s="9"/>
      <c r="E276" s="9"/>
      <c r="F276" s="2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9"/>
      <c r="B277" s="9"/>
      <c r="C277" s="9"/>
      <c r="D277" s="9"/>
      <c r="E277" s="9"/>
      <c r="F277" s="2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9"/>
      <c r="B278" s="9"/>
      <c r="C278" s="9"/>
      <c r="D278" s="9"/>
      <c r="E278" s="9"/>
      <c r="F278" s="2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9"/>
      <c r="B279" s="9"/>
      <c r="C279" s="9"/>
      <c r="D279" s="9"/>
      <c r="E279" s="9"/>
      <c r="F279" s="2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9"/>
      <c r="B280" s="9"/>
      <c r="C280" s="9"/>
      <c r="D280" s="9"/>
      <c r="E280" s="9"/>
      <c r="F280" s="2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9"/>
      <c r="B281" s="9"/>
      <c r="C281" s="9"/>
      <c r="D281" s="9"/>
      <c r="E281" s="9"/>
      <c r="F281" s="2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9"/>
      <c r="B282" s="9"/>
      <c r="C282" s="9"/>
      <c r="D282" s="9"/>
      <c r="E282" s="9"/>
      <c r="F282" s="2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9"/>
      <c r="B283" s="9"/>
      <c r="C283" s="9"/>
      <c r="D283" s="9"/>
      <c r="E283" s="9"/>
      <c r="F283" s="2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9"/>
      <c r="B284" s="9"/>
      <c r="C284" s="9"/>
      <c r="D284" s="9"/>
      <c r="E284" s="9"/>
      <c r="F284" s="2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9"/>
      <c r="B285" s="9"/>
      <c r="C285" s="9"/>
      <c r="D285" s="9"/>
      <c r="E285" s="9"/>
      <c r="F285" s="2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9"/>
      <c r="B286" s="9"/>
      <c r="C286" s="9"/>
      <c r="D286" s="9"/>
      <c r="E286" s="9"/>
      <c r="F286" s="2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9"/>
      <c r="B287" s="9"/>
      <c r="C287" s="9"/>
      <c r="D287" s="9"/>
      <c r="E287" s="9"/>
      <c r="F287" s="2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9"/>
      <c r="B288" s="9"/>
      <c r="C288" s="9"/>
      <c r="D288" s="9"/>
      <c r="E288" s="9"/>
      <c r="F288" s="2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9"/>
      <c r="B289" s="9"/>
      <c r="C289" s="9"/>
      <c r="D289" s="9"/>
      <c r="E289" s="9"/>
      <c r="F289" s="2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9"/>
      <c r="B290" s="9"/>
      <c r="C290" s="9"/>
      <c r="D290" s="9"/>
      <c r="E290" s="9"/>
      <c r="F290" s="2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9"/>
      <c r="B291" s="9"/>
      <c r="C291" s="9"/>
      <c r="D291" s="9"/>
      <c r="E291" s="9"/>
      <c r="F291" s="2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9"/>
      <c r="B292" s="9"/>
      <c r="C292" s="9"/>
      <c r="D292" s="9"/>
      <c r="E292" s="9"/>
      <c r="F292" s="2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9"/>
      <c r="B293" s="9"/>
      <c r="C293" s="9"/>
      <c r="D293" s="9"/>
      <c r="E293" s="9"/>
      <c r="F293" s="2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9"/>
      <c r="B294" s="9"/>
      <c r="C294" s="9"/>
      <c r="D294" s="9"/>
      <c r="E294" s="9"/>
      <c r="F294" s="2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9"/>
      <c r="B295" s="9"/>
      <c r="C295" s="9"/>
      <c r="D295" s="9"/>
      <c r="E295" s="9"/>
      <c r="F295" s="2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9"/>
      <c r="B296" s="9"/>
      <c r="C296" s="9"/>
      <c r="D296" s="9"/>
      <c r="E296" s="9"/>
      <c r="F296" s="2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9"/>
      <c r="B297" s="9"/>
      <c r="C297" s="9"/>
      <c r="D297" s="9"/>
      <c r="E297" s="9"/>
      <c r="F297" s="2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9"/>
      <c r="B298" s="9"/>
      <c r="C298" s="9"/>
      <c r="D298" s="9"/>
      <c r="E298" s="9"/>
      <c r="F298" s="2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9"/>
      <c r="B299" s="9"/>
      <c r="C299" s="9"/>
      <c r="D299" s="9"/>
      <c r="E299" s="9"/>
      <c r="F299" s="2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9"/>
      <c r="B300" s="9"/>
      <c r="C300" s="9"/>
      <c r="D300" s="9"/>
      <c r="E300" s="9"/>
      <c r="F300" s="2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9"/>
      <c r="B301" s="9"/>
      <c r="C301" s="9"/>
      <c r="D301" s="9"/>
      <c r="E301" s="9"/>
      <c r="F301" s="2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9"/>
      <c r="B302" s="9"/>
      <c r="C302" s="9"/>
      <c r="D302" s="9"/>
      <c r="E302" s="9"/>
      <c r="F302" s="2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9"/>
      <c r="B303" s="9"/>
      <c r="C303" s="9"/>
      <c r="D303" s="9"/>
      <c r="E303" s="9"/>
      <c r="F303" s="2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9"/>
      <c r="B304" s="9"/>
      <c r="C304" s="9"/>
      <c r="D304" s="9"/>
      <c r="E304" s="9"/>
      <c r="F304" s="2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9"/>
      <c r="B305" s="9"/>
      <c r="C305" s="9"/>
      <c r="D305" s="9"/>
      <c r="E305" s="9"/>
      <c r="F305" s="2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9"/>
      <c r="B306" s="9"/>
      <c r="C306" s="9"/>
      <c r="D306" s="9"/>
      <c r="E306" s="9"/>
      <c r="F306" s="2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9"/>
      <c r="B307" s="9"/>
      <c r="C307" s="9"/>
      <c r="D307" s="9"/>
      <c r="E307" s="9"/>
      <c r="F307" s="2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9"/>
      <c r="B308" s="9"/>
      <c r="C308" s="9"/>
      <c r="D308" s="9"/>
      <c r="E308" s="9"/>
      <c r="F308" s="2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9"/>
      <c r="B309" s="9"/>
      <c r="C309" s="9"/>
      <c r="D309" s="9"/>
      <c r="E309" s="9"/>
      <c r="F309" s="2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9"/>
      <c r="B310" s="9"/>
      <c r="C310" s="9"/>
      <c r="D310" s="9"/>
      <c r="E310" s="9"/>
      <c r="F310" s="2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9"/>
      <c r="B311" s="9"/>
      <c r="C311" s="9"/>
      <c r="D311" s="9"/>
      <c r="E311" s="9"/>
      <c r="F311" s="2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9"/>
      <c r="B312" s="9"/>
      <c r="C312" s="9"/>
      <c r="D312" s="9"/>
      <c r="E312" s="9"/>
      <c r="F312" s="2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9"/>
      <c r="B313" s="9"/>
      <c r="C313" s="9"/>
      <c r="D313" s="9"/>
      <c r="E313" s="9"/>
      <c r="F313" s="2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9"/>
      <c r="B314" s="9"/>
      <c r="C314" s="9"/>
      <c r="D314" s="9"/>
      <c r="E314" s="9"/>
      <c r="F314" s="2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9"/>
      <c r="B315" s="9"/>
      <c r="C315" s="9"/>
      <c r="D315" s="9"/>
      <c r="E315" s="9"/>
      <c r="F315" s="2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9"/>
      <c r="B316" s="9"/>
      <c r="C316" s="9"/>
      <c r="D316" s="9"/>
      <c r="E316" s="9"/>
      <c r="F316" s="2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9"/>
      <c r="B317" s="9"/>
      <c r="C317" s="9"/>
      <c r="D317" s="9"/>
      <c r="E317" s="9"/>
      <c r="F317" s="2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9"/>
      <c r="B318" s="9"/>
      <c r="C318" s="9"/>
      <c r="D318" s="9"/>
      <c r="E318" s="9"/>
      <c r="F318" s="2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9"/>
      <c r="B319" s="9"/>
      <c r="C319" s="9"/>
      <c r="D319" s="9"/>
      <c r="E319" s="9"/>
      <c r="F319" s="2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9"/>
      <c r="B320" s="9"/>
      <c r="C320" s="9"/>
      <c r="D320" s="9"/>
      <c r="E320" s="9"/>
      <c r="F320" s="2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9"/>
      <c r="B321" s="9"/>
      <c r="C321" s="9"/>
      <c r="D321" s="9"/>
      <c r="E321" s="9"/>
      <c r="F321" s="2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9"/>
      <c r="B322" s="9"/>
      <c r="C322" s="9"/>
      <c r="D322" s="9"/>
      <c r="E322" s="9"/>
      <c r="F322" s="2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9"/>
      <c r="B323" s="9"/>
      <c r="C323" s="9"/>
      <c r="D323" s="9"/>
      <c r="E323" s="9"/>
      <c r="F323" s="2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9"/>
      <c r="B324" s="9"/>
      <c r="C324" s="9"/>
      <c r="D324" s="9"/>
      <c r="E324" s="9"/>
      <c r="F324" s="2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9"/>
      <c r="B325" s="9"/>
      <c r="C325" s="9"/>
      <c r="D325" s="9"/>
      <c r="E325" s="9"/>
      <c r="F325" s="2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9"/>
      <c r="B326" s="9"/>
      <c r="C326" s="9"/>
      <c r="D326" s="9"/>
      <c r="E326" s="9"/>
      <c r="F326" s="2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9"/>
      <c r="B327" s="9"/>
      <c r="C327" s="9"/>
      <c r="D327" s="9"/>
      <c r="E327" s="9"/>
      <c r="F327" s="2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9"/>
      <c r="B328" s="9"/>
      <c r="C328" s="9"/>
      <c r="D328" s="9"/>
      <c r="E328" s="9"/>
      <c r="F328" s="2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9"/>
      <c r="B329" s="9"/>
      <c r="C329" s="9"/>
      <c r="D329" s="9"/>
      <c r="E329" s="9"/>
      <c r="F329" s="2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9"/>
      <c r="B330" s="9"/>
      <c r="C330" s="9"/>
      <c r="D330" s="9"/>
      <c r="E330" s="9"/>
      <c r="F330" s="2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9"/>
      <c r="B331" s="9"/>
      <c r="C331" s="9"/>
      <c r="D331" s="9"/>
      <c r="E331" s="9"/>
      <c r="F331" s="2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9"/>
      <c r="B332" s="9"/>
      <c r="C332" s="9"/>
      <c r="D332" s="9"/>
      <c r="E332" s="9"/>
      <c r="F332" s="2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9"/>
      <c r="B333" s="9"/>
      <c r="C333" s="9"/>
      <c r="D333" s="9"/>
      <c r="E333" s="9"/>
      <c r="F333" s="2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9"/>
      <c r="B334" s="9"/>
      <c r="C334" s="9"/>
      <c r="D334" s="9"/>
      <c r="E334" s="9"/>
      <c r="F334" s="2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9"/>
      <c r="B335" s="9"/>
      <c r="C335" s="9"/>
      <c r="D335" s="9"/>
      <c r="E335" s="9"/>
      <c r="F335" s="2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9"/>
      <c r="B336" s="9"/>
      <c r="C336" s="9"/>
      <c r="D336" s="9"/>
      <c r="E336" s="9"/>
      <c r="F336" s="2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9"/>
      <c r="B337" s="9"/>
      <c r="C337" s="9"/>
      <c r="D337" s="9"/>
      <c r="E337" s="9"/>
      <c r="F337" s="2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9"/>
      <c r="B338" s="9"/>
      <c r="C338" s="9"/>
      <c r="D338" s="9"/>
      <c r="E338" s="9"/>
      <c r="F338" s="2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9"/>
      <c r="B339" s="9"/>
      <c r="C339" s="9"/>
      <c r="D339" s="9"/>
      <c r="E339" s="9"/>
      <c r="F339" s="2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9"/>
      <c r="B340" s="9"/>
      <c r="C340" s="9"/>
      <c r="D340" s="9"/>
      <c r="E340" s="9"/>
      <c r="F340" s="2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9"/>
      <c r="B341" s="9"/>
      <c r="C341" s="9"/>
      <c r="D341" s="9"/>
      <c r="E341" s="9"/>
      <c r="F341" s="2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9"/>
      <c r="B342" s="9"/>
      <c r="C342" s="9"/>
      <c r="D342" s="9"/>
      <c r="E342" s="9"/>
      <c r="F342" s="2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9"/>
      <c r="B343" s="9"/>
      <c r="C343" s="9"/>
      <c r="D343" s="9"/>
      <c r="E343" s="9"/>
      <c r="F343" s="2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9"/>
      <c r="B344" s="9"/>
      <c r="C344" s="9"/>
      <c r="D344" s="9"/>
      <c r="E344" s="9"/>
      <c r="F344" s="2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9"/>
      <c r="B345" s="9"/>
      <c r="C345" s="9"/>
      <c r="D345" s="9"/>
      <c r="E345" s="9"/>
      <c r="F345" s="2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9"/>
      <c r="B346" s="9"/>
      <c r="C346" s="9"/>
      <c r="D346" s="9"/>
      <c r="E346" s="9"/>
      <c r="F346" s="2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9"/>
      <c r="B347" s="9"/>
      <c r="C347" s="9"/>
      <c r="D347" s="9"/>
      <c r="E347" s="9"/>
      <c r="F347" s="2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9"/>
      <c r="B348" s="9"/>
      <c r="C348" s="9"/>
      <c r="D348" s="9"/>
      <c r="E348" s="9"/>
      <c r="F348" s="2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9"/>
      <c r="B349" s="9"/>
      <c r="C349" s="9"/>
      <c r="D349" s="9"/>
      <c r="E349" s="9"/>
      <c r="F349" s="2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9"/>
      <c r="B350" s="9"/>
      <c r="C350" s="9"/>
      <c r="D350" s="9"/>
      <c r="E350" s="9"/>
      <c r="F350" s="2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9"/>
      <c r="B351" s="9"/>
      <c r="C351" s="9"/>
      <c r="D351" s="9"/>
      <c r="E351" s="9"/>
      <c r="F351" s="2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9"/>
      <c r="B352" s="9"/>
      <c r="C352" s="9"/>
      <c r="D352" s="9"/>
      <c r="E352" s="9"/>
      <c r="F352" s="2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9"/>
      <c r="B353" s="9"/>
      <c r="C353" s="9"/>
      <c r="D353" s="9"/>
      <c r="E353" s="9"/>
      <c r="F353" s="2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9"/>
      <c r="B354" s="9"/>
      <c r="C354" s="9"/>
      <c r="D354" s="9"/>
      <c r="E354" s="9"/>
      <c r="F354" s="2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9"/>
      <c r="B355" s="9"/>
      <c r="C355" s="9"/>
      <c r="D355" s="9"/>
      <c r="E355" s="9"/>
      <c r="F355" s="2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9"/>
      <c r="B356" s="9"/>
      <c r="C356" s="9"/>
      <c r="D356" s="9"/>
      <c r="E356" s="9"/>
      <c r="F356" s="2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9"/>
      <c r="B357" s="9"/>
      <c r="C357" s="9"/>
      <c r="D357" s="9"/>
      <c r="E357" s="9"/>
      <c r="F357" s="2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9"/>
      <c r="B358" s="9"/>
      <c r="C358" s="9"/>
      <c r="D358" s="9"/>
      <c r="E358" s="9"/>
      <c r="F358" s="2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9"/>
      <c r="B359" s="9"/>
      <c r="C359" s="9"/>
      <c r="D359" s="9"/>
      <c r="E359" s="9"/>
      <c r="F359" s="2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9"/>
      <c r="B360" s="9"/>
      <c r="C360" s="9"/>
      <c r="D360" s="9"/>
      <c r="E360" s="9"/>
      <c r="F360" s="2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9"/>
      <c r="B361" s="9"/>
      <c r="C361" s="9"/>
      <c r="D361" s="9"/>
      <c r="E361" s="9"/>
      <c r="F361" s="2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9"/>
      <c r="B362" s="9"/>
      <c r="C362" s="9"/>
      <c r="D362" s="9"/>
      <c r="E362" s="9"/>
      <c r="F362" s="2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9"/>
      <c r="B363" s="9"/>
      <c r="C363" s="9"/>
      <c r="D363" s="9"/>
      <c r="E363" s="9"/>
      <c r="F363" s="2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9"/>
      <c r="B364" s="9"/>
      <c r="C364" s="9"/>
      <c r="D364" s="9"/>
      <c r="E364" s="9"/>
      <c r="F364" s="2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9"/>
      <c r="B365" s="9"/>
      <c r="C365" s="9"/>
      <c r="D365" s="9"/>
      <c r="E365" s="9"/>
      <c r="F365" s="2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9"/>
      <c r="B366" s="9"/>
      <c r="C366" s="9"/>
      <c r="D366" s="9"/>
      <c r="E366" s="9"/>
      <c r="F366" s="2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9"/>
      <c r="B367" s="9"/>
      <c r="C367" s="9"/>
      <c r="D367" s="9"/>
      <c r="E367" s="9"/>
      <c r="F367" s="2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9"/>
      <c r="B368" s="9"/>
      <c r="C368" s="9"/>
      <c r="D368" s="9"/>
      <c r="E368" s="9"/>
      <c r="F368" s="2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9"/>
      <c r="B369" s="9"/>
      <c r="C369" s="9"/>
      <c r="D369" s="9"/>
      <c r="E369" s="9"/>
      <c r="F369" s="2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9"/>
      <c r="B370" s="9"/>
      <c r="C370" s="9"/>
      <c r="D370" s="9"/>
      <c r="E370" s="9"/>
      <c r="F370" s="2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9"/>
      <c r="B371" s="9"/>
      <c r="C371" s="9"/>
      <c r="D371" s="9"/>
      <c r="E371" s="9"/>
      <c r="F371" s="2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9"/>
      <c r="B372" s="9"/>
      <c r="C372" s="9"/>
      <c r="D372" s="9"/>
      <c r="E372" s="9"/>
      <c r="F372" s="2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9"/>
      <c r="B373" s="9"/>
      <c r="C373" s="9"/>
      <c r="D373" s="9"/>
      <c r="E373" s="9"/>
      <c r="F373" s="2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9"/>
      <c r="B374" s="9"/>
      <c r="C374" s="9"/>
      <c r="D374" s="9"/>
      <c r="E374" s="9"/>
      <c r="F374" s="2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9"/>
      <c r="B375" s="9"/>
      <c r="C375" s="9"/>
      <c r="D375" s="9"/>
      <c r="E375" s="9"/>
      <c r="F375" s="2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9"/>
      <c r="B376" s="9"/>
      <c r="C376" s="9"/>
      <c r="D376" s="9"/>
      <c r="E376" s="9"/>
      <c r="F376" s="2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9"/>
      <c r="B377" s="9"/>
      <c r="C377" s="9"/>
      <c r="D377" s="9"/>
      <c r="E377" s="9"/>
      <c r="F377" s="2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9"/>
      <c r="B378" s="9"/>
      <c r="C378" s="9"/>
      <c r="D378" s="9"/>
      <c r="E378" s="9"/>
      <c r="F378" s="2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9"/>
      <c r="B379" s="9"/>
      <c r="C379" s="9"/>
      <c r="D379" s="9"/>
      <c r="E379" s="9"/>
      <c r="F379" s="2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9"/>
      <c r="B380" s="9"/>
      <c r="C380" s="9"/>
      <c r="D380" s="9"/>
      <c r="E380" s="9"/>
      <c r="F380" s="2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9"/>
      <c r="B381" s="9"/>
      <c r="C381" s="9"/>
      <c r="D381" s="9"/>
      <c r="E381" s="9"/>
      <c r="F381" s="2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9"/>
      <c r="B382" s="9"/>
      <c r="C382" s="9"/>
      <c r="D382" s="9"/>
      <c r="E382" s="9"/>
      <c r="F382" s="2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9"/>
      <c r="B383" s="9"/>
      <c r="C383" s="9"/>
      <c r="D383" s="9"/>
      <c r="E383" s="9"/>
      <c r="F383" s="2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9"/>
      <c r="B384" s="9"/>
      <c r="C384" s="9"/>
      <c r="D384" s="9"/>
      <c r="E384" s="9"/>
      <c r="F384" s="2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9"/>
      <c r="B385" s="9"/>
      <c r="C385" s="9"/>
      <c r="D385" s="9"/>
      <c r="E385" s="9"/>
      <c r="F385" s="2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9"/>
      <c r="B386" s="9"/>
      <c r="C386" s="9"/>
      <c r="D386" s="9"/>
      <c r="E386" s="9"/>
      <c r="F386" s="2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9"/>
      <c r="B387" s="9"/>
      <c r="C387" s="9"/>
      <c r="D387" s="9"/>
      <c r="E387" s="9"/>
      <c r="F387" s="2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9"/>
      <c r="B388" s="9"/>
      <c r="C388" s="9"/>
      <c r="D388" s="9"/>
      <c r="E388" s="9"/>
      <c r="F388" s="2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9"/>
      <c r="B389" s="9"/>
      <c r="C389" s="9"/>
      <c r="D389" s="9"/>
      <c r="E389" s="9"/>
      <c r="F389" s="2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9"/>
      <c r="B390" s="9"/>
      <c r="C390" s="9"/>
      <c r="D390" s="9"/>
      <c r="E390" s="9"/>
      <c r="F390" s="2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9"/>
      <c r="B391" s="9"/>
      <c r="C391" s="9"/>
      <c r="D391" s="9"/>
      <c r="E391" s="9"/>
      <c r="F391" s="2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9"/>
      <c r="B392" s="9"/>
      <c r="C392" s="9"/>
      <c r="D392" s="9"/>
      <c r="E392" s="9"/>
      <c r="F392" s="2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9"/>
      <c r="B393" s="9"/>
      <c r="C393" s="9"/>
      <c r="D393" s="9"/>
      <c r="E393" s="9"/>
      <c r="F393" s="2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9"/>
      <c r="B394" s="9"/>
      <c r="C394" s="9"/>
      <c r="D394" s="9"/>
      <c r="E394" s="9"/>
      <c r="F394" s="2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9"/>
      <c r="B395" s="9"/>
      <c r="C395" s="9"/>
      <c r="D395" s="9"/>
      <c r="E395" s="9"/>
      <c r="F395" s="2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9"/>
      <c r="B396" s="9"/>
      <c r="C396" s="9"/>
      <c r="D396" s="9"/>
      <c r="E396" s="9"/>
      <c r="F396" s="2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9"/>
      <c r="B397" s="9"/>
      <c r="C397" s="9"/>
      <c r="D397" s="9"/>
      <c r="E397" s="9"/>
      <c r="F397" s="2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9"/>
      <c r="B398" s="9"/>
      <c r="C398" s="9"/>
      <c r="D398" s="9"/>
      <c r="E398" s="9"/>
      <c r="F398" s="2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9"/>
      <c r="B399" s="9"/>
      <c r="C399" s="9"/>
      <c r="D399" s="9"/>
      <c r="E399" s="9"/>
      <c r="F399" s="2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9"/>
      <c r="B400" s="9"/>
      <c r="C400" s="9"/>
      <c r="D400" s="9"/>
      <c r="E400" s="9"/>
      <c r="F400" s="2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9"/>
      <c r="B401" s="9"/>
      <c r="C401" s="9"/>
      <c r="D401" s="9"/>
      <c r="E401" s="9"/>
      <c r="F401" s="2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9"/>
      <c r="B402" s="9"/>
      <c r="C402" s="9"/>
      <c r="D402" s="9"/>
      <c r="E402" s="9"/>
      <c r="F402" s="2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9"/>
      <c r="B403" s="9"/>
      <c r="C403" s="9"/>
      <c r="D403" s="9"/>
      <c r="E403" s="9"/>
      <c r="F403" s="2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9"/>
      <c r="B404" s="9"/>
      <c r="C404" s="9"/>
      <c r="D404" s="9"/>
      <c r="E404" s="9"/>
      <c r="F404" s="2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9"/>
      <c r="B405" s="9"/>
      <c r="C405" s="9"/>
      <c r="D405" s="9"/>
      <c r="E405" s="9"/>
      <c r="F405" s="2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9"/>
      <c r="B406" s="9"/>
      <c r="C406" s="9"/>
      <c r="D406" s="9"/>
      <c r="E406" s="9"/>
      <c r="F406" s="2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9"/>
      <c r="B407" s="9"/>
      <c r="C407" s="9"/>
      <c r="D407" s="9"/>
      <c r="E407" s="9"/>
      <c r="F407" s="2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9"/>
      <c r="B408" s="9"/>
      <c r="C408" s="9"/>
      <c r="D408" s="9"/>
      <c r="E408" s="9"/>
      <c r="F408" s="2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9"/>
      <c r="B409" s="9"/>
      <c r="C409" s="9"/>
      <c r="D409" s="9"/>
      <c r="E409" s="9"/>
      <c r="F409" s="2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9"/>
      <c r="B410" s="9"/>
      <c r="C410" s="9"/>
      <c r="D410" s="9"/>
      <c r="E410" s="9"/>
      <c r="F410" s="2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9"/>
      <c r="B411" s="9"/>
      <c r="C411" s="9"/>
      <c r="D411" s="9"/>
      <c r="E411" s="9"/>
      <c r="F411" s="2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9"/>
      <c r="B412" s="9"/>
      <c r="C412" s="9"/>
      <c r="D412" s="9"/>
      <c r="E412" s="9"/>
      <c r="F412" s="2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9"/>
      <c r="B413" s="9"/>
      <c r="C413" s="9"/>
      <c r="D413" s="9"/>
      <c r="E413" s="9"/>
      <c r="F413" s="2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9"/>
      <c r="B414" s="9"/>
      <c r="C414" s="9"/>
      <c r="D414" s="9"/>
      <c r="E414" s="9"/>
      <c r="F414" s="2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9"/>
      <c r="B415" s="9"/>
      <c r="C415" s="9"/>
      <c r="D415" s="9"/>
      <c r="E415" s="9"/>
      <c r="F415" s="2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9"/>
      <c r="B416" s="9"/>
      <c r="C416" s="9"/>
      <c r="D416" s="9"/>
      <c r="E416" s="9"/>
      <c r="F416" s="2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9"/>
      <c r="B417" s="9"/>
      <c r="C417" s="9"/>
      <c r="D417" s="9"/>
      <c r="E417" s="9"/>
      <c r="F417" s="2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9"/>
      <c r="B418" s="9"/>
      <c r="C418" s="9"/>
      <c r="D418" s="9"/>
      <c r="E418" s="9"/>
      <c r="F418" s="2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9"/>
      <c r="B419" s="9"/>
      <c r="C419" s="9"/>
      <c r="D419" s="9"/>
      <c r="E419" s="9"/>
      <c r="F419" s="2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9"/>
      <c r="B420" s="9"/>
      <c r="C420" s="9"/>
      <c r="D420" s="9"/>
      <c r="E420" s="9"/>
      <c r="F420" s="2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9"/>
      <c r="B421" s="9"/>
      <c r="C421" s="9"/>
      <c r="D421" s="9"/>
      <c r="E421" s="9"/>
      <c r="F421" s="2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9"/>
      <c r="B422" s="9"/>
      <c r="C422" s="9"/>
      <c r="D422" s="9"/>
      <c r="E422" s="9"/>
      <c r="F422" s="2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9"/>
      <c r="B423" s="9"/>
      <c r="C423" s="9"/>
      <c r="D423" s="9"/>
      <c r="E423" s="9"/>
      <c r="F423" s="2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9"/>
      <c r="B424" s="9"/>
      <c r="C424" s="9"/>
      <c r="D424" s="9"/>
      <c r="E424" s="9"/>
      <c r="F424" s="2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9"/>
      <c r="B425" s="9"/>
      <c r="C425" s="9"/>
      <c r="D425" s="9"/>
      <c r="E425" s="9"/>
      <c r="F425" s="2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9"/>
      <c r="B426" s="9"/>
      <c r="C426" s="9"/>
      <c r="D426" s="9"/>
      <c r="E426" s="9"/>
      <c r="F426" s="2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9"/>
      <c r="B427" s="9"/>
      <c r="C427" s="9"/>
      <c r="D427" s="9"/>
      <c r="E427" s="9"/>
      <c r="F427" s="2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9"/>
      <c r="B428" s="9"/>
      <c r="C428" s="9"/>
      <c r="D428" s="9"/>
      <c r="E428" s="9"/>
      <c r="F428" s="2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9"/>
      <c r="B429" s="9"/>
      <c r="C429" s="9"/>
      <c r="D429" s="9"/>
      <c r="E429" s="9"/>
      <c r="F429" s="2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9"/>
      <c r="B430" s="9"/>
      <c r="C430" s="9"/>
      <c r="D430" s="9"/>
      <c r="E430" s="9"/>
      <c r="F430" s="2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9"/>
      <c r="B431" s="9"/>
      <c r="C431" s="9"/>
      <c r="D431" s="9"/>
      <c r="E431" s="9"/>
      <c r="F431" s="2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9"/>
      <c r="B432" s="9"/>
      <c r="C432" s="9"/>
      <c r="D432" s="9"/>
      <c r="E432" s="9"/>
      <c r="F432" s="2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9"/>
      <c r="B433" s="9"/>
      <c r="C433" s="9"/>
      <c r="D433" s="9"/>
      <c r="E433" s="9"/>
      <c r="F433" s="2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9"/>
      <c r="B434" s="9"/>
      <c r="C434" s="9"/>
      <c r="D434" s="9"/>
      <c r="E434" s="9"/>
      <c r="F434" s="2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9"/>
      <c r="B435" s="9"/>
      <c r="C435" s="9"/>
      <c r="D435" s="9"/>
      <c r="E435" s="9"/>
      <c r="F435" s="2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9"/>
      <c r="B436" s="9"/>
      <c r="C436" s="9"/>
      <c r="D436" s="9"/>
      <c r="E436" s="9"/>
      <c r="F436" s="2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9"/>
      <c r="B437" s="9"/>
      <c r="C437" s="9"/>
      <c r="D437" s="9"/>
      <c r="E437" s="9"/>
      <c r="F437" s="2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9"/>
      <c r="B438" s="9"/>
      <c r="C438" s="9"/>
      <c r="D438" s="9"/>
      <c r="E438" s="9"/>
      <c r="F438" s="2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9"/>
      <c r="B439" s="9"/>
      <c r="C439" s="9"/>
      <c r="D439" s="9"/>
      <c r="E439" s="9"/>
      <c r="F439" s="2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9"/>
      <c r="B440" s="9"/>
      <c r="C440" s="9"/>
      <c r="D440" s="9"/>
      <c r="E440" s="9"/>
      <c r="F440" s="2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9"/>
      <c r="B441" s="9"/>
      <c r="C441" s="9"/>
      <c r="D441" s="9"/>
      <c r="E441" s="9"/>
      <c r="F441" s="2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9"/>
      <c r="B442" s="9"/>
      <c r="C442" s="9"/>
      <c r="D442" s="9"/>
      <c r="E442" s="9"/>
      <c r="F442" s="2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9"/>
      <c r="B443" s="9"/>
      <c r="C443" s="9"/>
      <c r="D443" s="9"/>
      <c r="E443" s="9"/>
      <c r="F443" s="2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9"/>
      <c r="B444" s="9"/>
      <c r="C444" s="9"/>
      <c r="D444" s="9"/>
      <c r="E444" s="9"/>
      <c r="F444" s="2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9"/>
      <c r="B445" s="9"/>
      <c r="C445" s="9"/>
      <c r="D445" s="9"/>
      <c r="E445" s="9"/>
      <c r="F445" s="2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9"/>
      <c r="B446" s="9"/>
      <c r="C446" s="9"/>
      <c r="D446" s="9"/>
      <c r="E446" s="9"/>
      <c r="F446" s="2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9"/>
      <c r="B447" s="9"/>
      <c r="C447" s="9"/>
      <c r="D447" s="9"/>
      <c r="E447" s="9"/>
      <c r="F447" s="2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9"/>
      <c r="B448" s="9"/>
      <c r="C448" s="9"/>
      <c r="D448" s="9"/>
      <c r="E448" s="9"/>
      <c r="F448" s="2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9"/>
      <c r="B449" s="9"/>
      <c r="C449" s="9"/>
      <c r="D449" s="9"/>
      <c r="E449" s="9"/>
      <c r="F449" s="2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9"/>
      <c r="B450" s="9"/>
      <c r="C450" s="9"/>
      <c r="D450" s="9"/>
      <c r="E450" s="9"/>
      <c r="F450" s="2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9"/>
      <c r="B451" s="9"/>
      <c r="C451" s="9"/>
      <c r="D451" s="9"/>
      <c r="E451" s="9"/>
      <c r="F451" s="2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9"/>
      <c r="B452" s="9"/>
      <c r="C452" s="9"/>
      <c r="D452" s="9"/>
      <c r="E452" s="9"/>
      <c r="F452" s="2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9"/>
      <c r="B453" s="9"/>
      <c r="C453" s="9"/>
      <c r="D453" s="9"/>
      <c r="E453" s="9"/>
      <c r="F453" s="2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9"/>
      <c r="B454" s="9"/>
      <c r="C454" s="9"/>
      <c r="D454" s="9"/>
      <c r="E454" s="9"/>
      <c r="F454" s="2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9"/>
      <c r="B455" s="9"/>
      <c r="C455" s="9"/>
      <c r="D455" s="9"/>
      <c r="E455" s="9"/>
      <c r="F455" s="2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9"/>
      <c r="B456" s="9"/>
      <c r="C456" s="9"/>
      <c r="D456" s="9"/>
      <c r="E456" s="9"/>
      <c r="F456" s="2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9"/>
      <c r="B457" s="9"/>
      <c r="C457" s="9"/>
      <c r="D457" s="9"/>
      <c r="E457" s="9"/>
      <c r="F457" s="2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9"/>
      <c r="B458" s="9"/>
      <c r="C458" s="9"/>
      <c r="D458" s="9"/>
      <c r="E458" s="9"/>
      <c r="F458" s="2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9"/>
      <c r="B459" s="9"/>
      <c r="C459" s="9"/>
      <c r="D459" s="9"/>
      <c r="E459" s="9"/>
      <c r="F459" s="2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9"/>
      <c r="B460" s="9"/>
      <c r="C460" s="9"/>
      <c r="D460" s="9"/>
      <c r="E460" s="9"/>
      <c r="F460" s="2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9"/>
      <c r="B461" s="9"/>
      <c r="C461" s="9"/>
      <c r="D461" s="9"/>
      <c r="E461" s="9"/>
      <c r="F461" s="2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9"/>
      <c r="B462" s="9"/>
      <c r="C462" s="9"/>
      <c r="D462" s="9"/>
      <c r="E462" s="9"/>
      <c r="F462" s="2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9"/>
      <c r="B463" s="9"/>
      <c r="C463" s="9"/>
      <c r="D463" s="9"/>
      <c r="E463" s="9"/>
      <c r="F463" s="2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9"/>
      <c r="B464" s="9"/>
      <c r="C464" s="9"/>
      <c r="D464" s="9"/>
      <c r="E464" s="9"/>
      <c r="F464" s="2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9"/>
      <c r="B465" s="9"/>
      <c r="C465" s="9"/>
      <c r="D465" s="9"/>
      <c r="E465" s="9"/>
      <c r="F465" s="2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9"/>
      <c r="B466" s="9"/>
      <c r="C466" s="9"/>
      <c r="D466" s="9"/>
      <c r="E466" s="9"/>
      <c r="F466" s="2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9"/>
      <c r="B467" s="9"/>
      <c r="C467" s="9"/>
      <c r="D467" s="9"/>
      <c r="E467" s="9"/>
      <c r="F467" s="2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9"/>
      <c r="B468" s="9"/>
      <c r="C468" s="9"/>
      <c r="D468" s="9"/>
      <c r="E468" s="9"/>
      <c r="F468" s="2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9"/>
      <c r="B469" s="9"/>
      <c r="C469" s="9"/>
      <c r="D469" s="9"/>
      <c r="E469" s="9"/>
      <c r="F469" s="2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9"/>
      <c r="B470" s="9"/>
      <c r="C470" s="9"/>
      <c r="D470" s="9"/>
      <c r="E470" s="9"/>
      <c r="F470" s="2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9"/>
      <c r="B471" s="9"/>
      <c r="C471" s="9"/>
      <c r="D471" s="9"/>
      <c r="E471" s="9"/>
      <c r="F471" s="2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9"/>
      <c r="B472" s="9"/>
      <c r="C472" s="9"/>
      <c r="D472" s="9"/>
      <c r="E472" s="9"/>
      <c r="F472" s="2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9"/>
      <c r="B473" s="9"/>
      <c r="C473" s="9"/>
      <c r="D473" s="9"/>
      <c r="E473" s="9"/>
      <c r="F473" s="2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9"/>
      <c r="B474" s="9"/>
      <c r="C474" s="9"/>
      <c r="D474" s="9"/>
      <c r="E474" s="9"/>
      <c r="F474" s="2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9"/>
      <c r="B475" s="9"/>
      <c r="C475" s="9"/>
      <c r="D475" s="9"/>
      <c r="E475" s="9"/>
      <c r="F475" s="2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9"/>
      <c r="B476" s="9"/>
      <c r="C476" s="9"/>
      <c r="D476" s="9"/>
      <c r="E476" s="9"/>
      <c r="F476" s="2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9"/>
      <c r="B477" s="9"/>
      <c r="C477" s="9"/>
      <c r="D477" s="9"/>
      <c r="E477" s="9"/>
      <c r="F477" s="2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9"/>
      <c r="B478" s="9"/>
      <c r="C478" s="9"/>
      <c r="D478" s="9"/>
      <c r="E478" s="9"/>
      <c r="F478" s="2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9"/>
      <c r="B479" s="9"/>
      <c r="C479" s="9"/>
      <c r="D479" s="9"/>
      <c r="E479" s="9"/>
      <c r="F479" s="2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9"/>
      <c r="B480" s="9"/>
      <c r="C480" s="9"/>
      <c r="D480" s="9"/>
      <c r="E480" s="9"/>
      <c r="F480" s="2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9"/>
      <c r="B481" s="9"/>
      <c r="C481" s="9"/>
      <c r="D481" s="9"/>
      <c r="E481" s="9"/>
      <c r="F481" s="2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9"/>
      <c r="B482" s="9"/>
      <c r="C482" s="9"/>
      <c r="D482" s="9"/>
      <c r="E482" s="9"/>
      <c r="F482" s="2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9"/>
      <c r="B483" s="9"/>
      <c r="C483" s="9"/>
      <c r="D483" s="9"/>
      <c r="E483" s="9"/>
      <c r="F483" s="2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9"/>
      <c r="B484" s="9"/>
      <c r="C484" s="9"/>
      <c r="D484" s="9"/>
      <c r="E484" s="9"/>
      <c r="F484" s="2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9"/>
      <c r="B485" s="9"/>
      <c r="C485" s="9"/>
      <c r="D485" s="9"/>
      <c r="E485" s="9"/>
      <c r="F485" s="2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9"/>
      <c r="B486" s="9"/>
      <c r="C486" s="9"/>
      <c r="D486" s="9"/>
      <c r="E486" s="9"/>
      <c r="F486" s="2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9"/>
      <c r="B487" s="9"/>
      <c r="C487" s="9"/>
      <c r="D487" s="9"/>
      <c r="E487" s="9"/>
      <c r="F487" s="2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9"/>
      <c r="B488" s="9"/>
      <c r="C488" s="9"/>
      <c r="D488" s="9"/>
      <c r="E488" s="9"/>
      <c r="F488" s="2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9"/>
      <c r="B489" s="9"/>
      <c r="C489" s="9"/>
      <c r="D489" s="9"/>
      <c r="E489" s="9"/>
      <c r="F489" s="2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9"/>
      <c r="B490" s="9"/>
      <c r="C490" s="9"/>
      <c r="D490" s="9"/>
      <c r="E490" s="9"/>
      <c r="F490" s="2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9"/>
      <c r="B491" s="9"/>
      <c r="C491" s="9"/>
      <c r="D491" s="9"/>
      <c r="E491" s="9"/>
      <c r="F491" s="2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9"/>
      <c r="B492" s="9"/>
      <c r="C492" s="9"/>
      <c r="D492" s="9"/>
      <c r="E492" s="9"/>
      <c r="F492" s="2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9"/>
      <c r="B493" s="9"/>
      <c r="C493" s="9"/>
      <c r="D493" s="9"/>
      <c r="E493" s="9"/>
      <c r="F493" s="2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9"/>
      <c r="B494" s="9"/>
      <c r="C494" s="9"/>
      <c r="D494" s="9"/>
      <c r="E494" s="9"/>
      <c r="F494" s="2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9"/>
      <c r="B495" s="9"/>
      <c r="C495" s="9"/>
      <c r="D495" s="9"/>
      <c r="E495" s="9"/>
      <c r="F495" s="2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9"/>
      <c r="B496" s="9"/>
      <c r="C496" s="9"/>
      <c r="D496" s="9"/>
      <c r="E496" s="9"/>
      <c r="F496" s="2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9"/>
      <c r="B497" s="9"/>
      <c r="C497" s="9"/>
      <c r="D497" s="9"/>
      <c r="E497" s="9"/>
      <c r="F497" s="2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9"/>
      <c r="B498" s="9"/>
      <c r="C498" s="9"/>
      <c r="D498" s="9"/>
      <c r="E498" s="9"/>
      <c r="F498" s="2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9"/>
      <c r="B499" s="9"/>
      <c r="C499" s="9"/>
      <c r="D499" s="9"/>
      <c r="E499" s="9"/>
      <c r="F499" s="2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9"/>
      <c r="B500" s="9"/>
      <c r="C500" s="9"/>
      <c r="D500" s="9"/>
      <c r="E500" s="9"/>
      <c r="F500" s="2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9"/>
      <c r="B501" s="9"/>
      <c r="C501" s="9"/>
      <c r="D501" s="9"/>
      <c r="E501" s="9"/>
      <c r="F501" s="2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9"/>
      <c r="B502" s="9"/>
      <c r="C502" s="9"/>
      <c r="D502" s="9"/>
      <c r="E502" s="9"/>
      <c r="F502" s="2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9"/>
      <c r="B503" s="9"/>
      <c r="C503" s="9"/>
      <c r="D503" s="9"/>
      <c r="E503" s="9"/>
      <c r="F503" s="2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9"/>
      <c r="B504" s="9"/>
      <c r="C504" s="9"/>
      <c r="D504" s="9"/>
      <c r="E504" s="9"/>
      <c r="F504" s="2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9"/>
      <c r="B505" s="9"/>
      <c r="C505" s="9"/>
      <c r="D505" s="9"/>
      <c r="E505" s="9"/>
      <c r="F505" s="2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9"/>
      <c r="B506" s="9"/>
      <c r="C506" s="9"/>
      <c r="D506" s="9"/>
      <c r="E506" s="9"/>
      <c r="F506" s="2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9"/>
      <c r="B507" s="9"/>
      <c r="C507" s="9"/>
      <c r="D507" s="9"/>
      <c r="E507" s="9"/>
      <c r="F507" s="2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9"/>
      <c r="B508" s="9"/>
      <c r="C508" s="9"/>
      <c r="D508" s="9"/>
      <c r="E508" s="9"/>
      <c r="F508" s="2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9"/>
      <c r="B509" s="9"/>
      <c r="C509" s="9"/>
      <c r="D509" s="9"/>
      <c r="E509" s="9"/>
      <c r="F509" s="2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9"/>
      <c r="B510" s="9"/>
      <c r="C510" s="9"/>
      <c r="D510" s="9"/>
      <c r="E510" s="9"/>
      <c r="F510" s="2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9"/>
      <c r="B511" s="9"/>
      <c r="C511" s="9"/>
      <c r="D511" s="9"/>
      <c r="E511" s="9"/>
      <c r="F511" s="2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9"/>
      <c r="B512" s="9"/>
      <c r="C512" s="9"/>
      <c r="D512" s="9"/>
      <c r="E512" s="9"/>
      <c r="F512" s="2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9"/>
      <c r="B513" s="9"/>
      <c r="C513" s="9"/>
      <c r="D513" s="9"/>
      <c r="E513" s="9"/>
      <c r="F513" s="2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9"/>
      <c r="B514" s="9"/>
      <c r="C514" s="9"/>
      <c r="D514" s="9"/>
      <c r="E514" s="9"/>
      <c r="F514" s="2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9"/>
      <c r="B515" s="9"/>
      <c r="C515" s="9"/>
      <c r="D515" s="9"/>
      <c r="E515" s="9"/>
      <c r="F515" s="2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9"/>
      <c r="B516" s="9"/>
      <c r="C516" s="9"/>
      <c r="D516" s="9"/>
      <c r="E516" s="9"/>
      <c r="F516" s="2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9"/>
      <c r="B517" s="9"/>
      <c r="C517" s="9"/>
      <c r="D517" s="9"/>
      <c r="E517" s="9"/>
      <c r="F517" s="2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9"/>
      <c r="B518" s="9"/>
      <c r="C518" s="9"/>
      <c r="D518" s="9"/>
      <c r="E518" s="9"/>
      <c r="F518" s="2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9"/>
      <c r="B519" s="9"/>
      <c r="C519" s="9"/>
      <c r="D519" s="9"/>
      <c r="E519" s="9"/>
      <c r="F519" s="2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9"/>
      <c r="B520" s="9"/>
      <c r="C520" s="9"/>
      <c r="D520" s="9"/>
      <c r="E520" s="9"/>
      <c r="F520" s="2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9"/>
      <c r="B521" s="9"/>
      <c r="C521" s="9"/>
      <c r="D521" s="9"/>
      <c r="E521" s="9"/>
      <c r="F521" s="2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9"/>
      <c r="B522" s="9"/>
      <c r="C522" s="9"/>
      <c r="D522" s="9"/>
      <c r="E522" s="9"/>
      <c r="F522" s="2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9"/>
      <c r="B523" s="9"/>
      <c r="C523" s="9"/>
      <c r="D523" s="9"/>
      <c r="E523" s="9"/>
      <c r="F523" s="2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9"/>
      <c r="B524" s="9"/>
      <c r="C524" s="9"/>
      <c r="D524" s="9"/>
      <c r="E524" s="9"/>
      <c r="F524" s="2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9"/>
      <c r="B525" s="9"/>
      <c r="C525" s="9"/>
      <c r="D525" s="9"/>
      <c r="E525" s="9"/>
      <c r="F525" s="2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9"/>
      <c r="B526" s="9"/>
      <c r="C526" s="9"/>
      <c r="D526" s="9"/>
      <c r="E526" s="9"/>
      <c r="F526" s="2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9"/>
      <c r="B527" s="9"/>
      <c r="C527" s="9"/>
      <c r="D527" s="9"/>
      <c r="E527" s="9"/>
      <c r="F527" s="2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9"/>
      <c r="B528" s="9"/>
      <c r="C528" s="9"/>
      <c r="D528" s="9"/>
      <c r="E528" s="9"/>
      <c r="F528" s="2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9"/>
      <c r="B529" s="9"/>
      <c r="C529" s="9"/>
      <c r="D529" s="9"/>
      <c r="E529" s="9"/>
      <c r="F529" s="2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9"/>
      <c r="B530" s="9"/>
      <c r="C530" s="9"/>
      <c r="D530" s="9"/>
      <c r="E530" s="9"/>
      <c r="F530" s="2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9"/>
      <c r="B531" s="9"/>
      <c r="C531" s="9"/>
      <c r="D531" s="9"/>
      <c r="E531" s="9"/>
      <c r="F531" s="2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9"/>
      <c r="B532" s="9"/>
      <c r="C532" s="9"/>
      <c r="D532" s="9"/>
      <c r="E532" s="9"/>
      <c r="F532" s="2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9"/>
      <c r="B533" s="9"/>
      <c r="C533" s="9"/>
      <c r="D533" s="9"/>
      <c r="E533" s="9"/>
      <c r="F533" s="2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9"/>
      <c r="B534" s="9"/>
      <c r="C534" s="9"/>
      <c r="D534" s="9"/>
      <c r="E534" s="9"/>
      <c r="F534" s="2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9"/>
      <c r="B535" s="9"/>
      <c r="C535" s="9"/>
      <c r="D535" s="9"/>
      <c r="E535" s="9"/>
      <c r="F535" s="2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9"/>
      <c r="B536" s="9"/>
      <c r="C536" s="9"/>
      <c r="D536" s="9"/>
      <c r="E536" s="9"/>
      <c r="F536" s="2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9"/>
      <c r="B537" s="9"/>
      <c r="C537" s="9"/>
      <c r="D537" s="9"/>
      <c r="E537" s="9"/>
      <c r="F537" s="2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9"/>
      <c r="B538" s="9"/>
      <c r="C538" s="9"/>
      <c r="D538" s="9"/>
      <c r="E538" s="9"/>
      <c r="F538" s="2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9"/>
      <c r="B539" s="9"/>
      <c r="C539" s="9"/>
      <c r="D539" s="9"/>
      <c r="E539" s="9"/>
      <c r="F539" s="2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9"/>
      <c r="B540" s="9"/>
      <c r="C540" s="9"/>
      <c r="D540" s="9"/>
      <c r="E540" s="9"/>
      <c r="F540" s="2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9"/>
      <c r="B541" s="9"/>
      <c r="C541" s="9"/>
      <c r="D541" s="9"/>
      <c r="E541" s="9"/>
      <c r="F541" s="2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9"/>
      <c r="B542" s="9"/>
      <c r="C542" s="9"/>
      <c r="D542" s="9"/>
      <c r="E542" s="9"/>
      <c r="F542" s="2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9"/>
      <c r="B543" s="9"/>
      <c r="C543" s="9"/>
      <c r="D543" s="9"/>
      <c r="E543" s="9"/>
      <c r="F543" s="2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9"/>
      <c r="B544" s="9"/>
      <c r="C544" s="9"/>
      <c r="D544" s="9"/>
      <c r="E544" s="9"/>
      <c r="F544" s="2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9"/>
      <c r="B545" s="9"/>
      <c r="C545" s="9"/>
      <c r="D545" s="9"/>
      <c r="E545" s="9"/>
      <c r="F545" s="2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9"/>
      <c r="B546" s="9"/>
      <c r="C546" s="9"/>
      <c r="D546" s="9"/>
      <c r="E546" s="9"/>
      <c r="F546" s="2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9"/>
      <c r="B547" s="9"/>
      <c r="C547" s="9"/>
      <c r="D547" s="9"/>
      <c r="E547" s="9"/>
      <c r="F547" s="2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2.5" customHeight="1">
      <c r="A548" s="9"/>
      <c r="B548" s="9"/>
      <c r="C548" s="9"/>
      <c r="D548" s="9"/>
      <c r="E548" s="9"/>
      <c r="F548" s="2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2.5" customHeight="1">
      <c r="A549" s="9"/>
      <c r="B549" s="9"/>
      <c r="C549" s="9"/>
      <c r="D549" s="9"/>
      <c r="E549" s="9"/>
      <c r="F549" s="2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2.5" customHeight="1">
      <c r="A550" s="9"/>
      <c r="B550" s="9"/>
      <c r="C550" s="9"/>
      <c r="D550" s="9"/>
      <c r="E550" s="9"/>
      <c r="F550" s="2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2.5" customHeight="1">
      <c r="A551" s="9"/>
      <c r="B551" s="9"/>
      <c r="C551" s="9"/>
      <c r="D551" s="9"/>
      <c r="E551" s="9"/>
      <c r="F551" s="2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2.5" customHeight="1">
      <c r="A552" s="9"/>
      <c r="B552" s="9"/>
      <c r="C552" s="9"/>
      <c r="D552" s="9"/>
      <c r="E552" s="9"/>
      <c r="F552" s="2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2.5" customHeight="1">
      <c r="A553" s="9"/>
      <c r="B553" s="9"/>
      <c r="C553" s="9"/>
      <c r="D553" s="9"/>
      <c r="E553" s="9"/>
      <c r="F553" s="2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2.5" customHeight="1">
      <c r="A554" s="9"/>
      <c r="B554" s="9"/>
      <c r="C554" s="9"/>
      <c r="D554" s="9"/>
      <c r="E554" s="9"/>
      <c r="F554" s="2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2.5" customHeight="1">
      <c r="A555" s="9"/>
      <c r="B555" s="9"/>
      <c r="C555" s="9"/>
      <c r="D555" s="9"/>
      <c r="E555" s="9"/>
      <c r="F555" s="2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2.5" customHeight="1">
      <c r="A556" s="9"/>
      <c r="B556" s="9"/>
      <c r="C556" s="9"/>
      <c r="D556" s="9"/>
      <c r="E556" s="9"/>
      <c r="F556" s="2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2.5" customHeight="1">
      <c r="A557" s="9"/>
      <c r="B557" s="9"/>
      <c r="C557" s="9"/>
      <c r="D557" s="9"/>
      <c r="E557" s="9"/>
      <c r="F557" s="2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2.5" customHeight="1">
      <c r="A558" s="9"/>
      <c r="B558" s="9"/>
      <c r="C558" s="9"/>
      <c r="D558" s="9"/>
      <c r="E558" s="9"/>
      <c r="F558" s="2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2.5" customHeight="1">
      <c r="A559" s="9"/>
      <c r="B559" s="9"/>
      <c r="C559" s="9"/>
      <c r="D559" s="9"/>
      <c r="E559" s="9"/>
      <c r="F559" s="2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2.5" customHeight="1">
      <c r="A560" s="9"/>
      <c r="B560" s="9"/>
      <c r="C560" s="9"/>
      <c r="D560" s="9"/>
      <c r="E560" s="9"/>
      <c r="F560" s="2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2.5" customHeight="1">
      <c r="A561" s="9"/>
      <c r="B561" s="9"/>
      <c r="C561" s="9"/>
      <c r="D561" s="9"/>
      <c r="E561" s="9"/>
      <c r="F561" s="2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2.5" customHeight="1">
      <c r="A562" s="9"/>
      <c r="B562" s="9"/>
      <c r="C562" s="9"/>
      <c r="D562" s="9"/>
      <c r="E562" s="9"/>
      <c r="F562" s="2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2.5" customHeight="1">
      <c r="A563" s="9"/>
      <c r="B563" s="9"/>
      <c r="C563" s="9"/>
      <c r="D563" s="9"/>
      <c r="E563" s="9"/>
      <c r="F563" s="2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2.5" customHeight="1">
      <c r="A564" s="9"/>
      <c r="B564" s="9"/>
      <c r="C564" s="9"/>
      <c r="D564" s="9"/>
      <c r="E564" s="9"/>
      <c r="F564" s="2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2.5" customHeight="1">
      <c r="A565" s="9"/>
      <c r="B565" s="9"/>
      <c r="C565" s="9"/>
      <c r="D565" s="9"/>
      <c r="E565" s="9"/>
      <c r="F565" s="2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2.5" customHeight="1">
      <c r="A566" s="9"/>
      <c r="B566" s="9"/>
      <c r="C566" s="9"/>
      <c r="D566" s="9"/>
      <c r="E566" s="9"/>
      <c r="F566" s="2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2.5" customHeight="1">
      <c r="A567" s="9"/>
      <c r="B567" s="9"/>
      <c r="C567" s="9"/>
      <c r="D567" s="9"/>
      <c r="E567" s="9"/>
      <c r="F567" s="2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2.5" customHeight="1">
      <c r="A568" s="9"/>
      <c r="B568" s="9"/>
      <c r="C568" s="9"/>
      <c r="D568" s="9"/>
      <c r="E568" s="9"/>
      <c r="F568" s="2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2.5" customHeight="1">
      <c r="A569" s="9"/>
      <c r="B569" s="9"/>
      <c r="C569" s="9"/>
      <c r="D569" s="9"/>
      <c r="E569" s="9"/>
      <c r="F569" s="2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2.5" customHeight="1">
      <c r="A570" s="9"/>
      <c r="B570" s="9"/>
      <c r="C570" s="9"/>
      <c r="D570" s="9"/>
      <c r="E570" s="9"/>
      <c r="F570" s="2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2.5" customHeight="1">
      <c r="A571" s="9"/>
      <c r="B571" s="9"/>
      <c r="C571" s="9"/>
      <c r="D571" s="9"/>
      <c r="E571" s="9"/>
      <c r="F571" s="2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2.5" customHeight="1">
      <c r="A572" s="9"/>
      <c r="B572" s="9"/>
      <c r="C572" s="9"/>
      <c r="D572" s="9"/>
      <c r="E572" s="9"/>
      <c r="F572" s="2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2.5" customHeight="1">
      <c r="A573" s="9"/>
      <c r="B573" s="9"/>
      <c r="C573" s="9"/>
      <c r="D573" s="9"/>
      <c r="E573" s="9"/>
      <c r="F573" s="2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2.5" customHeight="1">
      <c r="A574" s="9"/>
      <c r="B574" s="9"/>
      <c r="C574" s="9"/>
      <c r="D574" s="9"/>
      <c r="E574" s="9"/>
      <c r="F574" s="2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2.5" customHeight="1">
      <c r="A575" s="9"/>
      <c r="B575" s="9"/>
      <c r="C575" s="9"/>
      <c r="D575" s="9"/>
      <c r="E575" s="9"/>
      <c r="F575" s="2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2.5" customHeight="1">
      <c r="A576" s="9"/>
      <c r="B576" s="9"/>
      <c r="C576" s="9"/>
      <c r="D576" s="9"/>
      <c r="E576" s="9"/>
      <c r="F576" s="2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2.5" customHeight="1">
      <c r="A577" s="9"/>
      <c r="B577" s="9"/>
      <c r="C577" s="9"/>
      <c r="D577" s="9"/>
      <c r="E577" s="9"/>
      <c r="F577" s="2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2.5" customHeight="1">
      <c r="A578" s="9"/>
      <c r="B578" s="9"/>
      <c r="C578" s="9"/>
      <c r="D578" s="9"/>
      <c r="E578" s="9"/>
      <c r="F578" s="2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2.5" customHeight="1">
      <c r="A579" s="9"/>
      <c r="B579" s="9"/>
      <c r="C579" s="9"/>
      <c r="D579" s="9"/>
      <c r="E579" s="9"/>
      <c r="F579" s="2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2.5" customHeight="1">
      <c r="A580" s="9"/>
      <c r="B580" s="9"/>
      <c r="C580" s="9"/>
      <c r="D580" s="9"/>
      <c r="E580" s="9"/>
      <c r="F580" s="2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2.5" customHeight="1">
      <c r="A581" s="9"/>
      <c r="B581" s="9"/>
      <c r="C581" s="9"/>
      <c r="D581" s="9"/>
      <c r="E581" s="9"/>
      <c r="F581" s="2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2.5" customHeight="1">
      <c r="A582" s="9"/>
      <c r="B582" s="9"/>
      <c r="C582" s="9"/>
      <c r="D582" s="9"/>
      <c r="E582" s="9"/>
      <c r="F582" s="2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2.5" customHeight="1">
      <c r="A583" s="9"/>
      <c r="B583" s="9"/>
      <c r="C583" s="9"/>
      <c r="D583" s="9"/>
      <c r="E583" s="9"/>
      <c r="F583" s="2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2.5" customHeight="1">
      <c r="A584" s="9"/>
      <c r="B584" s="9"/>
      <c r="C584" s="9"/>
      <c r="D584" s="9"/>
      <c r="E584" s="9"/>
      <c r="F584" s="2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2.5" customHeight="1">
      <c r="A585" s="9"/>
      <c r="B585" s="9"/>
      <c r="C585" s="9"/>
      <c r="D585" s="9"/>
      <c r="E585" s="9"/>
      <c r="F585" s="2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2.5" customHeight="1">
      <c r="A586" s="9"/>
      <c r="B586" s="9"/>
      <c r="C586" s="9"/>
      <c r="D586" s="9"/>
      <c r="E586" s="9"/>
      <c r="F586" s="2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2.5" customHeight="1">
      <c r="A587" s="9"/>
      <c r="B587" s="9"/>
      <c r="C587" s="9"/>
      <c r="D587" s="9"/>
      <c r="E587" s="9"/>
      <c r="F587" s="2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2.5" customHeight="1">
      <c r="A588" s="9"/>
      <c r="B588" s="9"/>
      <c r="C588" s="9"/>
      <c r="D588" s="9"/>
      <c r="E588" s="9"/>
      <c r="F588" s="2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2.5" customHeight="1">
      <c r="A589" s="9"/>
      <c r="B589" s="9"/>
      <c r="C589" s="9"/>
      <c r="D589" s="9"/>
      <c r="E589" s="9"/>
      <c r="F589" s="2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2.5" customHeight="1">
      <c r="A590" s="9"/>
      <c r="B590" s="9"/>
      <c r="C590" s="9"/>
      <c r="D590" s="9"/>
      <c r="E590" s="9"/>
      <c r="F590" s="2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2.5" customHeight="1">
      <c r="A591" s="9"/>
      <c r="B591" s="9"/>
      <c r="C591" s="9"/>
      <c r="D591" s="9"/>
      <c r="E591" s="9"/>
      <c r="F591" s="2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2.5" customHeight="1">
      <c r="A592" s="9"/>
      <c r="B592" s="9"/>
      <c r="C592" s="9"/>
      <c r="D592" s="9"/>
      <c r="E592" s="9"/>
      <c r="F592" s="2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2.5" customHeight="1">
      <c r="A593" s="9"/>
      <c r="B593" s="9"/>
      <c r="C593" s="9"/>
      <c r="D593" s="9"/>
      <c r="E593" s="9"/>
      <c r="F593" s="2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2.5" customHeight="1">
      <c r="A594" s="9"/>
      <c r="B594" s="9"/>
      <c r="C594" s="9"/>
      <c r="D594" s="9"/>
      <c r="E594" s="9"/>
      <c r="F594" s="2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2.5" customHeight="1">
      <c r="A595" s="9"/>
      <c r="B595" s="9"/>
      <c r="C595" s="9"/>
      <c r="D595" s="9"/>
      <c r="E595" s="9"/>
      <c r="F595" s="2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2.5" customHeight="1">
      <c r="A596" s="9"/>
      <c r="B596" s="9"/>
      <c r="C596" s="9"/>
      <c r="D596" s="9"/>
      <c r="E596" s="9"/>
      <c r="F596" s="2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2.5" customHeight="1">
      <c r="A597" s="9"/>
      <c r="B597" s="9"/>
      <c r="C597" s="9"/>
      <c r="D597" s="9"/>
      <c r="E597" s="9"/>
      <c r="F597" s="2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2.5" customHeight="1">
      <c r="A598" s="9"/>
      <c r="B598" s="9"/>
      <c r="C598" s="9"/>
      <c r="D598" s="9"/>
      <c r="E598" s="9"/>
      <c r="F598" s="2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2.5" customHeight="1">
      <c r="A599" s="9"/>
      <c r="B599" s="9"/>
      <c r="C599" s="9"/>
      <c r="D599" s="9"/>
      <c r="E599" s="9"/>
      <c r="F599" s="2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2.5" customHeight="1">
      <c r="A600" s="9"/>
      <c r="B600" s="9"/>
      <c r="C600" s="9"/>
      <c r="D600" s="9"/>
      <c r="E600" s="9"/>
      <c r="F600" s="2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2.5" customHeight="1">
      <c r="A601" s="9"/>
      <c r="B601" s="9"/>
      <c r="C601" s="9"/>
      <c r="D601" s="9"/>
      <c r="E601" s="9"/>
      <c r="F601" s="2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2.5" customHeight="1">
      <c r="A602" s="9"/>
      <c r="B602" s="9"/>
      <c r="C602" s="9"/>
      <c r="D602" s="9"/>
      <c r="E602" s="9"/>
      <c r="F602" s="2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2.5" customHeight="1">
      <c r="A603" s="9"/>
      <c r="B603" s="9"/>
      <c r="C603" s="9"/>
      <c r="D603" s="9"/>
      <c r="E603" s="9"/>
      <c r="F603" s="2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2.5" customHeight="1">
      <c r="A604" s="9"/>
      <c r="B604" s="9"/>
      <c r="C604" s="9"/>
      <c r="D604" s="9"/>
      <c r="E604" s="9"/>
      <c r="F604" s="2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2.5" customHeight="1">
      <c r="A605" s="9"/>
      <c r="B605" s="9"/>
      <c r="C605" s="9"/>
      <c r="D605" s="9"/>
      <c r="E605" s="9"/>
      <c r="F605" s="2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2.5" customHeight="1">
      <c r="A606" s="9"/>
      <c r="B606" s="9"/>
      <c r="C606" s="9"/>
      <c r="D606" s="9"/>
      <c r="E606" s="9"/>
      <c r="F606" s="2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2.5" customHeight="1">
      <c r="A607" s="9"/>
      <c r="B607" s="9"/>
      <c r="C607" s="9"/>
      <c r="D607" s="9"/>
      <c r="E607" s="9"/>
      <c r="F607" s="2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2.5" customHeight="1">
      <c r="A608" s="9"/>
      <c r="B608" s="9"/>
      <c r="C608" s="9"/>
      <c r="D608" s="9"/>
      <c r="E608" s="9"/>
      <c r="F608" s="2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2.5" customHeight="1">
      <c r="A609" s="9"/>
      <c r="B609" s="9"/>
      <c r="C609" s="9"/>
      <c r="D609" s="9"/>
      <c r="E609" s="9"/>
      <c r="F609" s="2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2.5" customHeight="1">
      <c r="A610" s="9"/>
      <c r="B610" s="9"/>
      <c r="C610" s="9"/>
      <c r="D610" s="9"/>
      <c r="E610" s="9"/>
      <c r="F610" s="2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2.5" customHeight="1">
      <c r="A611" s="9"/>
      <c r="B611" s="9"/>
      <c r="C611" s="9"/>
      <c r="D611" s="9"/>
      <c r="E611" s="9"/>
      <c r="F611" s="2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2.5" customHeight="1">
      <c r="A612" s="9"/>
      <c r="B612" s="9"/>
      <c r="C612" s="9"/>
      <c r="D612" s="9"/>
      <c r="E612" s="9"/>
      <c r="F612" s="2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2.5" customHeight="1">
      <c r="A613" s="9"/>
      <c r="B613" s="9"/>
      <c r="C613" s="9"/>
      <c r="D613" s="9"/>
      <c r="E613" s="9"/>
      <c r="F613" s="2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2.5" customHeight="1">
      <c r="A614" s="9"/>
      <c r="B614" s="9"/>
      <c r="C614" s="9"/>
      <c r="D614" s="9"/>
      <c r="E614" s="9"/>
      <c r="F614" s="2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2.5" customHeight="1">
      <c r="A615" s="9"/>
      <c r="B615" s="9"/>
      <c r="C615" s="9"/>
      <c r="D615" s="9"/>
      <c r="E615" s="9"/>
      <c r="F615" s="2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2.5" customHeight="1">
      <c r="A616" s="9"/>
      <c r="B616" s="9"/>
      <c r="C616" s="9"/>
      <c r="D616" s="9"/>
      <c r="E616" s="9"/>
      <c r="F616" s="2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2.5" customHeight="1">
      <c r="A617" s="9"/>
      <c r="B617" s="9"/>
      <c r="C617" s="9"/>
      <c r="D617" s="9"/>
      <c r="E617" s="9"/>
      <c r="F617" s="2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2.5" customHeight="1">
      <c r="A618" s="9"/>
      <c r="B618" s="9"/>
      <c r="C618" s="9"/>
      <c r="D618" s="9"/>
      <c r="E618" s="9"/>
      <c r="F618" s="2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2.5" customHeight="1">
      <c r="A619" s="9"/>
      <c r="B619" s="9"/>
      <c r="C619" s="9"/>
      <c r="D619" s="9"/>
      <c r="E619" s="9"/>
      <c r="F619" s="2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2.5" customHeight="1">
      <c r="A620" s="9"/>
      <c r="B620" s="9"/>
      <c r="C620" s="9"/>
      <c r="D620" s="9"/>
      <c r="E620" s="9"/>
      <c r="F620" s="2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2.5" customHeight="1">
      <c r="A621" s="9"/>
      <c r="B621" s="9"/>
      <c r="C621" s="9"/>
      <c r="D621" s="9"/>
      <c r="E621" s="9"/>
      <c r="F621" s="2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2.5" customHeight="1">
      <c r="A622" s="9"/>
      <c r="B622" s="9"/>
      <c r="C622" s="9"/>
      <c r="D622" s="9"/>
      <c r="E622" s="9"/>
      <c r="F622" s="2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2.5" customHeight="1">
      <c r="A623" s="9"/>
      <c r="B623" s="9"/>
      <c r="C623" s="9"/>
      <c r="D623" s="9"/>
      <c r="E623" s="9"/>
      <c r="F623" s="2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2.5" customHeight="1">
      <c r="A624" s="9"/>
      <c r="B624" s="9"/>
      <c r="C624" s="9"/>
      <c r="D624" s="9"/>
      <c r="E624" s="9"/>
      <c r="F624" s="2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2.5" customHeight="1">
      <c r="A625" s="9"/>
      <c r="B625" s="9"/>
      <c r="C625" s="9"/>
      <c r="D625" s="9"/>
      <c r="E625" s="9"/>
      <c r="F625" s="2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2.5" customHeight="1">
      <c r="A626" s="9"/>
      <c r="B626" s="9"/>
      <c r="C626" s="9"/>
      <c r="D626" s="9"/>
      <c r="E626" s="9"/>
      <c r="F626" s="2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2.5" customHeight="1">
      <c r="A627" s="9"/>
      <c r="B627" s="9"/>
      <c r="C627" s="9"/>
      <c r="D627" s="9"/>
      <c r="E627" s="9"/>
      <c r="F627" s="2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2.5" customHeight="1">
      <c r="A628" s="9"/>
      <c r="B628" s="9"/>
      <c r="C628" s="9"/>
      <c r="D628" s="9"/>
      <c r="E628" s="9"/>
      <c r="F628" s="2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2.5" customHeight="1">
      <c r="A629" s="9"/>
      <c r="B629" s="9"/>
      <c r="C629" s="9"/>
      <c r="D629" s="9"/>
      <c r="E629" s="9"/>
      <c r="F629" s="2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2.5" customHeight="1">
      <c r="A630" s="9"/>
      <c r="B630" s="9"/>
      <c r="C630" s="9"/>
      <c r="D630" s="9"/>
      <c r="E630" s="9"/>
      <c r="F630" s="2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2.5" customHeight="1">
      <c r="A631" s="9"/>
      <c r="B631" s="9"/>
      <c r="C631" s="9"/>
      <c r="D631" s="9"/>
      <c r="E631" s="9"/>
      <c r="F631" s="2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2.5" customHeight="1">
      <c r="A632" s="9"/>
      <c r="B632" s="9"/>
      <c r="C632" s="9"/>
      <c r="D632" s="9"/>
      <c r="E632" s="9"/>
      <c r="F632" s="2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2.5" customHeight="1">
      <c r="A633" s="9"/>
      <c r="B633" s="9"/>
      <c r="C633" s="9"/>
      <c r="D633" s="9"/>
      <c r="E633" s="9"/>
      <c r="F633" s="2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2.5" customHeight="1">
      <c r="A634" s="9"/>
      <c r="B634" s="9"/>
      <c r="C634" s="9"/>
      <c r="D634" s="9"/>
      <c r="E634" s="9"/>
      <c r="F634" s="2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2.5" customHeight="1">
      <c r="A635" s="9"/>
      <c r="B635" s="9"/>
      <c r="C635" s="9"/>
      <c r="D635" s="9"/>
      <c r="E635" s="9"/>
      <c r="F635" s="2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2.5" customHeight="1">
      <c r="A636" s="9"/>
      <c r="B636" s="9"/>
      <c r="C636" s="9"/>
      <c r="D636" s="9"/>
      <c r="E636" s="9"/>
      <c r="F636" s="2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2.5" customHeight="1">
      <c r="A637" s="9"/>
      <c r="B637" s="9"/>
      <c r="C637" s="9"/>
      <c r="D637" s="9"/>
      <c r="E637" s="9"/>
      <c r="F637" s="2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2.5" customHeight="1">
      <c r="A638" s="9"/>
      <c r="B638" s="9"/>
      <c r="C638" s="9"/>
      <c r="D638" s="9"/>
      <c r="E638" s="9"/>
      <c r="F638" s="2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2.5" customHeight="1">
      <c r="A639" s="9"/>
      <c r="B639" s="9"/>
      <c r="C639" s="9"/>
      <c r="D639" s="9"/>
      <c r="E639" s="9"/>
      <c r="F639" s="2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2.5" customHeight="1">
      <c r="A640" s="9"/>
      <c r="B640" s="9"/>
      <c r="C640" s="9"/>
      <c r="D640" s="9"/>
      <c r="E640" s="9"/>
      <c r="F640" s="2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2.5" customHeight="1">
      <c r="A641" s="9"/>
      <c r="B641" s="9"/>
      <c r="C641" s="9"/>
      <c r="D641" s="9"/>
      <c r="E641" s="9"/>
      <c r="F641" s="2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2.5" customHeight="1">
      <c r="A642" s="9"/>
      <c r="B642" s="9"/>
      <c r="C642" s="9"/>
      <c r="D642" s="9"/>
      <c r="E642" s="9"/>
      <c r="F642" s="2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2.5" customHeight="1">
      <c r="A643" s="9"/>
      <c r="B643" s="9"/>
      <c r="C643" s="9"/>
      <c r="D643" s="9"/>
      <c r="E643" s="9"/>
      <c r="F643" s="2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2.5" customHeight="1">
      <c r="A644" s="9"/>
      <c r="B644" s="9"/>
      <c r="C644" s="9"/>
      <c r="D644" s="9"/>
      <c r="E644" s="9"/>
      <c r="F644" s="2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2.5" customHeight="1">
      <c r="A645" s="9"/>
      <c r="B645" s="9"/>
      <c r="C645" s="9"/>
      <c r="D645" s="9"/>
      <c r="E645" s="9"/>
      <c r="F645" s="2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2.5" customHeight="1">
      <c r="A646" s="9"/>
      <c r="B646" s="9"/>
      <c r="C646" s="9"/>
      <c r="D646" s="9"/>
      <c r="E646" s="9"/>
      <c r="F646" s="2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2.5" customHeight="1">
      <c r="A647" s="9"/>
      <c r="B647" s="9"/>
      <c r="C647" s="9"/>
      <c r="D647" s="9"/>
      <c r="E647" s="9"/>
      <c r="F647" s="2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2.5" customHeight="1">
      <c r="A648" s="9"/>
      <c r="B648" s="9"/>
      <c r="C648" s="9"/>
      <c r="D648" s="9"/>
      <c r="E648" s="9"/>
      <c r="F648" s="2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2.5" customHeight="1">
      <c r="A649" s="9"/>
      <c r="B649" s="9"/>
      <c r="C649" s="9"/>
      <c r="D649" s="9"/>
      <c r="E649" s="9"/>
      <c r="F649" s="2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2.5" customHeight="1">
      <c r="A650" s="9"/>
      <c r="B650" s="9"/>
      <c r="C650" s="9"/>
      <c r="D650" s="9"/>
      <c r="E650" s="9"/>
      <c r="F650" s="2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2.5" customHeight="1">
      <c r="A651" s="9"/>
      <c r="B651" s="9"/>
      <c r="C651" s="9"/>
      <c r="D651" s="9"/>
      <c r="E651" s="9"/>
      <c r="F651" s="2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2.5" customHeight="1">
      <c r="A652" s="9"/>
      <c r="B652" s="9"/>
      <c r="C652" s="9"/>
      <c r="D652" s="9"/>
      <c r="E652" s="9"/>
      <c r="F652" s="2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2.5" customHeight="1">
      <c r="A653" s="9"/>
      <c r="B653" s="9"/>
      <c r="C653" s="9"/>
      <c r="D653" s="9"/>
      <c r="E653" s="9"/>
      <c r="F653" s="2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2.5" customHeight="1">
      <c r="A654" s="9"/>
      <c r="B654" s="9"/>
      <c r="C654" s="9"/>
      <c r="D654" s="9"/>
      <c r="E654" s="9"/>
      <c r="F654" s="2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2.5" customHeight="1">
      <c r="A655" s="9"/>
      <c r="B655" s="9"/>
      <c r="C655" s="9"/>
      <c r="D655" s="9"/>
      <c r="E655" s="9"/>
      <c r="F655" s="2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2.5" customHeight="1">
      <c r="A656" s="9"/>
      <c r="B656" s="9"/>
      <c r="C656" s="9"/>
      <c r="D656" s="9"/>
      <c r="E656" s="9"/>
      <c r="F656" s="2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2.5" customHeight="1">
      <c r="A657" s="9"/>
      <c r="B657" s="9"/>
      <c r="C657" s="9"/>
      <c r="D657" s="9"/>
      <c r="E657" s="9"/>
      <c r="F657" s="2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2.5" customHeight="1">
      <c r="A658" s="9"/>
      <c r="B658" s="9"/>
      <c r="C658" s="9"/>
      <c r="D658" s="9"/>
      <c r="E658" s="9"/>
      <c r="F658" s="2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2.5" customHeight="1">
      <c r="A659" s="9"/>
      <c r="B659" s="9"/>
      <c r="C659" s="9"/>
      <c r="D659" s="9"/>
      <c r="E659" s="9"/>
      <c r="F659" s="2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2.5" customHeight="1">
      <c r="A660" s="9"/>
      <c r="B660" s="9"/>
      <c r="C660" s="9"/>
      <c r="D660" s="9"/>
      <c r="E660" s="9"/>
      <c r="F660" s="2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2.5" customHeight="1">
      <c r="A661" s="9"/>
      <c r="B661" s="9"/>
      <c r="C661" s="9"/>
      <c r="D661" s="9"/>
      <c r="E661" s="9"/>
      <c r="F661" s="2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2.5" customHeight="1">
      <c r="A662" s="9"/>
      <c r="B662" s="9"/>
      <c r="C662" s="9"/>
      <c r="D662" s="9"/>
      <c r="E662" s="9"/>
      <c r="F662" s="2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2.5" customHeight="1">
      <c r="A663" s="9"/>
      <c r="B663" s="9"/>
      <c r="C663" s="9"/>
      <c r="D663" s="9"/>
      <c r="E663" s="9"/>
      <c r="F663" s="2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2.5" customHeight="1">
      <c r="A664" s="9"/>
      <c r="B664" s="9"/>
      <c r="C664" s="9"/>
      <c r="D664" s="9"/>
      <c r="E664" s="9"/>
      <c r="F664" s="2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2.5" customHeight="1">
      <c r="A665" s="9"/>
      <c r="B665" s="9"/>
      <c r="C665" s="9"/>
      <c r="D665" s="9"/>
      <c r="E665" s="9"/>
      <c r="F665" s="2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2.5" customHeight="1">
      <c r="A666" s="9"/>
      <c r="B666" s="9"/>
      <c r="C666" s="9"/>
      <c r="D666" s="9"/>
      <c r="E666" s="9"/>
      <c r="F666" s="2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2.5" customHeight="1">
      <c r="A667" s="9"/>
      <c r="B667" s="9"/>
      <c r="C667" s="9"/>
      <c r="D667" s="9"/>
      <c r="E667" s="9"/>
      <c r="F667" s="2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2.5" customHeight="1">
      <c r="A668" s="9"/>
      <c r="B668" s="9"/>
      <c r="C668" s="9"/>
      <c r="D668" s="9"/>
      <c r="E668" s="9"/>
      <c r="F668" s="2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2.5" customHeight="1">
      <c r="A669" s="9"/>
      <c r="B669" s="9"/>
      <c r="C669" s="9"/>
      <c r="D669" s="9"/>
      <c r="E669" s="9"/>
      <c r="F669" s="2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2.5" customHeight="1">
      <c r="A670" s="9"/>
      <c r="B670" s="9"/>
      <c r="C670" s="9"/>
      <c r="D670" s="9"/>
      <c r="E670" s="9"/>
      <c r="F670" s="2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2.5" customHeight="1">
      <c r="A671" s="9"/>
      <c r="B671" s="9"/>
      <c r="C671" s="9"/>
      <c r="D671" s="9"/>
      <c r="E671" s="9"/>
      <c r="F671" s="2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2.5" customHeight="1">
      <c r="A672" s="9"/>
      <c r="B672" s="9"/>
      <c r="C672" s="9"/>
      <c r="D672" s="9"/>
      <c r="E672" s="9"/>
      <c r="F672" s="2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2.5" customHeight="1">
      <c r="A673" s="9"/>
      <c r="B673" s="9"/>
      <c r="C673" s="9"/>
      <c r="D673" s="9"/>
      <c r="E673" s="9"/>
      <c r="F673" s="2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2.5" customHeight="1">
      <c r="A674" s="9"/>
      <c r="B674" s="9"/>
      <c r="C674" s="9"/>
      <c r="D674" s="9"/>
      <c r="E674" s="9"/>
      <c r="F674" s="2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2.5" customHeight="1">
      <c r="A675" s="9"/>
      <c r="B675" s="9"/>
      <c r="C675" s="9"/>
      <c r="D675" s="9"/>
      <c r="E675" s="9"/>
      <c r="F675" s="2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2.5" customHeight="1">
      <c r="A676" s="9"/>
      <c r="B676" s="9"/>
      <c r="C676" s="9"/>
      <c r="D676" s="9"/>
      <c r="E676" s="9"/>
      <c r="F676" s="2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2.5" customHeight="1">
      <c r="A677" s="9"/>
      <c r="B677" s="9"/>
      <c r="C677" s="9"/>
      <c r="D677" s="9"/>
      <c r="E677" s="9"/>
      <c r="F677" s="2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2.5" customHeight="1">
      <c r="A678" s="9"/>
      <c r="B678" s="9"/>
      <c r="C678" s="9"/>
      <c r="D678" s="9"/>
      <c r="E678" s="9"/>
      <c r="F678" s="2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2.5" customHeight="1">
      <c r="A679" s="9"/>
      <c r="B679" s="9"/>
      <c r="C679" s="9"/>
      <c r="D679" s="9"/>
      <c r="E679" s="9"/>
      <c r="F679" s="2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2.5" customHeight="1">
      <c r="A680" s="9"/>
      <c r="B680" s="9"/>
      <c r="C680" s="9"/>
      <c r="D680" s="9"/>
      <c r="E680" s="9"/>
      <c r="F680" s="2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2.5" customHeight="1">
      <c r="A681" s="9"/>
      <c r="B681" s="9"/>
      <c r="C681" s="9"/>
      <c r="D681" s="9"/>
      <c r="E681" s="9"/>
      <c r="F681" s="2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2.5" customHeight="1">
      <c r="A682" s="9"/>
      <c r="B682" s="9"/>
      <c r="C682" s="9"/>
      <c r="D682" s="9"/>
      <c r="E682" s="9"/>
      <c r="F682" s="2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2.5" customHeight="1">
      <c r="A683" s="9"/>
      <c r="B683" s="9"/>
      <c r="C683" s="9"/>
      <c r="D683" s="9"/>
      <c r="E683" s="9"/>
      <c r="F683" s="2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2.5" customHeight="1">
      <c r="A684" s="9"/>
      <c r="B684" s="9"/>
      <c r="C684" s="9"/>
      <c r="D684" s="9"/>
      <c r="E684" s="9"/>
      <c r="F684" s="2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2.5" customHeight="1">
      <c r="A685" s="9"/>
      <c r="B685" s="9"/>
      <c r="C685" s="9"/>
      <c r="D685" s="9"/>
      <c r="E685" s="9"/>
      <c r="F685" s="2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2.5" customHeight="1">
      <c r="A686" s="9"/>
      <c r="B686" s="9"/>
      <c r="C686" s="9"/>
      <c r="D686" s="9"/>
      <c r="E686" s="9"/>
      <c r="F686" s="2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2.5" customHeight="1">
      <c r="A687" s="9"/>
      <c r="B687" s="9"/>
      <c r="C687" s="9"/>
      <c r="D687" s="9"/>
      <c r="E687" s="9"/>
      <c r="F687" s="2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2.5" customHeight="1">
      <c r="A688" s="9"/>
      <c r="B688" s="9"/>
      <c r="C688" s="9"/>
      <c r="D688" s="9"/>
      <c r="E688" s="9"/>
      <c r="F688" s="2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2.5" customHeight="1">
      <c r="A689" s="9"/>
      <c r="B689" s="9"/>
      <c r="C689" s="9"/>
      <c r="D689" s="9"/>
      <c r="E689" s="9"/>
      <c r="F689" s="2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2.5" customHeight="1">
      <c r="A690" s="9"/>
      <c r="B690" s="9"/>
      <c r="C690" s="9"/>
      <c r="D690" s="9"/>
      <c r="E690" s="9"/>
      <c r="F690" s="2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2.5" customHeight="1">
      <c r="A691" s="9"/>
      <c r="B691" s="9"/>
      <c r="C691" s="9"/>
      <c r="D691" s="9"/>
      <c r="E691" s="9"/>
      <c r="F691" s="2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2.5" customHeight="1">
      <c r="A692" s="9"/>
      <c r="B692" s="9"/>
      <c r="C692" s="9"/>
      <c r="D692" s="9"/>
      <c r="E692" s="9"/>
      <c r="F692" s="2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2.5" customHeight="1">
      <c r="A693" s="9"/>
      <c r="B693" s="9"/>
      <c r="C693" s="9"/>
      <c r="D693" s="9"/>
      <c r="E693" s="9"/>
      <c r="F693" s="2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2.5" customHeight="1">
      <c r="A694" s="9"/>
      <c r="B694" s="9"/>
      <c r="C694" s="9"/>
      <c r="D694" s="9"/>
      <c r="E694" s="9"/>
      <c r="F694" s="2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2.5" customHeight="1">
      <c r="A695" s="9"/>
      <c r="B695" s="9"/>
      <c r="C695" s="9"/>
      <c r="D695" s="9"/>
      <c r="E695" s="9"/>
      <c r="F695" s="2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2.5" customHeight="1">
      <c r="A696" s="9"/>
      <c r="B696" s="9"/>
      <c r="C696" s="9"/>
      <c r="D696" s="9"/>
      <c r="E696" s="9"/>
      <c r="F696" s="2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2.5" customHeight="1">
      <c r="A697" s="9"/>
      <c r="B697" s="9"/>
      <c r="C697" s="9"/>
      <c r="D697" s="9"/>
      <c r="E697" s="9"/>
      <c r="F697" s="2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2.5" customHeight="1">
      <c r="A698" s="9"/>
      <c r="B698" s="9"/>
      <c r="C698" s="9"/>
      <c r="D698" s="9"/>
      <c r="E698" s="9"/>
      <c r="F698" s="2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2.5" customHeight="1">
      <c r="A699" s="9"/>
      <c r="B699" s="9"/>
      <c r="C699" s="9"/>
      <c r="D699" s="9"/>
      <c r="E699" s="9"/>
      <c r="F699" s="2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2.5" customHeight="1">
      <c r="A700" s="9"/>
      <c r="B700" s="9"/>
      <c r="C700" s="9"/>
      <c r="D700" s="9"/>
      <c r="E700" s="9"/>
      <c r="F700" s="2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2.5" customHeight="1">
      <c r="A701" s="9"/>
      <c r="B701" s="9"/>
      <c r="C701" s="9"/>
      <c r="D701" s="9"/>
      <c r="E701" s="9"/>
      <c r="F701" s="2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2.5" customHeight="1">
      <c r="A702" s="9"/>
      <c r="B702" s="9"/>
      <c r="C702" s="9"/>
      <c r="D702" s="9"/>
      <c r="E702" s="9"/>
      <c r="F702" s="2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2.5" customHeight="1">
      <c r="A703" s="9"/>
      <c r="B703" s="9"/>
      <c r="C703" s="9"/>
      <c r="D703" s="9"/>
      <c r="E703" s="9"/>
      <c r="F703" s="2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2.5" customHeight="1">
      <c r="A704" s="9"/>
      <c r="B704" s="9"/>
      <c r="C704" s="9"/>
      <c r="D704" s="9"/>
      <c r="E704" s="9"/>
      <c r="F704" s="2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2.5" customHeight="1">
      <c r="A705" s="9"/>
      <c r="B705" s="9"/>
      <c r="C705" s="9"/>
      <c r="D705" s="9"/>
      <c r="E705" s="9"/>
      <c r="F705" s="2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2.5" customHeight="1">
      <c r="A706" s="9"/>
      <c r="B706" s="9"/>
      <c r="C706" s="9"/>
      <c r="D706" s="9"/>
      <c r="E706" s="9"/>
      <c r="F706" s="2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2.5" customHeight="1">
      <c r="A707" s="9"/>
      <c r="B707" s="9"/>
      <c r="C707" s="9"/>
      <c r="D707" s="9"/>
      <c r="E707" s="9"/>
      <c r="F707" s="2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2.5" customHeight="1">
      <c r="A708" s="9"/>
      <c r="B708" s="9"/>
      <c r="C708" s="9"/>
      <c r="D708" s="9"/>
      <c r="E708" s="9"/>
      <c r="F708" s="2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2.5" customHeight="1">
      <c r="A709" s="9"/>
      <c r="B709" s="9"/>
      <c r="C709" s="9"/>
      <c r="D709" s="9"/>
      <c r="E709" s="9"/>
      <c r="F709" s="2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2.5" customHeight="1">
      <c r="A710" s="9"/>
      <c r="B710" s="9"/>
      <c r="C710" s="9"/>
      <c r="D710" s="9"/>
      <c r="E710" s="9"/>
      <c r="F710" s="2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2.5" customHeight="1">
      <c r="A711" s="9"/>
      <c r="B711" s="9"/>
      <c r="C711" s="9"/>
      <c r="D711" s="9"/>
      <c r="E711" s="9"/>
      <c r="F711" s="2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2.5" customHeight="1">
      <c r="A712" s="9"/>
      <c r="B712" s="9"/>
      <c r="C712" s="9"/>
      <c r="D712" s="9"/>
      <c r="E712" s="9"/>
      <c r="F712" s="2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2.5" customHeight="1">
      <c r="A713" s="9"/>
      <c r="B713" s="9"/>
      <c r="C713" s="9"/>
      <c r="D713" s="9"/>
      <c r="E713" s="9"/>
      <c r="F713" s="2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2.5" customHeight="1">
      <c r="A714" s="9"/>
      <c r="B714" s="9"/>
      <c r="C714" s="9"/>
      <c r="D714" s="9"/>
      <c r="E714" s="9"/>
      <c r="F714" s="2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2.5" customHeight="1">
      <c r="A715" s="9"/>
      <c r="B715" s="9"/>
      <c r="C715" s="9"/>
      <c r="D715" s="9"/>
      <c r="E715" s="9"/>
      <c r="F715" s="2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2.5" customHeight="1">
      <c r="A716" s="9"/>
      <c r="B716" s="9"/>
      <c r="C716" s="9"/>
      <c r="D716" s="9"/>
      <c r="E716" s="9"/>
      <c r="F716" s="2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2.5" customHeight="1">
      <c r="A717" s="9"/>
      <c r="B717" s="9"/>
      <c r="C717" s="9"/>
      <c r="D717" s="9"/>
      <c r="E717" s="9"/>
      <c r="F717" s="2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2.5" customHeight="1">
      <c r="A718" s="9"/>
      <c r="B718" s="9"/>
      <c r="C718" s="9"/>
      <c r="D718" s="9"/>
      <c r="E718" s="9"/>
      <c r="F718" s="2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2.5" customHeight="1">
      <c r="A719" s="9"/>
      <c r="B719" s="9"/>
      <c r="C719" s="9"/>
      <c r="D719" s="9"/>
      <c r="E719" s="9"/>
      <c r="F719" s="2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2.5" customHeight="1">
      <c r="A720" s="9"/>
      <c r="B720" s="9"/>
      <c r="C720" s="9"/>
      <c r="D720" s="9"/>
      <c r="E720" s="9"/>
      <c r="F720" s="2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2.5" customHeight="1">
      <c r="A721" s="9"/>
      <c r="B721" s="9"/>
      <c r="C721" s="9"/>
      <c r="D721" s="9"/>
      <c r="E721" s="9"/>
      <c r="F721" s="2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2.5" customHeight="1">
      <c r="A722" s="9"/>
      <c r="B722" s="9"/>
      <c r="C722" s="9"/>
      <c r="D722" s="9"/>
      <c r="E722" s="9"/>
      <c r="F722" s="2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2.5" customHeight="1">
      <c r="A723" s="9"/>
      <c r="B723" s="9"/>
      <c r="C723" s="9"/>
      <c r="D723" s="9"/>
      <c r="E723" s="9"/>
      <c r="F723" s="2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2.5" customHeight="1">
      <c r="A724" s="9"/>
      <c r="B724" s="9"/>
      <c r="C724" s="9"/>
      <c r="D724" s="9"/>
      <c r="E724" s="9"/>
      <c r="F724" s="2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2.5" customHeight="1">
      <c r="A725" s="9"/>
      <c r="B725" s="9"/>
      <c r="C725" s="9"/>
      <c r="D725" s="9"/>
      <c r="E725" s="9"/>
      <c r="F725" s="2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2.5" customHeight="1">
      <c r="A726" s="9"/>
      <c r="B726" s="9"/>
      <c r="C726" s="9"/>
      <c r="D726" s="9"/>
      <c r="E726" s="9"/>
      <c r="F726" s="2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2.5" customHeight="1">
      <c r="A727" s="9"/>
      <c r="B727" s="9"/>
      <c r="C727" s="9"/>
      <c r="D727" s="9"/>
      <c r="E727" s="9"/>
      <c r="F727" s="2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2.5" customHeight="1">
      <c r="A728" s="9"/>
      <c r="B728" s="9"/>
      <c r="C728" s="9"/>
      <c r="D728" s="9"/>
      <c r="E728" s="9"/>
      <c r="F728" s="2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2.5" customHeight="1">
      <c r="A729" s="9"/>
      <c r="B729" s="9"/>
      <c r="C729" s="9"/>
      <c r="D729" s="9"/>
      <c r="E729" s="9"/>
      <c r="F729" s="2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2.5" customHeight="1">
      <c r="A730" s="9"/>
      <c r="B730" s="9"/>
      <c r="C730" s="9"/>
      <c r="D730" s="9"/>
      <c r="E730" s="9"/>
      <c r="F730" s="2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2.5" customHeight="1">
      <c r="A731" s="9"/>
      <c r="B731" s="9"/>
      <c r="C731" s="9"/>
      <c r="D731" s="9"/>
      <c r="E731" s="9"/>
      <c r="F731" s="2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2.5" customHeight="1">
      <c r="A732" s="9"/>
      <c r="B732" s="9"/>
      <c r="C732" s="9"/>
      <c r="D732" s="9"/>
      <c r="E732" s="9"/>
      <c r="F732" s="2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2.5" customHeight="1">
      <c r="A733" s="9"/>
      <c r="B733" s="9"/>
      <c r="C733" s="9"/>
      <c r="D733" s="9"/>
      <c r="E733" s="9"/>
      <c r="F733" s="2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2.5" customHeight="1">
      <c r="A734" s="9"/>
      <c r="B734" s="9"/>
      <c r="C734" s="9"/>
      <c r="D734" s="9"/>
      <c r="E734" s="9"/>
      <c r="F734" s="2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2.5" customHeight="1">
      <c r="A735" s="9"/>
      <c r="B735" s="9"/>
      <c r="C735" s="9"/>
      <c r="D735" s="9"/>
      <c r="E735" s="9"/>
      <c r="F735" s="2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2.5" customHeight="1">
      <c r="A736" s="9"/>
      <c r="B736" s="9"/>
      <c r="C736" s="9"/>
      <c r="D736" s="9"/>
      <c r="E736" s="9"/>
      <c r="F736" s="2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2.5" customHeight="1">
      <c r="A737" s="9"/>
      <c r="B737" s="9"/>
      <c r="C737" s="9"/>
      <c r="D737" s="9"/>
      <c r="E737" s="9"/>
      <c r="F737" s="2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2.5" customHeight="1">
      <c r="A738" s="9"/>
      <c r="B738" s="9"/>
      <c r="C738" s="9"/>
      <c r="D738" s="9"/>
      <c r="E738" s="9"/>
      <c r="F738" s="2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2.5" customHeight="1">
      <c r="A739" s="9"/>
      <c r="B739" s="9"/>
      <c r="C739" s="9"/>
      <c r="D739" s="9"/>
      <c r="E739" s="9"/>
      <c r="F739" s="2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2.5" customHeight="1">
      <c r="A740" s="9"/>
      <c r="B740" s="9"/>
      <c r="C740" s="9"/>
      <c r="D740" s="9"/>
      <c r="E740" s="9"/>
      <c r="F740" s="2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2.5" customHeight="1">
      <c r="A741" s="9"/>
      <c r="B741" s="9"/>
      <c r="C741" s="9"/>
      <c r="D741" s="9"/>
      <c r="E741" s="9"/>
      <c r="F741" s="2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2.5" customHeight="1">
      <c r="A742" s="9"/>
      <c r="B742" s="9"/>
      <c r="C742" s="9"/>
      <c r="D742" s="9"/>
      <c r="E742" s="9"/>
      <c r="F742" s="2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2.5" customHeight="1">
      <c r="A743" s="9"/>
      <c r="B743" s="9"/>
      <c r="C743" s="9"/>
      <c r="D743" s="9"/>
      <c r="E743" s="9"/>
      <c r="F743" s="2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2.5" customHeight="1">
      <c r="A744" s="9"/>
      <c r="B744" s="9"/>
      <c r="C744" s="9"/>
      <c r="D744" s="9"/>
      <c r="E744" s="9"/>
      <c r="F744" s="2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2.5" customHeight="1">
      <c r="A745" s="9"/>
      <c r="B745" s="9"/>
      <c r="C745" s="9"/>
      <c r="D745" s="9"/>
      <c r="E745" s="9"/>
      <c r="F745" s="2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2.5" customHeight="1">
      <c r="A746" s="9"/>
      <c r="B746" s="9"/>
      <c r="C746" s="9"/>
      <c r="D746" s="9"/>
      <c r="E746" s="9"/>
      <c r="F746" s="2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2.5" customHeight="1">
      <c r="A747" s="9"/>
      <c r="B747" s="9"/>
      <c r="C747" s="9"/>
      <c r="D747" s="9"/>
      <c r="E747" s="9"/>
      <c r="F747" s="2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2.5" customHeight="1">
      <c r="A748" s="9"/>
      <c r="B748" s="9"/>
      <c r="C748" s="9"/>
      <c r="D748" s="9"/>
      <c r="E748" s="9"/>
      <c r="F748" s="2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2.5" customHeight="1">
      <c r="A749" s="9"/>
      <c r="B749" s="9"/>
      <c r="C749" s="9"/>
      <c r="D749" s="9"/>
      <c r="E749" s="9"/>
      <c r="F749" s="2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2.5" customHeight="1">
      <c r="A750" s="9"/>
      <c r="B750" s="9"/>
      <c r="C750" s="9"/>
      <c r="D750" s="9"/>
      <c r="E750" s="9"/>
      <c r="F750" s="2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2.5" customHeight="1">
      <c r="A751" s="9"/>
      <c r="B751" s="9"/>
      <c r="C751" s="9"/>
      <c r="D751" s="9"/>
      <c r="E751" s="9"/>
      <c r="F751" s="2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2.5" customHeight="1">
      <c r="A752" s="9"/>
      <c r="B752" s="9"/>
      <c r="C752" s="9"/>
      <c r="D752" s="9"/>
      <c r="E752" s="9"/>
      <c r="F752" s="2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2.5" customHeight="1">
      <c r="A753" s="9"/>
      <c r="B753" s="9"/>
      <c r="C753" s="9"/>
      <c r="D753" s="9"/>
      <c r="E753" s="9"/>
      <c r="F753" s="2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2.5" customHeight="1">
      <c r="A754" s="9"/>
      <c r="B754" s="9"/>
      <c r="C754" s="9"/>
      <c r="D754" s="9"/>
      <c r="E754" s="9"/>
      <c r="F754" s="2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2.5" customHeight="1">
      <c r="A755" s="9"/>
      <c r="B755" s="9"/>
      <c r="C755" s="9"/>
      <c r="D755" s="9"/>
      <c r="E755" s="9"/>
      <c r="F755" s="2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2.5" customHeight="1">
      <c r="A756" s="9"/>
      <c r="B756" s="9"/>
      <c r="C756" s="9"/>
      <c r="D756" s="9"/>
      <c r="E756" s="9"/>
      <c r="F756" s="2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2.5" customHeight="1">
      <c r="A757" s="9"/>
      <c r="B757" s="9"/>
      <c r="C757" s="9"/>
      <c r="D757" s="9"/>
      <c r="E757" s="9"/>
      <c r="F757" s="2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2.5" customHeight="1">
      <c r="A758" s="9"/>
      <c r="B758" s="9"/>
      <c r="C758" s="9"/>
      <c r="D758" s="9"/>
      <c r="E758" s="9"/>
      <c r="F758" s="2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2.5" customHeight="1">
      <c r="A759" s="9"/>
      <c r="B759" s="9"/>
      <c r="C759" s="9"/>
      <c r="D759" s="9"/>
      <c r="E759" s="9"/>
      <c r="F759" s="2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2.5" customHeight="1">
      <c r="A760" s="9"/>
      <c r="B760" s="9"/>
      <c r="C760" s="9"/>
      <c r="D760" s="9"/>
      <c r="E760" s="9"/>
      <c r="F760" s="2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2.5" customHeight="1">
      <c r="A761" s="9"/>
      <c r="B761" s="9"/>
      <c r="C761" s="9"/>
      <c r="D761" s="9"/>
      <c r="E761" s="9"/>
      <c r="F761" s="2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2.5" customHeight="1">
      <c r="A762" s="9"/>
      <c r="B762" s="9"/>
      <c r="C762" s="9"/>
      <c r="D762" s="9"/>
      <c r="E762" s="9"/>
      <c r="F762" s="2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2.5" customHeight="1">
      <c r="A763" s="9"/>
      <c r="B763" s="9"/>
      <c r="C763" s="9"/>
      <c r="D763" s="9"/>
      <c r="E763" s="9"/>
      <c r="F763" s="2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2.5" customHeight="1">
      <c r="A764" s="9"/>
      <c r="B764" s="9"/>
      <c r="C764" s="9"/>
      <c r="D764" s="9"/>
      <c r="E764" s="9"/>
      <c r="F764" s="2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2.5" customHeight="1">
      <c r="A765" s="9"/>
      <c r="B765" s="9"/>
      <c r="C765" s="9"/>
      <c r="D765" s="9"/>
      <c r="E765" s="9"/>
      <c r="F765" s="2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2.5" customHeight="1">
      <c r="A766" s="9"/>
      <c r="B766" s="9"/>
      <c r="C766" s="9"/>
      <c r="D766" s="9"/>
      <c r="E766" s="9"/>
      <c r="F766" s="2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2.5" customHeight="1">
      <c r="A767" s="9"/>
      <c r="B767" s="9"/>
      <c r="C767" s="9"/>
      <c r="D767" s="9"/>
      <c r="E767" s="9"/>
      <c r="F767" s="2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2.5" customHeight="1">
      <c r="A768" s="9"/>
      <c r="B768" s="9"/>
      <c r="C768" s="9"/>
      <c r="D768" s="9"/>
      <c r="E768" s="9"/>
      <c r="F768" s="2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2.5" customHeight="1">
      <c r="A769" s="9"/>
      <c r="B769" s="9"/>
      <c r="C769" s="9"/>
      <c r="D769" s="9"/>
      <c r="E769" s="9"/>
      <c r="F769" s="2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2.5" customHeight="1">
      <c r="A770" s="9"/>
      <c r="B770" s="9"/>
      <c r="C770" s="9"/>
      <c r="D770" s="9"/>
      <c r="E770" s="9"/>
      <c r="F770" s="2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2.5" customHeight="1">
      <c r="A771" s="9"/>
      <c r="B771" s="9"/>
      <c r="C771" s="9"/>
      <c r="D771" s="9"/>
      <c r="E771" s="9"/>
      <c r="F771" s="2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2.5" customHeight="1">
      <c r="A772" s="9"/>
      <c r="B772" s="9"/>
      <c r="C772" s="9"/>
      <c r="D772" s="9"/>
      <c r="E772" s="9"/>
      <c r="F772" s="2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2.5" customHeight="1">
      <c r="A773" s="9"/>
      <c r="B773" s="9"/>
      <c r="C773" s="9"/>
      <c r="D773" s="9"/>
      <c r="E773" s="9"/>
      <c r="F773" s="2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2.5" customHeight="1">
      <c r="A774" s="9"/>
      <c r="B774" s="9"/>
      <c r="C774" s="9"/>
      <c r="D774" s="9"/>
      <c r="E774" s="9"/>
      <c r="F774" s="2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2.5" customHeight="1">
      <c r="A775" s="9"/>
      <c r="B775" s="9"/>
      <c r="C775" s="9"/>
      <c r="D775" s="9"/>
      <c r="E775" s="9"/>
      <c r="F775" s="2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2.5" customHeight="1">
      <c r="A776" s="9"/>
      <c r="B776" s="9"/>
      <c r="C776" s="9"/>
      <c r="D776" s="9"/>
      <c r="E776" s="9"/>
      <c r="F776" s="2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2.5" customHeight="1">
      <c r="A777" s="9"/>
      <c r="B777" s="9"/>
      <c r="C777" s="9"/>
      <c r="D777" s="9"/>
      <c r="E777" s="9"/>
      <c r="F777" s="2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2.5" customHeight="1">
      <c r="A778" s="9"/>
      <c r="B778" s="9"/>
      <c r="C778" s="9"/>
      <c r="D778" s="9"/>
      <c r="E778" s="9"/>
      <c r="F778" s="2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2.5" customHeight="1">
      <c r="A779" s="9"/>
      <c r="B779" s="9"/>
      <c r="C779" s="9"/>
      <c r="D779" s="9"/>
      <c r="E779" s="9"/>
      <c r="F779" s="2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2.5" customHeight="1">
      <c r="A780" s="9"/>
      <c r="B780" s="9"/>
      <c r="C780" s="9"/>
      <c r="D780" s="9"/>
      <c r="E780" s="9"/>
      <c r="F780" s="2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2.5" customHeight="1">
      <c r="A781" s="9"/>
      <c r="B781" s="9"/>
      <c r="C781" s="9"/>
      <c r="D781" s="9"/>
      <c r="E781" s="9"/>
      <c r="F781" s="2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2.5" customHeight="1">
      <c r="A782" s="9"/>
      <c r="B782" s="9"/>
      <c r="C782" s="9"/>
      <c r="D782" s="9"/>
      <c r="E782" s="9"/>
      <c r="F782" s="2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2.5" customHeight="1">
      <c r="A783" s="9"/>
      <c r="B783" s="9"/>
      <c r="C783" s="9"/>
      <c r="D783" s="9"/>
      <c r="E783" s="9"/>
      <c r="F783" s="2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2.5" customHeight="1">
      <c r="A784" s="9"/>
      <c r="B784" s="9"/>
      <c r="C784" s="9"/>
      <c r="D784" s="9"/>
      <c r="E784" s="9"/>
      <c r="F784" s="2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2.5" customHeight="1">
      <c r="A785" s="9"/>
      <c r="B785" s="9"/>
      <c r="C785" s="9"/>
      <c r="D785" s="9"/>
      <c r="E785" s="9"/>
      <c r="F785" s="2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2.5" customHeight="1">
      <c r="A786" s="9"/>
      <c r="B786" s="9"/>
      <c r="C786" s="9"/>
      <c r="D786" s="9"/>
      <c r="E786" s="9"/>
      <c r="F786" s="2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2.5" customHeight="1">
      <c r="A787" s="9"/>
      <c r="B787" s="9"/>
      <c r="C787" s="9"/>
      <c r="D787" s="9"/>
      <c r="E787" s="9"/>
      <c r="F787" s="2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2.5" customHeight="1">
      <c r="A788" s="9"/>
      <c r="B788" s="9"/>
      <c r="C788" s="9"/>
      <c r="D788" s="9"/>
      <c r="E788" s="9"/>
      <c r="F788" s="2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2.5" customHeight="1">
      <c r="A789" s="9"/>
      <c r="B789" s="9"/>
      <c r="C789" s="9"/>
      <c r="D789" s="9"/>
      <c r="E789" s="9"/>
      <c r="F789" s="2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2.5" customHeight="1">
      <c r="A790" s="9"/>
      <c r="B790" s="9"/>
      <c r="C790" s="9"/>
      <c r="D790" s="9"/>
      <c r="E790" s="9"/>
      <c r="F790" s="2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2.5" customHeight="1">
      <c r="A791" s="9"/>
      <c r="B791" s="9"/>
      <c r="C791" s="9"/>
      <c r="D791" s="9"/>
      <c r="E791" s="9"/>
      <c r="F791" s="2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2.5" customHeight="1">
      <c r="A792" s="9"/>
      <c r="B792" s="9"/>
      <c r="C792" s="9"/>
      <c r="D792" s="9"/>
      <c r="E792" s="9"/>
      <c r="F792" s="2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2.5" customHeight="1">
      <c r="A793" s="9"/>
      <c r="B793" s="9"/>
      <c r="C793" s="9"/>
      <c r="D793" s="9"/>
      <c r="E793" s="9"/>
      <c r="F793" s="2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2.5" customHeight="1">
      <c r="A794" s="9"/>
      <c r="B794" s="9"/>
      <c r="C794" s="9"/>
      <c r="D794" s="9"/>
      <c r="E794" s="9"/>
      <c r="F794" s="2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2.5" customHeight="1">
      <c r="A795" s="9"/>
      <c r="B795" s="9"/>
      <c r="C795" s="9"/>
      <c r="D795" s="9"/>
      <c r="E795" s="9"/>
      <c r="F795" s="2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2.5" customHeight="1">
      <c r="A796" s="9"/>
      <c r="B796" s="9"/>
      <c r="C796" s="9"/>
      <c r="D796" s="9"/>
      <c r="E796" s="9"/>
      <c r="F796" s="2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2.5" customHeight="1">
      <c r="A797" s="9"/>
      <c r="B797" s="9"/>
      <c r="C797" s="9"/>
      <c r="D797" s="9"/>
      <c r="E797" s="9"/>
      <c r="F797" s="2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2.5" customHeight="1">
      <c r="A798" s="9"/>
      <c r="B798" s="9"/>
      <c r="C798" s="9"/>
      <c r="D798" s="9"/>
      <c r="E798" s="9"/>
      <c r="F798" s="2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2.5" customHeight="1">
      <c r="A799" s="9"/>
      <c r="B799" s="9"/>
      <c r="C799" s="9"/>
      <c r="D799" s="9"/>
      <c r="E799" s="9"/>
      <c r="F799" s="2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2.5" customHeight="1">
      <c r="A800" s="9"/>
      <c r="B800" s="9"/>
      <c r="C800" s="9"/>
      <c r="D800" s="9"/>
      <c r="E800" s="9"/>
      <c r="F800" s="2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2.5" customHeight="1">
      <c r="A801" s="9"/>
      <c r="B801" s="9"/>
      <c r="C801" s="9"/>
      <c r="D801" s="9"/>
      <c r="E801" s="9"/>
      <c r="F801" s="2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2.5" customHeight="1">
      <c r="A802" s="9"/>
      <c r="B802" s="9"/>
      <c r="C802" s="9"/>
      <c r="D802" s="9"/>
      <c r="E802" s="9"/>
      <c r="F802" s="2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2.5" customHeight="1">
      <c r="A803" s="9"/>
      <c r="B803" s="9"/>
      <c r="C803" s="9"/>
      <c r="D803" s="9"/>
      <c r="E803" s="9"/>
      <c r="F803" s="2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2.5" customHeight="1">
      <c r="A804" s="9"/>
      <c r="B804" s="9"/>
      <c r="C804" s="9"/>
      <c r="D804" s="9"/>
      <c r="E804" s="9"/>
      <c r="F804" s="2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2.5" customHeight="1">
      <c r="A805" s="9"/>
      <c r="B805" s="9"/>
      <c r="C805" s="9"/>
      <c r="D805" s="9"/>
      <c r="E805" s="9"/>
      <c r="F805" s="2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2.5" customHeight="1">
      <c r="A806" s="9"/>
      <c r="B806" s="9"/>
      <c r="C806" s="9"/>
      <c r="D806" s="9"/>
      <c r="E806" s="9"/>
      <c r="F806" s="2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2.5" customHeight="1">
      <c r="A807" s="9"/>
      <c r="B807" s="9"/>
      <c r="C807" s="9"/>
      <c r="D807" s="9"/>
      <c r="E807" s="9"/>
      <c r="F807" s="2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2.5" customHeight="1">
      <c r="A808" s="9"/>
      <c r="B808" s="9"/>
      <c r="C808" s="9"/>
      <c r="D808" s="9"/>
      <c r="E808" s="9"/>
      <c r="F808" s="2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2.5" customHeight="1">
      <c r="A809" s="9"/>
      <c r="B809" s="9"/>
      <c r="C809" s="9"/>
      <c r="D809" s="9"/>
      <c r="E809" s="9"/>
      <c r="F809" s="2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2.5" customHeight="1">
      <c r="A810" s="9"/>
      <c r="B810" s="9"/>
      <c r="C810" s="9"/>
      <c r="D810" s="9"/>
      <c r="E810" s="9"/>
      <c r="F810" s="2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2.5" customHeight="1">
      <c r="A811" s="9"/>
      <c r="B811" s="9"/>
      <c r="C811" s="9"/>
      <c r="D811" s="9"/>
      <c r="E811" s="9"/>
      <c r="F811" s="21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2.5" customHeight="1">
      <c r="A812" s="9"/>
      <c r="B812" s="9"/>
      <c r="C812" s="9"/>
      <c r="D812" s="9"/>
      <c r="E812" s="9"/>
      <c r="F812" s="21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2.5" customHeight="1">
      <c r="A813" s="9"/>
      <c r="B813" s="9"/>
      <c r="C813" s="9"/>
      <c r="D813" s="9"/>
      <c r="E813" s="9"/>
      <c r="F813" s="21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2.5" customHeight="1">
      <c r="A814" s="9"/>
      <c r="B814" s="9"/>
      <c r="C814" s="9"/>
      <c r="D814" s="9"/>
      <c r="E814" s="9"/>
      <c r="F814" s="21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2.5" customHeight="1">
      <c r="A815" s="9"/>
      <c r="B815" s="9"/>
      <c r="C815" s="9"/>
      <c r="D815" s="9"/>
      <c r="E815" s="9"/>
      <c r="F815" s="2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2.5" customHeight="1">
      <c r="A816" s="9"/>
      <c r="B816" s="9"/>
      <c r="C816" s="9"/>
      <c r="D816" s="9"/>
      <c r="E816" s="9"/>
      <c r="F816" s="2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2.5" customHeight="1">
      <c r="A817" s="9"/>
      <c r="B817" s="9"/>
      <c r="C817" s="9"/>
      <c r="D817" s="9"/>
      <c r="E817" s="9"/>
      <c r="F817" s="2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2.5" customHeight="1">
      <c r="A818" s="9"/>
      <c r="B818" s="9"/>
      <c r="C818" s="9"/>
      <c r="D818" s="9"/>
      <c r="E818" s="9"/>
      <c r="F818" s="2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2.5" customHeight="1">
      <c r="A819" s="9"/>
      <c r="B819" s="9"/>
      <c r="C819" s="9"/>
      <c r="D819" s="9"/>
      <c r="E819" s="9"/>
      <c r="F819" s="2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2.5" customHeight="1">
      <c r="A820" s="9"/>
      <c r="B820" s="9"/>
      <c r="C820" s="9"/>
      <c r="D820" s="9"/>
      <c r="E820" s="9"/>
      <c r="F820" s="2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2.5" customHeight="1">
      <c r="A821" s="9"/>
      <c r="B821" s="9"/>
      <c r="C821" s="9"/>
      <c r="D821" s="9"/>
      <c r="E821" s="9"/>
      <c r="F821" s="2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2.5" customHeight="1">
      <c r="A822" s="9"/>
      <c r="B822" s="9"/>
      <c r="C822" s="9"/>
      <c r="D822" s="9"/>
      <c r="E822" s="9"/>
      <c r="F822" s="2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2.5" customHeight="1">
      <c r="A823" s="9"/>
      <c r="B823" s="9"/>
      <c r="C823" s="9"/>
      <c r="D823" s="9"/>
      <c r="E823" s="9"/>
      <c r="F823" s="2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2.5" customHeight="1">
      <c r="A824" s="9"/>
      <c r="B824" s="9"/>
      <c r="C824" s="9"/>
      <c r="D824" s="9"/>
      <c r="E824" s="9"/>
      <c r="F824" s="2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2.5" customHeight="1">
      <c r="A825" s="9"/>
      <c r="B825" s="9"/>
      <c r="C825" s="9"/>
      <c r="D825" s="9"/>
      <c r="E825" s="9"/>
      <c r="F825" s="2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2.5" customHeight="1">
      <c r="A826" s="9"/>
      <c r="B826" s="9"/>
      <c r="C826" s="9"/>
      <c r="D826" s="9"/>
      <c r="E826" s="9"/>
      <c r="F826" s="2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2.5" customHeight="1">
      <c r="A827" s="9"/>
      <c r="B827" s="9"/>
      <c r="C827" s="9"/>
      <c r="D827" s="9"/>
      <c r="E827" s="9"/>
      <c r="F827" s="2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2.5" customHeight="1">
      <c r="A828" s="9"/>
      <c r="B828" s="9"/>
      <c r="C828" s="9"/>
      <c r="D828" s="9"/>
      <c r="E828" s="9"/>
      <c r="F828" s="2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2.5" customHeight="1">
      <c r="A829" s="9"/>
      <c r="B829" s="9"/>
      <c r="C829" s="9"/>
      <c r="D829" s="9"/>
      <c r="E829" s="9"/>
      <c r="F829" s="2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2.5" customHeight="1">
      <c r="A830" s="9"/>
      <c r="B830" s="9"/>
      <c r="C830" s="9"/>
      <c r="D830" s="9"/>
      <c r="E830" s="9"/>
      <c r="F830" s="2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2.5" customHeight="1">
      <c r="A831" s="9"/>
      <c r="B831" s="9"/>
      <c r="C831" s="9"/>
      <c r="D831" s="9"/>
      <c r="E831" s="9"/>
      <c r="F831" s="2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2.5" customHeight="1">
      <c r="A832" s="9"/>
      <c r="B832" s="9"/>
      <c r="C832" s="9"/>
      <c r="D832" s="9"/>
      <c r="E832" s="9"/>
      <c r="F832" s="2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2.5" customHeight="1">
      <c r="A833" s="9"/>
      <c r="B833" s="9"/>
      <c r="C833" s="9"/>
      <c r="D833" s="9"/>
      <c r="E833" s="9"/>
      <c r="F833" s="2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2.5" customHeight="1">
      <c r="A834" s="9"/>
      <c r="B834" s="9"/>
      <c r="C834" s="9"/>
      <c r="D834" s="9"/>
      <c r="E834" s="9"/>
      <c r="F834" s="2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2.5" customHeight="1">
      <c r="A835" s="9"/>
      <c r="B835" s="9"/>
      <c r="C835" s="9"/>
      <c r="D835" s="9"/>
      <c r="E835" s="9"/>
      <c r="F835" s="2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2.5" customHeight="1">
      <c r="A836" s="9"/>
      <c r="B836" s="9"/>
      <c r="C836" s="9"/>
      <c r="D836" s="9"/>
      <c r="E836" s="9"/>
      <c r="F836" s="2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2.5" customHeight="1">
      <c r="A837" s="9"/>
      <c r="B837" s="9"/>
      <c r="C837" s="9"/>
      <c r="D837" s="9"/>
      <c r="E837" s="9"/>
      <c r="F837" s="2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2.5" customHeight="1">
      <c r="A838" s="9"/>
      <c r="B838" s="9"/>
      <c r="C838" s="9"/>
      <c r="D838" s="9"/>
      <c r="E838" s="9"/>
      <c r="F838" s="2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2.5" customHeight="1">
      <c r="A839" s="9"/>
      <c r="B839" s="9"/>
      <c r="C839" s="9"/>
      <c r="D839" s="9"/>
      <c r="E839" s="9"/>
      <c r="F839" s="2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2.5" customHeight="1">
      <c r="A840" s="9"/>
      <c r="B840" s="9"/>
      <c r="C840" s="9"/>
      <c r="D840" s="9"/>
      <c r="E840" s="9"/>
      <c r="F840" s="2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2.5" customHeight="1">
      <c r="A841" s="9"/>
      <c r="B841" s="9"/>
      <c r="C841" s="9"/>
      <c r="D841" s="9"/>
      <c r="E841" s="9"/>
      <c r="F841" s="2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2.5" customHeight="1">
      <c r="A842" s="9"/>
      <c r="B842" s="9"/>
      <c r="C842" s="9"/>
      <c r="D842" s="9"/>
      <c r="E842" s="9"/>
      <c r="F842" s="2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2.5" customHeight="1">
      <c r="A843" s="9"/>
      <c r="B843" s="9"/>
      <c r="C843" s="9"/>
      <c r="D843" s="9"/>
      <c r="E843" s="9"/>
      <c r="F843" s="2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2.5" customHeight="1">
      <c r="A844" s="9"/>
      <c r="B844" s="9"/>
      <c r="C844" s="9"/>
      <c r="D844" s="9"/>
      <c r="E844" s="9"/>
      <c r="F844" s="2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2.5" customHeight="1">
      <c r="A845" s="9"/>
      <c r="B845" s="9"/>
      <c r="C845" s="9"/>
      <c r="D845" s="9"/>
      <c r="E845" s="9"/>
      <c r="F845" s="2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2.5" customHeight="1">
      <c r="A846" s="9"/>
      <c r="B846" s="9"/>
      <c r="C846" s="9"/>
      <c r="D846" s="9"/>
      <c r="E846" s="9"/>
      <c r="F846" s="2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2.5" customHeight="1">
      <c r="A847" s="9"/>
      <c r="B847" s="9"/>
      <c r="C847" s="9"/>
      <c r="D847" s="9"/>
      <c r="E847" s="9"/>
      <c r="F847" s="2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2.5" customHeight="1">
      <c r="A848" s="9"/>
      <c r="B848" s="9"/>
      <c r="C848" s="9"/>
      <c r="D848" s="9"/>
      <c r="E848" s="9"/>
      <c r="F848" s="2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2.5" customHeight="1">
      <c r="A849" s="9"/>
      <c r="B849" s="9"/>
      <c r="C849" s="9"/>
      <c r="D849" s="9"/>
      <c r="E849" s="9"/>
      <c r="F849" s="2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2.5" customHeight="1">
      <c r="A850" s="9"/>
      <c r="B850" s="9"/>
      <c r="C850" s="9"/>
      <c r="D850" s="9"/>
      <c r="E850" s="9"/>
      <c r="F850" s="2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2.5" customHeight="1">
      <c r="A851" s="9"/>
      <c r="B851" s="9"/>
      <c r="C851" s="9"/>
      <c r="D851" s="9"/>
      <c r="E851" s="9"/>
      <c r="F851" s="2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2.5" customHeight="1">
      <c r="A852" s="9"/>
      <c r="B852" s="9"/>
      <c r="C852" s="9"/>
      <c r="D852" s="9"/>
      <c r="E852" s="9"/>
      <c r="F852" s="2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2.5" customHeight="1">
      <c r="A853" s="9"/>
      <c r="B853" s="9"/>
      <c r="C853" s="9"/>
      <c r="D853" s="9"/>
      <c r="E853" s="9"/>
      <c r="F853" s="2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2.5" customHeight="1">
      <c r="A854" s="9"/>
      <c r="B854" s="9"/>
      <c r="C854" s="9"/>
      <c r="D854" s="9"/>
      <c r="E854" s="9"/>
      <c r="F854" s="2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2.5" customHeight="1">
      <c r="A855" s="9"/>
      <c r="B855" s="9"/>
      <c r="C855" s="9"/>
      <c r="D855" s="9"/>
      <c r="E855" s="9"/>
      <c r="F855" s="2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2.5" customHeight="1">
      <c r="A856" s="9"/>
      <c r="B856" s="9"/>
      <c r="C856" s="9"/>
      <c r="D856" s="9"/>
      <c r="E856" s="9"/>
      <c r="F856" s="2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2.5" customHeight="1">
      <c r="A857" s="9"/>
      <c r="B857" s="9"/>
      <c r="C857" s="9"/>
      <c r="D857" s="9"/>
      <c r="E857" s="9"/>
      <c r="F857" s="2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2.5" customHeight="1">
      <c r="A858" s="9"/>
      <c r="B858" s="9"/>
      <c r="C858" s="9"/>
      <c r="D858" s="9"/>
      <c r="E858" s="9"/>
      <c r="F858" s="2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2.5" customHeight="1">
      <c r="A859" s="9"/>
      <c r="B859" s="9"/>
      <c r="C859" s="9"/>
      <c r="D859" s="9"/>
      <c r="E859" s="9"/>
      <c r="F859" s="2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2.5" customHeight="1">
      <c r="A860" s="9"/>
      <c r="B860" s="9"/>
      <c r="C860" s="9"/>
      <c r="D860" s="9"/>
      <c r="E860" s="9"/>
      <c r="F860" s="2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2.5" customHeight="1">
      <c r="A861" s="9"/>
      <c r="B861" s="9"/>
      <c r="C861" s="9"/>
      <c r="D861" s="9"/>
      <c r="E861" s="9"/>
      <c r="F861" s="2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2.5" customHeight="1">
      <c r="A862" s="9"/>
      <c r="B862" s="9"/>
      <c r="C862" s="9"/>
      <c r="D862" s="9"/>
      <c r="E862" s="9"/>
      <c r="F862" s="2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2.5" customHeight="1">
      <c r="A863" s="9"/>
      <c r="B863" s="9"/>
      <c r="C863" s="9"/>
      <c r="D863" s="9"/>
      <c r="E863" s="9"/>
      <c r="F863" s="2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2.5" customHeight="1">
      <c r="A864" s="9"/>
      <c r="B864" s="9"/>
      <c r="C864" s="9"/>
      <c r="D864" s="9"/>
      <c r="E864" s="9"/>
      <c r="F864" s="2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2.5" customHeight="1">
      <c r="A865" s="9"/>
      <c r="B865" s="9"/>
      <c r="C865" s="9"/>
      <c r="D865" s="9"/>
      <c r="E865" s="9"/>
      <c r="F865" s="2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2.5" customHeight="1">
      <c r="A866" s="9"/>
      <c r="B866" s="9"/>
      <c r="C866" s="9"/>
      <c r="D866" s="9"/>
      <c r="E866" s="9"/>
      <c r="F866" s="2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2.5" customHeight="1">
      <c r="A867" s="9"/>
      <c r="B867" s="9"/>
      <c r="C867" s="9"/>
      <c r="D867" s="9"/>
      <c r="E867" s="9"/>
      <c r="F867" s="2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2.5" customHeight="1">
      <c r="A868" s="9"/>
      <c r="B868" s="9"/>
      <c r="C868" s="9"/>
      <c r="D868" s="9"/>
      <c r="E868" s="9"/>
      <c r="F868" s="2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2.5" customHeight="1">
      <c r="A869" s="9"/>
      <c r="B869" s="9"/>
      <c r="C869" s="9"/>
      <c r="D869" s="9"/>
      <c r="E869" s="9"/>
      <c r="F869" s="2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2.5" customHeight="1">
      <c r="A870" s="9"/>
      <c r="B870" s="9"/>
      <c r="C870" s="9"/>
      <c r="D870" s="9"/>
      <c r="E870" s="9"/>
      <c r="F870" s="2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2.5" customHeight="1">
      <c r="A871" s="9"/>
      <c r="B871" s="9"/>
      <c r="C871" s="9"/>
      <c r="D871" s="9"/>
      <c r="E871" s="9"/>
      <c r="F871" s="2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2.5" customHeight="1">
      <c r="A872" s="9"/>
      <c r="B872" s="9"/>
      <c r="C872" s="9"/>
      <c r="D872" s="9"/>
      <c r="E872" s="9"/>
      <c r="F872" s="2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2.5" customHeight="1">
      <c r="A873" s="9"/>
      <c r="B873" s="9"/>
      <c r="C873" s="9"/>
      <c r="D873" s="9"/>
      <c r="E873" s="9"/>
      <c r="F873" s="2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2.5" customHeight="1">
      <c r="A874" s="9"/>
      <c r="B874" s="9"/>
      <c r="C874" s="9"/>
      <c r="D874" s="9"/>
      <c r="E874" s="9"/>
      <c r="F874" s="2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2.5" customHeight="1">
      <c r="A875" s="9"/>
      <c r="B875" s="9"/>
      <c r="C875" s="9"/>
      <c r="D875" s="9"/>
      <c r="E875" s="9"/>
      <c r="F875" s="2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2.5" customHeight="1">
      <c r="A876" s="9"/>
      <c r="B876" s="9"/>
      <c r="C876" s="9"/>
      <c r="D876" s="9"/>
      <c r="E876" s="9"/>
      <c r="F876" s="2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2.5" customHeight="1">
      <c r="A877" s="9"/>
      <c r="B877" s="9"/>
      <c r="C877" s="9"/>
      <c r="D877" s="9"/>
      <c r="E877" s="9"/>
      <c r="F877" s="2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2.5" customHeight="1">
      <c r="A878" s="9"/>
      <c r="B878" s="9"/>
      <c r="C878" s="9"/>
      <c r="D878" s="9"/>
      <c r="E878" s="9"/>
      <c r="F878" s="2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2.5" customHeight="1">
      <c r="A879" s="9"/>
      <c r="B879" s="9"/>
      <c r="C879" s="9"/>
      <c r="D879" s="9"/>
      <c r="E879" s="9"/>
      <c r="F879" s="2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2.5" customHeight="1">
      <c r="A880" s="9"/>
      <c r="B880" s="9"/>
      <c r="C880" s="9"/>
      <c r="D880" s="9"/>
      <c r="E880" s="9"/>
      <c r="F880" s="2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2.5" customHeight="1">
      <c r="A881" s="9"/>
      <c r="B881" s="9"/>
      <c r="C881" s="9"/>
      <c r="D881" s="9"/>
      <c r="E881" s="9"/>
      <c r="F881" s="2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2.5" customHeight="1">
      <c r="A882" s="9"/>
      <c r="B882" s="9"/>
      <c r="C882" s="9"/>
      <c r="D882" s="9"/>
      <c r="E882" s="9"/>
      <c r="F882" s="2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2.5" customHeight="1">
      <c r="A883" s="9"/>
      <c r="B883" s="9"/>
      <c r="C883" s="9"/>
      <c r="D883" s="9"/>
      <c r="E883" s="9"/>
      <c r="F883" s="2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2.5" customHeight="1">
      <c r="A884" s="9"/>
      <c r="B884" s="9"/>
      <c r="C884" s="9"/>
      <c r="D884" s="9"/>
      <c r="E884" s="9"/>
      <c r="F884" s="2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2.5" customHeight="1">
      <c r="A885" s="9"/>
      <c r="B885" s="9"/>
      <c r="C885" s="9"/>
      <c r="D885" s="9"/>
      <c r="E885" s="9"/>
      <c r="F885" s="2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2.5" customHeight="1">
      <c r="A886" s="9"/>
      <c r="B886" s="9"/>
      <c r="C886" s="9"/>
      <c r="D886" s="9"/>
      <c r="E886" s="9"/>
      <c r="F886" s="2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2.5" customHeight="1">
      <c r="A887" s="9"/>
      <c r="B887" s="9"/>
      <c r="C887" s="9"/>
      <c r="D887" s="9"/>
      <c r="E887" s="9"/>
      <c r="F887" s="2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2.5" customHeight="1">
      <c r="A888" s="9"/>
      <c r="B888" s="9"/>
      <c r="C888" s="9"/>
      <c r="D888" s="9"/>
      <c r="E888" s="9"/>
      <c r="F888" s="2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2.5" customHeight="1">
      <c r="A889" s="9"/>
      <c r="B889" s="9"/>
      <c r="C889" s="9"/>
      <c r="D889" s="9"/>
      <c r="E889" s="9"/>
      <c r="F889" s="2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2.5" customHeight="1">
      <c r="A890" s="9"/>
      <c r="B890" s="9"/>
      <c r="C890" s="9"/>
      <c r="D890" s="9"/>
      <c r="E890" s="9"/>
      <c r="F890" s="2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2.5" customHeight="1">
      <c r="A891" s="9"/>
      <c r="B891" s="9"/>
      <c r="C891" s="9"/>
      <c r="D891" s="9"/>
      <c r="E891" s="9"/>
      <c r="F891" s="2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2.5" customHeight="1">
      <c r="A892" s="9"/>
      <c r="B892" s="9"/>
      <c r="C892" s="9"/>
      <c r="D892" s="9"/>
      <c r="E892" s="9"/>
      <c r="F892" s="2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2.5" customHeight="1">
      <c r="A893" s="9"/>
      <c r="B893" s="9"/>
      <c r="C893" s="9"/>
      <c r="D893" s="9"/>
      <c r="E893" s="9"/>
      <c r="F893" s="2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2.5" customHeight="1">
      <c r="A894" s="9"/>
      <c r="B894" s="9"/>
      <c r="C894" s="9"/>
      <c r="D894" s="9"/>
      <c r="E894" s="9"/>
      <c r="F894" s="2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2.5" customHeight="1">
      <c r="A895" s="9"/>
      <c r="B895" s="9"/>
      <c r="C895" s="9"/>
      <c r="D895" s="9"/>
      <c r="E895" s="9"/>
      <c r="F895" s="2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2.5" customHeight="1">
      <c r="A896" s="9"/>
      <c r="B896" s="9"/>
      <c r="C896" s="9"/>
      <c r="D896" s="9"/>
      <c r="E896" s="9"/>
      <c r="F896" s="2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2.5" customHeight="1">
      <c r="A897" s="9"/>
      <c r="B897" s="9"/>
      <c r="C897" s="9"/>
      <c r="D897" s="9"/>
      <c r="E897" s="9"/>
      <c r="F897" s="2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2.5" customHeight="1">
      <c r="A898" s="9"/>
      <c r="B898" s="9"/>
      <c r="C898" s="9"/>
      <c r="D898" s="9"/>
      <c r="E898" s="9"/>
      <c r="F898" s="2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2.5" customHeight="1">
      <c r="A899" s="9"/>
      <c r="B899" s="9"/>
      <c r="C899" s="9"/>
      <c r="D899" s="9"/>
      <c r="E899" s="9"/>
      <c r="F899" s="2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2.5" customHeight="1">
      <c r="A900" s="9"/>
      <c r="B900" s="9"/>
      <c r="C900" s="9"/>
      <c r="D900" s="9"/>
      <c r="E900" s="9"/>
      <c r="F900" s="2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2.5" customHeight="1">
      <c r="A901" s="9"/>
      <c r="B901" s="9"/>
      <c r="C901" s="9"/>
      <c r="D901" s="9"/>
      <c r="E901" s="9"/>
      <c r="F901" s="2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2.5" customHeight="1">
      <c r="A902" s="9"/>
      <c r="B902" s="9"/>
      <c r="C902" s="9"/>
      <c r="D902" s="9"/>
      <c r="E902" s="9"/>
      <c r="F902" s="2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2.5" customHeight="1">
      <c r="A903" s="9"/>
      <c r="B903" s="9"/>
      <c r="C903" s="9"/>
      <c r="D903" s="9"/>
      <c r="E903" s="9"/>
      <c r="F903" s="2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2.5" customHeight="1">
      <c r="A904" s="9"/>
      <c r="B904" s="9"/>
      <c r="C904" s="9"/>
      <c r="D904" s="9"/>
      <c r="E904" s="9"/>
      <c r="F904" s="2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2.5" customHeight="1">
      <c r="A905" s="9"/>
      <c r="B905" s="9"/>
      <c r="C905" s="9"/>
      <c r="D905" s="9"/>
      <c r="E905" s="9"/>
      <c r="F905" s="2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2.5" customHeight="1">
      <c r="A906" s="9"/>
      <c r="B906" s="9"/>
      <c r="C906" s="9"/>
      <c r="D906" s="9"/>
      <c r="E906" s="9"/>
      <c r="F906" s="2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2.5" customHeight="1">
      <c r="A907" s="9"/>
      <c r="B907" s="9"/>
      <c r="C907" s="9"/>
      <c r="D907" s="9"/>
      <c r="E907" s="9"/>
      <c r="F907" s="2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2.5" customHeight="1">
      <c r="A908" s="9"/>
      <c r="B908" s="9"/>
      <c r="C908" s="9"/>
      <c r="D908" s="9"/>
      <c r="E908" s="9"/>
      <c r="F908" s="2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2.5" customHeight="1">
      <c r="A909" s="9"/>
      <c r="B909" s="9"/>
      <c r="C909" s="9"/>
      <c r="D909" s="9"/>
      <c r="E909" s="9"/>
      <c r="F909" s="2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2.5" customHeight="1">
      <c r="A910" s="9"/>
      <c r="B910" s="9"/>
      <c r="C910" s="9"/>
      <c r="D910" s="9"/>
      <c r="E910" s="9"/>
      <c r="F910" s="2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2.5" customHeight="1">
      <c r="A911" s="9"/>
      <c r="B911" s="9"/>
      <c r="C911" s="9"/>
      <c r="D911" s="9"/>
      <c r="E911" s="9"/>
      <c r="F911" s="2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2.5" customHeight="1">
      <c r="A912" s="9"/>
      <c r="B912" s="9"/>
      <c r="C912" s="9"/>
      <c r="D912" s="9"/>
      <c r="E912" s="9"/>
      <c r="F912" s="2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2.5" customHeight="1">
      <c r="A913" s="9"/>
      <c r="B913" s="9"/>
      <c r="C913" s="9"/>
      <c r="D913" s="9"/>
      <c r="E913" s="9"/>
      <c r="F913" s="2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2.5" customHeight="1">
      <c r="A914" s="9"/>
      <c r="B914" s="9"/>
      <c r="C914" s="9"/>
      <c r="D914" s="9"/>
      <c r="E914" s="9"/>
      <c r="F914" s="2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2.5" customHeight="1">
      <c r="A915" s="9"/>
      <c r="B915" s="9"/>
      <c r="C915" s="9"/>
      <c r="D915" s="9"/>
      <c r="E915" s="9"/>
      <c r="F915" s="2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2.5" customHeight="1">
      <c r="A916" s="9"/>
      <c r="B916" s="9"/>
      <c r="C916" s="9"/>
      <c r="D916" s="9"/>
      <c r="E916" s="9"/>
      <c r="F916" s="2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2.5" customHeight="1">
      <c r="A917" s="9"/>
      <c r="B917" s="9"/>
      <c r="C917" s="9"/>
      <c r="D917" s="9"/>
      <c r="E917" s="9"/>
      <c r="F917" s="2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2.5" customHeight="1">
      <c r="A918" s="9"/>
      <c r="B918" s="9"/>
      <c r="C918" s="9"/>
      <c r="D918" s="9"/>
      <c r="E918" s="9"/>
      <c r="F918" s="2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2.5" customHeight="1">
      <c r="A919" s="9"/>
      <c r="B919" s="9"/>
      <c r="C919" s="9"/>
      <c r="D919" s="9"/>
      <c r="E919" s="9"/>
      <c r="F919" s="2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2.5" customHeight="1">
      <c r="A920" s="9"/>
      <c r="B920" s="9"/>
      <c r="C920" s="9"/>
      <c r="D920" s="9"/>
      <c r="E920" s="9"/>
      <c r="F920" s="2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2.5" customHeight="1">
      <c r="A921" s="9"/>
      <c r="B921" s="9"/>
      <c r="C921" s="9"/>
      <c r="D921" s="9"/>
      <c r="E921" s="9"/>
      <c r="F921" s="2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2.5" customHeight="1">
      <c r="A922" s="9"/>
      <c r="B922" s="9"/>
      <c r="C922" s="9"/>
      <c r="D922" s="9"/>
      <c r="E922" s="9"/>
      <c r="F922" s="2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2.5" customHeight="1">
      <c r="A923" s="9"/>
      <c r="B923" s="9"/>
      <c r="C923" s="9"/>
      <c r="D923" s="9"/>
      <c r="E923" s="9"/>
      <c r="F923" s="2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2.5" customHeight="1">
      <c r="A924" s="9"/>
      <c r="B924" s="9"/>
      <c r="C924" s="9"/>
      <c r="D924" s="9"/>
      <c r="E924" s="9"/>
      <c r="F924" s="2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2.5" customHeight="1">
      <c r="A925" s="9"/>
      <c r="B925" s="9"/>
      <c r="C925" s="9"/>
      <c r="D925" s="9"/>
      <c r="E925" s="9"/>
      <c r="F925" s="2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2.5" customHeight="1">
      <c r="A926" s="9"/>
      <c r="B926" s="9"/>
      <c r="C926" s="9"/>
      <c r="D926" s="9"/>
      <c r="E926" s="9"/>
      <c r="F926" s="2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2.5" customHeight="1">
      <c r="A927" s="9"/>
      <c r="B927" s="9"/>
      <c r="C927" s="9"/>
      <c r="D927" s="9"/>
      <c r="E927" s="9"/>
      <c r="F927" s="2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2.5" customHeight="1">
      <c r="A928" s="9"/>
      <c r="B928" s="9"/>
      <c r="C928" s="9"/>
      <c r="D928" s="9"/>
      <c r="E928" s="9"/>
      <c r="F928" s="2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2.5" customHeight="1">
      <c r="A929" s="9"/>
      <c r="B929" s="9"/>
      <c r="C929" s="9"/>
      <c r="D929" s="9"/>
      <c r="E929" s="9"/>
      <c r="F929" s="2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2.5" customHeight="1">
      <c r="A930" s="9"/>
      <c r="B930" s="9"/>
      <c r="C930" s="9"/>
      <c r="D930" s="9"/>
      <c r="E930" s="9"/>
      <c r="F930" s="2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2.5" customHeight="1">
      <c r="A931" s="9"/>
      <c r="B931" s="9"/>
      <c r="C931" s="9"/>
      <c r="D931" s="9"/>
      <c r="E931" s="9"/>
      <c r="F931" s="2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2.5" customHeight="1">
      <c r="A932" s="9"/>
      <c r="B932" s="9"/>
      <c r="C932" s="9"/>
      <c r="D932" s="9"/>
      <c r="E932" s="9"/>
      <c r="F932" s="2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2.5" customHeight="1">
      <c r="A933" s="9"/>
      <c r="B933" s="9"/>
      <c r="C933" s="9"/>
      <c r="D933" s="9"/>
      <c r="E933" s="9"/>
      <c r="F933" s="2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2.5" customHeight="1">
      <c r="A934" s="9"/>
      <c r="B934" s="9"/>
      <c r="C934" s="9"/>
      <c r="D934" s="9"/>
      <c r="E934" s="9"/>
      <c r="F934" s="2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2.5" customHeight="1">
      <c r="A935" s="9"/>
      <c r="B935" s="9"/>
      <c r="C935" s="9"/>
      <c r="D935" s="9"/>
      <c r="E935" s="9"/>
      <c r="F935" s="2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2.5" customHeight="1">
      <c r="A936" s="9"/>
      <c r="B936" s="9"/>
      <c r="C936" s="9"/>
      <c r="D936" s="9"/>
      <c r="E936" s="9"/>
      <c r="F936" s="2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2.5" customHeight="1">
      <c r="A937" s="9"/>
      <c r="B937" s="9"/>
      <c r="C937" s="9"/>
      <c r="D937" s="9"/>
      <c r="E937" s="9"/>
      <c r="F937" s="2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2.5" customHeight="1">
      <c r="A938" s="9"/>
      <c r="B938" s="9"/>
      <c r="C938" s="9"/>
      <c r="D938" s="9"/>
      <c r="E938" s="9"/>
      <c r="F938" s="2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2.5" customHeight="1">
      <c r="A939" s="9"/>
      <c r="B939" s="9"/>
      <c r="C939" s="9"/>
      <c r="D939" s="9"/>
      <c r="E939" s="9"/>
      <c r="F939" s="2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2.5" customHeight="1">
      <c r="A940" s="9"/>
      <c r="B940" s="9"/>
      <c r="C940" s="9"/>
      <c r="D940" s="9"/>
      <c r="E940" s="9"/>
      <c r="F940" s="2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2.5" customHeight="1">
      <c r="A941" s="9"/>
      <c r="B941" s="9"/>
      <c r="C941" s="9"/>
      <c r="D941" s="9"/>
      <c r="E941" s="9"/>
      <c r="F941" s="2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2.5" customHeight="1">
      <c r="A942" s="9"/>
      <c r="B942" s="9"/>
      <c r="C942" s="9"/>
      <c r="D942" s="9"/>
      <c r="E942" s="9"/>
      <c r="F942" s="2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2.5" customHeight="1">
      <c r="A943" s="9"/>
      <c r="B943" s="9"/>
      <c r="C943" s="9"/>
      <c r="D943" s="9"/>
      <c r="E943" s="9"/>
      <c r="F943" s="2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2.5" customHeight="1">
      <c r="A944" s="9"/>
      <c r="B944" s="9"/>
      <c r="C944" s="9"/>
      <c r="D944" s="9"/>
      <c r="E944" s="9"/>
      <c r="F944" s="2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2.5" customHeight="1">
      <c r="A945" s="9"/>
      <c r="B945" s="9"/>
      <c r="C945" s="9"/>
      <c r="D945" s="9"/>
      <c r="E945" s="9"/>
      <c r="F945" s="2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2.5" customHeight="1">
      <c r="A946" s="9"/>
      <c r="B946" s="9"/>
      <c r="C946" s="9"/>
      <c r="D946" s="9"/>
      <c r="E946" s="9"/>
      <c r="F946" s="2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2.5" customHeight="1">
      <c r="A947" s="9"/>
      <c r="B947" s="9"/>
      <c r="C947" s="9"/>
      <c r="D947" s="9"/>
      <c r="E947" s="9"/>
      <c r="F947" s="2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2.5" customHeight="1">
      <c r="A948" s="9"/>
      <c r="B948" s="9"/>
      <c r="C948" s="9"/>
      <c r="D948" s="9"/>
      <c r="E948" s="9"/>
      <c r="F948" s="2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2.5" customHeight="1">
      <c r="A949" s="9"/>
      <c r="B949" s="9"/>
      <c r="C949" s="9"/>
      <c r="D949" s="9"/>
      <c r="E949" s="9"/>
      <c r="F949" s="2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2.5" customHeight="1">
      <c r="A950" s="9"/>
      <c r="B950" s="9"/>
      <c r="C950" s="9"/>
      <c r="D950" s="9"/>
      <c r="E950" s="9"/>
      <c r="F950" s="2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2.5" customHeight="1">
      <c r="A951" s="9"/>
      <c r="B951" s="9"/>
      <c r="C951" s="9"/>
      <c r="D951" s="9"/>
      <c r="E951" s="9"/>
      <c r="F951" s="2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2.5" customHeight="1">
      <c r="A952" s="9"/>
      <c r="B952" s="9"/>
      <c r="C952" s="9"/>
      <c r="D952" s="9"/>
      <c r="E952" s="9"/>
      <c r="F952" s="2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2.5" customHeight="1">
      <c r="A953" s="9"/>
      <c r="B953" s="9"/>
      <c r="C953" s="9"/>
      <c r="D953" s="9"/>
      <c r="E953" s="9"/>
      <c r="F953" s="2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2.5" customHeight="1">
      <c r="A954" s="9"/>
      <c r="B954" s="9"/>
      <c r="C954" s="9"/>
      <c r="D954" s="9"/>
      <c r="E954" s="9"/>
      <c r="F954" s="2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2.5" customHeight="1">
      <c r="A955" s="9"/>
      <c r="B955" s="9"/>
      <c r="C955" s="9"/>
      <c r="D955" s="9"/>
      <c r="E955" s="9"/>
      <c r="F955" s="2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2.5" customHeight="1">
      <c r="A956" s="9"/>
      <c r="B956" s="9"/>
      <c r="C956" s="9"/>
      <c r="D956" s="9"/>
      <c r="E956" s="9"/>
      <c r="F956" s="2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2.5" customHeight="1">
      <c r="A957" s="9"/>
      <c r="B957" s="9"/>
      <c r="C957" s="9"/>
      <c r="D957" s="9"/>
      <c r="E957" s="9"/>
      <c r="F957" s="2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2.5" customHeight="1">
      <c r="A958" s="9"/>
      <c r="B958" s="9"/>
      <c r="C958" s="9"/>
      <c r="D958" s="9"/>
      <c r="E958" s="9"/>
      <c r="F958" s="2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2.5" customHeight="1">
      <c r="A959" s="9"/>
      <c r="B959" s="9"/>
      <c r="C959" s="9"/>
      <c r="D959" s="9"/>
      <c r="E959" s="9"/>
      <c r="F959" s="2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2.5" customHeight="1">
      <c r="A960" s="9"/>
      <c r="B960" s="9"/>
      <c r="C960" s="9"/>
      <c r="D960" s="9"/>
      <c r="E960" s="9"/>
      <c r="F960" s="2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2.5" customHeight="1">
      <c r="A961" s="9"/>
      <c r="B961" s="9"/>
      <c r="C961" s="9"/>
      <c r="D961" s="9"/>
      <c r="E961" s="9"/>
      <c r="F961" s="2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2.5" customHeight="1">
      <c r="A962" s="9"/>
      <c r="B962" s="9"/>
      <c r="C962" s="9"/>
      <c r="D962" s="9"/>
      <c r="E962" s="9"/>
      <c r="F962" s="2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2.5" customHeight="1">
      <c r="A963" s="9"/>
      <c r="B963" s="9"/>
      <c r="C963" s="9"/>
      <c r="D963" s="9"/>
      <c r="E963" s="9"/>
      <c r="F963" s="2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2.5" customHeight="1">
      <c r="A964" s="9"/>
      <c r="B964" s="9"/>
      <c r="C964" s="9"/>
      <c r="D964" s="9"/>
      <c r="E964" s="9"/>
      <c r="F964" s="2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2.5" customHeight="1">
      <c r="A965" s="9"/>
      <c r="B965" s="9"/>
      <c r="C965" s="9"/>
      <c r="D965" s="9"/>
      <c r="E965" s="9"/>
      <c r="F965" s="2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2.5" customHeight="1">
      <c r="A966" s="9"/>
      <c r="B966" s="9"/>
      <c r="C966" s="9"/>
      <c r="D966" s="9"/>
      <c r="E966" s="9"/>
      <c r="F966" s="2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2.5" customHeight="1">
      <c r="A967" s="9"/>
      <c r="B967" s="9"/>
      <c r="C967" s="9"/>
      <c r="D967" s="9"/>
      <c r="E967" s="9"/>
      <c r="F967" s="2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2.5" customHeight="1">
      <c r="A968" s="9"/>
      <c r="B968" s="9"/>
      <c r="C968" s="9"/>
      <c r="D968" s="9"/>
      <c r="E968" s="9"/>
      <c r="F968" s="2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2.5" customHeight="1">
      <c r="A969" s="9"/>
      <c r="B969" s="9"/>
      <c r="C969" s="9"/>
      <c r="D969" s="9"/>
      <c r="E969" s="9"/>
      <c r="F969" s="2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2.5" customHeight="1">
      <c r="A970" s="9"/>
      <c r="B970" s="9"/>
      <c r="C970" s="9"/>
      <c r="D970" s="9"/>
      <c r="E970" s="9"/>
      <c r="F970" s="2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2.5" customHeight="1">
      <c r="A971" s="9"/>
      <c r="B971" s="9"/>
      <c r="C971" s="9"/>
      <c r="D971" s="9"/>
      <c r="E971" s="9"/>
      <c r="F971" s="2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2.5" customHeight="1">
      <c r="A972" s="9"/>
      <c r="B972" s="9"/>
      <c r="C972" s="9"/>
      <c r="D972" s="9"/>
      <c r="E972" s="9"/>
      <c r="F972" s="2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2.5" customHeight="1">
      <c r="A973" s="9"/>
      <c r="B973" s="9"/>
      <c r="C973" s="9"/>
      <c r="D973" s="9"/>
      <c r="E973" s="9"/>
      <c r="F973" s="2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2.5" customHeight="1">
      <c r="A974" s="9"/>
      <c r="B974" s="9"/>
      <c r="C974" s="9"/>
      <c r="D974" s="9"/>
      <c r="E974" s="9"/>
      <c r="F974" s="2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2.5" customHeight="1">
      <c r="A975" s="9"/>
      <c r="B975" s="9"/>
      <c r="C975" s="9"/>
      <c r="D975" s="9"/>
      <c r="E975" s="9"/>
      <c r="F975" s="2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2.5" customHeight="1">
      <c r="A976" s="9"/>
      <c r="B976" s="9"/>
      <c r="C976" s="9"/>
      <c r="D976" s="9"/>
      <c r="E976" s="9"/>
      <c r="F976" s="2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2.5" customHeight="1">
      <c r="A977" s="9"/>
      <c r="B977" s="9"/>
      <c r="C977" s="9"/>
      <c r="D977" s="9"/>
      <c r="E977" s="9"/>
      <c r="F977" s="2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2.5" customHeight="1">
      <c r="A978" s="9"/>
      <c r="B978" s="9"/>
      <c r="C978" s="9"/>
      <c r="D978" s="9"/>
      <c r="E978" s="9"/>
      <c r="F978" s="2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2.5" customHeight="1">
      <c r="A979" s="9"/>
      <c r="B979" s="9"/>
      <c r="C979" s="9"/>
      <c r="D979" s="9"/>
      <c r="E979" s="9"/>
      <c r="F979" s="2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2.5" customHeight="1">
      <c r="A980" s="9"/>
      <c r="B980" s="9"/>
      <c r="C980" s="9"/>
      <c r="D980" s="9"/>
      <c r="E980" s="9"/>
      <c r="F980" s="2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2.5" customHeight="1">
      <c r="A981" s="9"/>
      <c r="B981" s="9"/>
      <c r="C981" s="9"/>
      <c r="D981" s="9"/>
      <c r="E981" s="9"/>
      <c r="F981" s="2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2.5" customHeight="1">
      <c r="A982" s="9"/>
      <c r="B982" s="9"/>
      <c r="C982" s="9"/>
      <c r="D982" s="9"/>
      <c r="E982" s="9"/>
      <c r="F982" s="2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2.5" customHeight="1">
      <c r="A983" s="9"/>
      <c r="B983" s="9"/>
      <c r="C983" s="9"/>
      <c r="D983" s="9"/>
      <c r="E983" s="9"/>
      <c r="F983" s="2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2.5" customHeight="1">
      <c r="A984" s="9"/>
      <c r="B984" s="9"/>
      <c r="C984" s="9"/>
      <c r="D984" s="9"/>
      <c r="E984" s="9"/>
      <c r="F984" s="2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2.5" customHeight="1">
      <c r="A985" s="9"/>
      <c r="B985" s="9"/>
      <c r="C985" s="9"/>
      <c r="D985" s="9"/>
      <c r="E985" s="9"/>
      <c r="F985" s="2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2.5" customHeight="1">
      <c r="A986" s="9"/>
      <c r="B986" s="9"/>
      <c r="C986" s="9"/>
      <c r="D986" s="9"/>
      <c r="E986" s="9"/>
      <c r="F986" s="2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2.5" customHeight="1">
      <c r="A987" s="9"/>
      <c r="B987" s="9"/>
      <c r="C987" s="9"/>
      <c r="D987" s="9"/>
      <c r="E987" s="9"/>
      <c r="F987" s="2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2.5" customHeight="1">
      <c r="A988" s="9"/>
      <c r="B988" s="9"/>
      <c r="C988" s="9"/>
      <c r="D988" s="9"/>
      <c r="E988" s="9"/>
      <c r="F988" s="2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2.5" customHeight="1">
      <c r="A989" s="9"/>
      <c r="B989" s="9"/>
      <c r="C989" s="9"/>
      <c r="D989" s="9"/>
      <c r="E989" s="9"/>
      <c r="F989" s="2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2.5" customHeight="1">
      <c r="A990" s="9"/>
      <c r="B990" s="9"/>
      <c r="C990" s="9"/>
      <c r="D990" s="9"/>
      <c r="E990" s="9"/>
      <c r="F990" s="2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2.5" customHeight="1">
      <c r="A991" s="9"/>
      <c r="B991" s="9"/>
      <c r="C991" s="9"/>
      <c r="D991" s="9"/>
      <c r="E991" s="9"/>
      <c r="F991" s="2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2.5" customHeight="1">
      <c r="A992" s="9"/>
      <c r="B992" s="9"/>
      <c r="C992" s="9"/>
      <c r="D992" s="9"/>
      <c r="E992" s="9"/>
      <c r="F992" s="2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2.5" customHeight="1">
      <c r="A993" s="9"/>
      <c r="B993" s="9"/>
      <c r="C993" s="9"/>
      <c r="D993" s="9"/>
      <c r="E993" s="9"/>
      <c r="F993" s="2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2.5" customHeight="1">
      <c r="A994" s="9"/>
      <c r="B994" s="9"/>
      <c r="C994" s="9"/>
      <c r="D994" s="9"/>
      <c r="E994" s="9"/>
      <c r="F994" s="2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2.5" customHeight="1">
      <c r="A995" s="9"/>
      <c r="B995" s="9"/>
      <c r="C995" s="9"/>
      <c r="D995" s="9"/>
      <c r="E995" s="9"/>
      <c r="F995" s="2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2.5" customHeight="1">
      <c r="A996" s="9"/>
      <c r="B996" s="9"/>
      <c r="C996" s="9"/>
      <c r="D996" s="9"/>
      <c r="E996" s="9"/>
      <c r="F996" s="2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2.5" customHeight="1">
      <c r="A997" s="9"/>
      <c r="B997" s="9"/>
      <c r="C997" s="9"/>
      <c r="D997" s="9"/>
      <c r="E997" s="9"/>
      <c r="F997" s="21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2.5" customHeight="1">
      <c r="A998" s="9"/>
      <c r="B998" s="9"/>
      <c r="C998" s="9"/>
      <c r="D998" s="9"/>
      <c r="E998" s="9"/>
      <c r="F998" s="21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2.5" customHeight="1">
      <c r="A999" s="9"/>
      <c r="B999" s="9"/>
      <c r="C999" s="9"/>
      <c r="D999" s="9"/>
      <c r="E999" s="9"/>
      <c r="F999" s="21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2.5" customHeight="1">
      <c r="A1000" s="9"/>
      <c r="B1000" s="9"/>
      <c r="C1000" s="9"/>
      <c r="D1000" s="9"/>
      <c r="E1000" s="9"/>
      <c r="F1000" s="21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2.5" customHeight="1">
      <c r="A1001" s="9"/>
      <c r="B1001" s="9"/>
      <c r="C1001" s="9"/>
      <c r="D1001" s="9"/>
      <c r="E1001" s="9"/>
      <c r="F1001" s="21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2.5" customHeight="1">
      <c r="A1002" s="9"/>
      <c r="B1002" s="9"/>
      <c r="C1002" s="9"/>
      <c r="D1002" s="9"/>
      <c r="E1002" s="9"/>
      <c r="F1002" s="21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2.5" customHeight="1">
      <c r="A1003" s="9"/>
      <c r="B1003" s="9"/>
      <c r="C1003" s="9"/>
      <c r="D1003" s="9"/>
      <c r="E1003" s="9"/>
      <c r="F1003" s="21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2.5" customHeight="1">
      <c r="A1004" s="9"/>
      <c r="B1004" s="9"/>
      <c r="C1004" s="9"/>
      <c r="D1004" s="9"/>
      <c r="E1004" s="9"/>
      <c r="F1004" s="21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2.5" customHeight="1">
      <c r="A1005" s="9"/>
      <c r="B1005" s="9"/>
      <c r="C1005" s="9"/>
      <c r="D1005" s="9"/>
      <c r="E1005" s="9"/>
      <c r="F1005" s="21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2.5" customHeight="1">
      <c r="A1006" s="9"/>
      <c r="B1006" s="9"/>
      <c r="C1006" s="9"/>
      <c r="D1006" s="9"/>
      <c r="E1006" s="9"/>
      <c r="F1006" s="21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2.5" customHeight="1">
      <c r="A1007" s="9"/>
      <c r="B1007" s="9"/>
      <c r="C1007" s="9"/>
      <c r="D1007" s="9"/>
      <c r="E1007" s="9"/>
      <c r="F1007" s="21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2.5" customHeight="1">
      <c r="A1008" s="9"/>
      <c r="B1008" s="9"/>
      <c r="C1008" s="9"/>
      <c r="D1008" s="9"/>
      <c r="E1008" s="9"/>
      <c r="F1008" s="21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2.5" customHeight="1">
      <c r="A1009" s="9"/>
      <c r="B1009" s="9"/>
      <c r="C1009" s="9"/>
      <c r="D1009" s="9"/>
      <c r="E1009" s="9"/>
      <c r="F1009" s="21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2.5" customHeight="1">
      <c r="A1010" s="9"/>
      <c r="B1010" s="9"/>
      <c r="C1010" s="9"/>
      <c r="D1010" s="9"/>
      <c r="E1010" s="9"/>
      <c r="F1010" s="21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2.5" customHeight="1">
      <c r="A1011" s="9"/>
      <c r="B1011" s="9"/>
      <c r="C1011" s="9"/>
      <c r="D1011" s="9"/>
      <c r="E1011" s="9"/>
      <c r="F1011" s="21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2.5" customHeight="1">
      <c r="A1012" s="9"/>
      <c r="B1012" s="9"/>
      <c r="C1012" s="9"/>
      <c r="D1012" s="9"/>
      <c r="E1012" s="9"/>
      <c r="F1012" s="21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2.5" customHeight="1">
      <c r="A1013" s="9"/>
      <c r="B1013" s="9"/>
      <c r="C1013" s="9"/>
      <c r="D1013" s="9"/>
      <c r="E1013" s="9"/>
      <c r="F1013" s="21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2.5" customHeight="1">
      <c r="A1014" s="9"/>
      <c r="B1014" s="9"/>
      <c r="C1014" s="9"/>
      <c r="D1014" s="9"/>
      <c r="E1014" s="9"/>
      <c r="F1014" s="21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2.5" customHeight="1">
      <c r="A1015" s="9"/>
      <c r="B1015" s="9"/>
      <c r="C1015" s="9"/>
      <c r="D1015" s="9"/>
      <c r="E1015" s="9"/>
      <c r="F1015" s="21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2.5" customHeight="1">
      <c r="A1016" s="9"/>
      <c r="B1016" s="9"/>
      <c r="C1016" s="9"/>
      <c r="D1016" s="9"/>
      <c r="E1016" s="9"/>
      <c r="F1016" s="21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2.5" customHeight="1">
      <c r="A1017" s="9"/>
      <c r="B1017" s="9"/>
      <c r="C1017" s="9"/>
      <c r="D1017" s="9"/>
      <c r="E1017" s="9"/>
      <c r="F1017" s="21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2.5" customHeight="1">
      <c r="A1018" s="9"/>
      <c r="B1018" s="9"/>
      <c r="C1018" s="9"/>
      <c r="D1018" s="9"/>
      <c r="E1018" s="9"/>
      <c r="F1018" s="21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2.5" customHeight="1">
      <c r="A1019" s="9"/>
      <c r="B1019" s="9"/>
      <c r="C1019" s="9"/>
      <c r="D1019" s="9"/>
      <c r="E1019" s="9"/>
      <c r="F1019" s="21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2.5" customHeight="1">
      <c r="A1020" s="9"/>
      <c r="B1020" s="9"/>
      <c r="C1020" s="9"/>
      <c r="D1020" s="9"/>
      <c r="E1020" s="9"/>
      <c r="F1020" s="21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2.5" customHeight="1">
      <c r="A1021" s="9"/>
      <c r="B1021" s="9"/>
      <c r="C1021" s="9"/>
      <c r="D1021" s="9"/>
      <c r="E1021" s="9"/>
      <c r="F1021" s="21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2.5" customHeight="1">
      <c r="A1022" s="9"/>
      <c r="B1022" s="9"/>
      <c r="C1022" s="9"/>
      <c r="D1022" s="9"/>
      <c r="E1022" s="9"/>
      <c r="F1022" s="21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2.5" customHeight="1">
      <c r="A1023" s="9"/>
      <c r="B1023" s="9"/>
      <c r="C1023" s="9"/>
      <c r="D1023" s="9"/>
      <c r="E1023" s="9"/>
      <c r="F1023" s="21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2.5" customHeight="1">
      <c r="A1024" s="9"/>
      <c r="B1024" s="9"/>
      <c r="C1024" s="9"/>
      <c r="D1024" s="9"/>
      <c r="E1024" s="9"/>
      <c r="F1024" s="21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2.5" customHeight="1">
      <c r="A1025" s="9"/>
      <c r="B1025" s="9"/>
      <c r="C1025" s="9"/>
      <c r="D1025" s="9"/>
      <c r="E1025" s="9"/>
      <c r="F1025" s="21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2.5" customHeight="1">
      <c r="A1026" s="9"/>
      <c r="B1026" s="9"/>
      <c r="C1026" s="9"/>
      <c r="D1026" s="9"/>
      <c r="E1026" s="9"/>
      <c r="F1026" s="21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2.5" customHeight="1">
      <c r="A1027" s="9"/>
      <c r="B1027" s="9"/>
      <c r="C1027" s="9"/>
      <c r="D1027" s="9"/>
      <c r="E1027" s="9"/>
      <c r="F1027" s="21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2.5" customHeight="1">
      <c r="A1028" s="9"/>
      <c r="B1028" s="9"/>
      <c r="C1028" s="9"/>
      <c r="D1028" s="9"/>
      <c r="E1028" s="9"/>
      <c r="F1028" s="21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2.5" customHeight="1">
      <c r="A1029" s="9"/>
      <c r="B1029" s="9"/>
      <c r="C1029" s="9"/>
      <c r="D1029" s="9"/>
      <c r="E1029" s="9"/>
      <c r="F1029" s="21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2.5" customHeight="1">
      <c r="A1030" s="9"/>
      <c r="B1030" s="9"/>
      <c r="C1030" s="9"/>
      <c r="D1030" s="9"/>
      <c r="E1030" s="9"/>
      <c r="F1030" s="21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2.5" customHeight="1">
      <c r="A1031" s="9"/>
      <c r="B1031" s="9"/>
      <c r="C1031" s="9"/>
      <c r="D1031" s="9"/>
      <c r="E1031" s="9"/>
      <c r="F1031" s="21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2.5" customHeight="1">
      <c r="A1032" s="9"/>
      <c r="B1032" s="9"/>
      <c r="C1032" s="9"/>
      <c r="D1032" s="9"/>
      <c r="E1032" s="9"/>
      <c r="F1032" s="21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2.5" customHeight="1">
      <c r="A1033" s="9"/>
      <c r="B1033" s="9"/>
      <c r="C1033" s="9"/>
      <c r="D1033" s="9"/>
      <c r="E1033" s="9"/>
      <c r="F1033" s="21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2.5" customHeight="1">
      <c r="A1034" s="9"/>
      <c r="B1034" s="9"/>
      <c r="C1034" s="9"/>
      <c r="D1034" s="9"/>
      <c r="E1034" s="9"/>
      <c r="F1034" s="21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2.5" customHeight="1">
      <c r="A1035" s="9"/>
      <c r="B1035" s="9"/>
      <c r="C1035" s="9"/>
      <c r="D1035" s="9"/>
      <c r="E1035" s="9"/>
      <c r="F1035" s="21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2.5" customHeight="1">
      <c r="A1036" s="9"/>
      <c r="B1036" s="9"/>
      <c r="C1036" s="9"/>
      <c r="D1036" s="9"/>
      <c r="E1036" s="9"/>
      <c r="F1036" s="21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2.5" customHeight="1">
      <c r="A1037" s="9"/>
      <c r="B1037" s="9"/>
      <c r="C1037" s="9"/>
      <c r="D1037" s="9"/>
      <c r="E1037" s="9"/>
      <c r="F1037" s="21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2.5" customHeight="1">
      <c r="A1038" s="9"/>
      <c r="B1038" s="9"/>
      <c r="C1038" s="9"/>
      <c r="D1038" s="9"/>
      <c r="E1038" s="9"/>
      <c r="F1038" s="21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2.5" customHeight="1">
      <c r="A1039" s="9"/>
      <c r="B1039" s="9"/>
      <c r="C1039" s="9"/>
      <c r="D1039" s="9"/>
      <c r="E1039" s="9"/>
      <c r="F1039" s="21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2.5" customHeight="1">
      <c r="A1040" s="9"/>
      <c r="B1040" s="9"/>
      <c r="C1040" s="9"/>
      <c r="D1040" s="9"/>
      <c r="E1040" s="9"/>
      <c r="F1040" s="21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2.5" customHeight="1">
      <c r="A1041" s="9"/>
      <c r="B1041" s="9"/>
      <c r="C1041" s="9"/>
      <c r="D1041" s="9"/>
      <c r="E1041" s="9"/>
      <c r="F1041" s="21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2.5" customHeight="1">
      <c r="A1042" s="9"/>
      <c r="B1042" s="9"/>
      <c r="C1042" s="9"/>
      <c r="D1042" s="9"/>
      <c r="E1042" s="9"/>
      <c r="F1042" s="21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2.5" customHeight="1">
      <c r="A1043" s="9"/>
      <c r="B1043" s="9"/>
      <c r="C1043" s="9"/>
      <c r="D1043" s="9"/>
      <c r="E1043" s="9"/>
      <c r="F1043" s="21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2.5" customHeight="1">
      <c r="A1044" s="9"/>
      <c r="B1044" s="9"/>
      <c r="C1044" s="9"/>
      <c r="D1044" s="9"/>
      <c r="E1044" s="9"/>
      <c r="F1044" s="21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2.5" customHeight="1">
      <c r="A1045" s="9"/>
      <c r="B1045" s="9"/>
      <c r="C1045" s="9"/>
      <c r="D1045" s="9"/>
      <c r="E1045" s="9"/>
      <c r="F1045" s="21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2.5" customHeight="1">
      <c r="A1046" s="9"/>
      <c r="B1046" s="9"/>
      <c r="C1046" s="9"/>
      <c r="D1046" s="9"/>
      <c r="E1046" s="9"/>
      <c r="F1046" s="21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2.5" customHeight="1">
      <c r="A1047" s="9"/>
      <c r="B1047" s="9"/>
      <c r="C1047" s="9"/>
      <c r="D1047" s="9"/>
      <c r="E1047" s="9"/>
      <c r="F1047" s="21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2.5" customHeight="1">
      <c r="A1048" s="9"/>
      <c r="B1048" s="9"/>
      <c r="C1048" s="9"/>
      <c r="D1048" s="9"/>
      <c r="E1048" s="9"/>
      <c r="F1048" s="21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2.5" customHeight="1">
      <c r="A1049" s="9"/>
      <c r="B1049" s="9"/>
      <c r="C1049" s="9"/>
      <c r="D1049" s="9"/>
      <c r="E1049" s="9"/>
      <c r="F1049" s="21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2.5" customHeight="1">
      <c r="A1050" s="9"/>
      <c r="B1050" s="9"/>
      <c r="C1050" s="9"/>
      <c r="D1050" s="9"/>
      <c r="E1050" s="9"/>
      <c r="F1050" s="21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2.5" customHeight="1">
      <c r="A1051" s="9"/>
      <c r="B1051" s="9"/>
      <c r="C1051" s="9"/>
      <c r="D1051" s="9"/>
      <c r="E1051" s="9"/>
      <c r="F1051" s="21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2.5" customHeight="1">
      <c r="A1052" s="9"/>
      <c r="B1052" s="9"/>
      <c r="C1052" s="9"/>
      <c r="D1052" s="9"/>
      <c r="E1052" s="9"/>
      <c r="F1052" s="21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2.5" customHeight="1">
      <c r="A1053" s="9"/>
      <c r="B1053" s="9"/>
      <c r="C1053" s="9"/>
      <c r="D1053" s="9"/>
      <c r="E1053" s="9"/>
      <c r="F1053" s="21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2.5" customHeight="1">
      <c r="A1054" s="9"/>
      <c r="B1054" s="9"/>
      <c r="C1054" s="9"/>
      <c r="D1054" s="9"/>
      <c r="E1054" s="9"/>
      <c r="F1054" s="21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2.5" customHeight="1">
      <c r="A1055" s="9"/>
      <c r="B1055" s="9"/>
      <c r="C1055" s="9"/>
      <c r="D1055" s="9"/>
      <c r="E1055" s="9"/>
      <c r="F1055" s="21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2.5" customHeight="1">
      <c r="A1056" s="9"/>
      <c r="B1056" s="9"/>
      <c r="C1056" s="9"/>
      <c r="D1056" s="9"/>
      <c r="E1056" s="9"/>
      <c r="F1056" s="21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2.5" customHeight="1">
      <c r="A1057" s="9"/>
      <c r="B1057" s="9"/>
      <c r="C1057" s="9"/>
      <c r="D1057" s="9"/>
      <c r="E1057" s="9"/>
      <c r="F1057" s="21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2.5" customHeight="1">
      <c r="A1058" s="9"/>
      <c r="B1058" s="9"/>
      <c r="C1058" s="9"/>
      <c r="D1058" s="9"/>
      <c r="E1058" s="9"/>
      <c r="F1058" s="21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2.5" customHeight="1">
      <c r="A1059" s="9"/>
      <c r="B1059" s="9"/>
      <c r="C1059" s="9"/>
      <c r="D1059" s="9"/>
      <c r="E1059" s="9"/>
      <c r="F1059" s="21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2.5" customHeight="1">
      <c r="A1060" s="9"/>
      <c r="B1060" s="9"/>
      <c r="C1060" s="9"/>
      <c r="D1060" s="9"/>
      <c r="E1060" s="9"/>
      <c r="F1060" s="21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2.5" customHeight="1">
      <c r="A1061" s="9"/>
      <c r="B1061" s="9"/>
      <c r="C1061" s="9"/>
      <c r="D1061" s="9"/>
      <c r="E1061" s="9"/>
      <c r="F1061" s="21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2.5" customHeight="1">
      <c r="A1062" s="9"/>
      <c r="B1062" s="9"/>
      <c r="C1062" s="9"/>
      <c r="D1062" s="9"/>
      <c r="E1062" s="9"/>
      <c r="F1062" s="21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2.5" customHeight="1">
      <c r="A1063" s="9"/>
      <c r="B1063" s="9"/>
      <c r="C1063" s="9"/>
      <c r="D1063" s="9"/>
      <c r="E1063" s="9"/>
      <c r="F1063" s="21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2.5" customHeight="1">
      <c r="A1064" s="9"/>
      <c r="B1064" s="9"/>
      <c r="C1064" s="9"/>
      <c r="D1064" s="9"/>
      <c r="E1064" s="9"/>
      <c r="F1064" s="21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2.5" customHeight="1">
      <c r="A1065" s="9"/>
      <c r="B1065" s="9"/>
      <c r="C1065" s="9"/>
      <c r="D1065" s="9"/>
      <c r="E1065" s="9"/>
      <c r="F1065" s="21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2.5" customHeight="1">
      <c r="A1066" s="9"/>
      <c r="B1066" s="9"/>
      <c r="C1066" s="9"/>
      <c r="D1066" s="9"/>
      <c r="E1066" s="9"/>
      <c r="F1066" s="21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2.5" customHeight="1">
      <c r="A1067" s="9"/>
      <c r="B1067" s="9"/>
      <c r="C1067" s="9"/>
      <c r="D1067" s="9"/>
      <c r="E1067" s="9"/>
      <c r="F1067" s="21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2.5" customHeight="1">
      <c r="A1068" s="9"/>
      <c r="B1068" s="9"/>
      <c r="C1068" s="9"/>
      <c r="D1068" s="9"/>
      <c r="E1068" s="9"/>
      <c r="F1068" s="21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2.5" customHeight="1">
      <c r="A1069" s="9"/>
      <c r="B1069" s="9"/>
      <c r="C1069" s="9"/>
      <c r="D1069" s="9"/>
      <c r="E1069" s="9"/>
      <c r="F1069" s="21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2.5" customHeight="1">
      <c r="A1070" s="9"/>
      <c r="B1070" s="9"/>
      <c r="C1070" s="9"/>
      <c r="D1070" s="9"/>
      <c r="E1070" s="9"/>
      <c r="F1070" s="21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2.5" customHeight="1">
      <c r="A1071" s="9"/>
      <c r="B1071" s="9"/>
      <c r="C1071" s="9"/>
      <c r="D1071" s="9"/>
      <c r="E1071" s="9"/>
      <c r="F1071" s="21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2.5" customHeight="1">
      <c r="A1072" s="9"/>
      <c r="B1072" s="9"/>
      <c r="C1072" s="9"/>
      <c r="D1072" s="9"/>
      <c r="E1072" s="9"/>
      <c r="F1072" s="21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2.5" customHeight="1">
      <c r="A1073" s="9"/>
      <c r="B1073" s="9"/>
      <c r="C1073" s="9"/>
      <c r="D1073" s="9"/>
      <c r="E1073" s="9"/>
      <c r="F1073" s="21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2.5" customHeight="1">
      <c r="A1074" s="9"/>
      <c r="B1074" s="9"/>
      <c r="C1074" s="9"/>
      <c r="D1074" s="9"/>
      <c r="E1074" s="9"/>
      <c r="F1074" s="21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2.5" customHeight="1">
      <c r="A1075" s="9"/>
      <c r="B1075" s="9"/>
      <c r="C1075" s="9"/>
      <c r="D1075" s="9"/>
      <c r="E1075" s="9"/>
      <c r="F1075" s="21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2.5" customHeight="1">
      <c r="A1076" s="9"/>
      <c r="B1076" s="9"/>
      <c r="C1076" s="9"/>
      <c r="D1076" s="9"/>
      <c r="E1076" s="9"/>
      <c r="F1076" s="21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2.5" customHeight="1">
      <c r="A1077" s="9"/>
      <c r="B1077" s="9"/>
      <c r="C1077" s="9"/>
      <c r="D1077" s="9"/>
      <c r="E1077" s="9"/>
      <c r="F1077" s="21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2.5" customHeight="1">
      <c r="A1078" s="9"/>
      <c r="B1078" s="9"/>
      <c r="C1078" s="9"/>
      <c r="D1078" s="9"/>
      <c r="E1078" s="9"/>
      <c r="F1078" s="21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2.5" customHeight="1">
      <c r="A1079" s="9"/>
      <c r="B1079" s="9"/>
      <c r="C1079" s="9"/>
      <c r="D1079" s="9"/>
      <c r="E1079" s="9"/>
      <c r="F1079" s="21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2.5" customHeight="1">
      <c r="A1080" s="9"/>
      <c r="B1080" s="9"/>
      <c r="C1080" s="9"/>
      <c r="D1080" s="9"/>
      <c r="E1080" s="9"/>
      <c r="F1080" s="21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2.5" customHeight="1">
      <c r="A1081" s="9"/>
      <c r="B1081" s="9"/>
      <c r="C1081" s="9"/>
      <c r="D1081" s="9"/>
      <c r="E1081" s="9"/>
      <c r="F1081" s="21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2.5" customHeight="1">
      <c r="A1082" s="9"/>
      <c r="B1082" s="9"/>
      <c r="C1082" s="9"/>
      <c r="D1082" s="9"/>
      <c r="E1082" s="9"/>
      <c r="F1082" s="21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2.5" customHeight="1">
      <c r="A1083" s="9"/>
      <c r="B1083" s="9"/>
      <c r="C1083" s="9"/>
      <c r="D1083" s="9"/>
      <c r="E1083" s="9"/>
      <c r="F1083" s="21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2.5" customHeight="1">
      <c r="A1084" s="9"/>
      <c r="B1084" s="9"/>
      <c r="C1084" s="9"/>
      <c r="D1084" s="9"/>
      <c r="E1084" s="9"/>
      <c r="F1084" s="21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2.5" customHeight="1">
      <c r="A1085" s="9"/>
      <c r="B1085" s="9"/>
      <c r="C1085" s="9"/>
      <c r="D1085" s="9"/>
      <c r="E1085" s="9"/>
      <c r="F1085" s="21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2.5" customHeight="1">
      <c r="A1086" s="9"/>
      <c r="B1086" s="9"/>
      <c r="C1086" s="9"/>
      <c r="D1086" s="9"/>
      <c r="E1086" s="9"/>
      <c r="F1086" s="21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2.5" customHeight="1">
      <c r="A1087" s="9"/>
      <c r="B1087" s="9"/>
      <c r="C1087" s="9"/>
      <c r="D1087" s="9"/>
      <c r="E1087" s="9"/>
      <c r="F1087" s="21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2.5" customHeight="1">
      <c r="A1088" s="9"/>
      <c r="B1088" s="9"/>
      <c r="C1088" s="9"/>
      <c r="D1088" s="9"/>
      <c r="E1088" s="9"/>
      <c r="F1088" s="21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2.5" customHeight="1">
      <c r="A1089" s="9"/>
      <c r="B1089" s="9"/>
      <c r="C1089" s="9"/>
      <c r="D1089" s="9"/>
      <c r="E1089" s="9"/>
      <c r="F1089" s="21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2.5" customHeight="1">
      <c r="A1090" s="9"/>
      <c r="B1090" s="9"/>
      <c r="C1090" s="9"/>
      <c r="D1090" s="9"/>
      <c r="E1090" s="9"/>
      <c r="F1090" s="21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2.5" customHeight="1">
      <c r="A1091" s="9"/>
      <c r="B1091" s="9"/>
      <c r="C1091" s="9"/>
      <c r="D1091" s="9"/>
      <c r="E1091" s="9"/>
      <c r="F1091" s="21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2.5" customHeight="1">
      <c r="A1092" s="9"/>
      <c r="B1092" s="9"/>
      <c r="C1092" s="9"/>
      <c r="D1092" s="9"/>
      <c r="E1092" s="9"/>
      <c r="F1092" s="21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2.5" customHeight="1">
      <c r="A1093" s="9"/>
      <c r="B1093" s="9"/>
      <c r="C1093" s="9"/>
      <c r="D1093" s="9"/>
      <c r="E1093" s="9"/>
      <c r="F1093" s="21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2.5" customHeight="1">
      <c r="A1094" s="9"/>
      <c r="B1094" s="9"/>
      <c r="C1094" s="9"/>
      <c r="D1094" s="9"/>
      <c r="E1094" s="9"/>
      <c r="F1094" s="21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2.5" customHeight="1">
      <c r="A1095" s="9"/>
      <c r="B1095" s="9"/>
      <c r="C1095" s="9"/>
      <c r="D1095" s="9"/>
      <c r="E1095" s="9"/>
      <c r="F1095" s="21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2.5" customHeight="1">
      <c r="A1096" s="9"/>
      <c r="B1096" s="9"/>
      <c r="C1096" s="9"/>
      <c r="D1096" s="9"/>
      <c r="E1096" s="9"/>
      <c r="F1096" s="21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2.5" customHeight="1">
      <c r="A1097" s="9"/>
      <c r="B1097" s="9"/>
      <c r="C1097" s="9"/>
      <c r="D1097" s="9"/>
      <c r="E1097" s="9"/>
      <c r="F1097" s="21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2.5" customHeight="1">
      <c r="A1098" s="9"/>
      <c r="B1098" s="9"/>
      <c r="C1098" s="9"/>
      <c r="D1098" s="9"/>
      <c r="E1098" s="9"/>
      <c r="F1098" s="21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2.5" customHeight="1">
      <c r="A1099" s="9"/>
      <c r="B1099" s="9"/>
      <c r="C1099" s="9"/>
      <c r="D1099" s="9"/>
      <c r="E1099" s="9"/>
      <c r="F1099" s="21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2.5" customHeight="1">
      <c r="A1100" s="9"/>
      <c r="B1100" s="9"/>
      <c r="C1100" s="9"/>
      <c r="D1100" s="9"/>
      <c r="E1100" s="9"/>
      <c r="F1100" s="21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2.5" customHeight="1">
      <c r="A1101" s="9"/>
      <c r="B1101" s="9"/>
      <c r="C1101" s="9"/>
      <c r="D1101" s="9"/>
      <c r="E1101" s="9"/>
      <c r="F1101" s="21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2.5" customHeight="1">
      <c r="A1102" s="9"/>
      <c r="B1102" s="9"/>
      <c r="C1102" s="9"/>
      <c r="D1102" s="9"/>
      <c r="E1102" s="9"/>
      <c r="F1102" s="21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2.5" customHeight="1">
      <c r="A1103" s="9"/>
      <c r="B1103" s="9"/>
      <c r="C1103" s="9"/>
      <c r="D1103" s="9"/>
      <c r="E1103" s="9"/>
      <c r="F1103" s="21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2.5" customHeight="1">
      <c r="A1104" s="9"/>
      <c r="B1104" s="9"/>
      <c r="C1104" s="9"/>
      <c r="D1104" s="9"/>
      <c r="E1104" s="9"/>
      <c r="F1104" s="21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2.5" customHeight="1">
      <c r="A1105" s="9"/>
      <c r="B1105" s="9"/>
      <c r="C1105" s="9"/>
      <c r="D1105" s="9"/>
      <c r="E1105" s="9"/>
      <c r="F1105" s="21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2.5" customHeight="1">
      <c r="A1106" s="9"/>
      <c r="B1106" s="9"/>
      <c r="C1106" s="9"/>
      <c r="D1106" s="9"/>
      <c r="E1106" s="9"/>
      <c r="F1106" s="21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2.5" customHeight="1">
      <c r="A1107" s="9"/>
      <c r="B1107" s="9"/>
      <c r="C1107" s="9"/>
      <c r="D1107" s="9"/>
      <c r="E1107" s="9"/>
      <c r="F1107" s="21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2.5" customHeight="1">
      <c r="A1108" s="9"/>
      <c r="B1108" s="9"/>
      <c r="C1108" s="9"/>
      <c r="D1108" s="9"/>
      <c r="E1108" s="9"/>
      <c r="F1108" s="21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2.5" customHeight="1">
      <c r="A1109" s="9"/>
      <c r="B1109" s="9"/>
      <c r="C1109" s="9"/>
      <c r="D1109" s="9"/>
      <c r="E1109" s="9"/>
      <c r="F1109" s="21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2.5" customHeight="1">
      <c r="A1110" s="9"/>
      <c r="B1110" s="9"/>
      <c r="C1110" s="9"/>
      <c r="D1110" s="9"/>
      <c r="E1110" s="9"/>
      <c r="F1110" s="21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2.5" customHeight="1">
      <c r="A1111" s="9"/>
      <c r="B1111" s="9"/>
      <c r="C1111" s="9"/>
      <c r="D1111" s="9"/>
      <c r="E1111" s="9"/>
      <c r="F1111" s="21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2.5" customHeight="1">
      <c r="A1112" s="9"/>
      <c r="B1112" s="9"/>
      <c r="C1112" s="9"/>
      <c r="D1112" s="9"/>
      <c r="E1112" s="9"/>
      <c r="F1112" s="21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2.5" customHeight="1">
      <c r="A1113" s="9"/>
      <c r="B1113" s="9"/>
      <c r="C1113" s="9"/>
      <c r="D1113" s="9"/>
      <c r="E1113" s="9"/>
      <c r="F1113" s="21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2.5" customHeight="1">
      <c r="A1114" s="9"/>
      <c r="B1114" s="9"/>
      <c r="C1114" s="9"/>
      <c r="D1114" s="9"/>
      <c r="E1114" s="9"/>
      <c r="F1114" s="21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2.5" customHeight="1">
      <c r="A1115" s="9"/>
      <c r="B1115" s="9"/>
      <c r="C1115" s="9"/>
      <c r="D1115" s="9"/>
      <c r="E1115" s="9"/>
      <c r="F1115" s="21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2.5" customHeight="1">
      <c r="A1116" s="9"/>
      <c r="B1116" s="9"/>
      <c r="C1116" s="9"/>
      <c r="D1116" s="9"/>
      <c r="E1116" s="9"/>
      <c r="F1116" s="21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2.5" customHeight="1">
      <c r="A1117" s="9"/>
      <c r="B1117" s="9"/>
      <c r="C1117" s="9"/>
      <c r="D1117" s="9"/>
      <c r="E1117" s="9"/>
      <c r="F1117" s="21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2.5" customHeight="1">
      <c r="A1118" s="9"/>
      <c r="B1118" s="9"/>
      <c r="C1118" s="9"/>
      <c r="D1118" s="9"/>
      <c r="E1118" s="9"/>
      <c r="F1118" s="21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2.5" customHeight="1">
      <c r="A1119" s="9"/>
      <c r="B1119" s="9"/>
      <c r="C1119" s="9"/>
      <c r="D1119" s="9"/>
      <c r="E1119" s="9"/>
      <c r="F1119" s="21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2.5" customHeight="1">
      <c r="A1120" s="9"/>
      <c r="B1120" s="9"/>
      <c r="C1120" s="9"/>
      <c r="D1120" s="9"/>
      <c r="E1120" s="9"/>
      <c r="F1120" s="21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2.5" customHeight="1">
      <c r="A1121" s="9"/>
      <c r="B1121" s="9"/>
      <c r="C1121" s="9"/>
      <c r="D1121" s="9"/>
      <c r="E1121" s="9"/>
      <c r="F1121" s="21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2.5" customHeight="1">
      <c r="A1122" s="9"/>
      <c r="B1122" s="9"/>
      <c r="C1122" s="9"/>
      <c r="D1122" s="9"/>
      <c r="E1122" s="9"/>
      <c r="F1122" s="21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2.5" customHeight="1">
      <c r="A1123" s="9"/>
      <c r="B1123" s="9"/>
      <c r="C1123" s="9"/>
      <c r="D1123" s="9"/>
      <c r="E1123" s="9"/>
      <c r="F1123" s="21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2.5" customHeight="1">
      <c r="A1124" s="9"/>
      <c r="B1124" s="9"/>
      <c r="C1124" s="9"/>
      <c r="D1124" s="9"/>
      <c r="E1124" s="9"/>
      <c r="F1124" s="21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</sheetData>
  <dataValidations>
    <dataValidation type="custom" allowBlank="1" showDropDown="1" sqref="J2:J121">
      <formula1>AND(ISNUMBER(J2),(NOT(OR(NOT(ISERROR(DATEVALUE(J2))), AND(ISNUMBER(J2), LEFT(CELL("format", J2))="D")))))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4.0"/>
    <col customWidth="1" min="3" max="3" width="53.38"/>
    <col customWidth="1" min="4" max="4" width="11.25"/>
    <col customWidth="1" min="5" max="5" width="19.25"/>
    <col customWidth="1" min="6" max="6" width="14.5"/>
    <col customWidth="1" min="7" max="7" width="27.88"/>
    <col customWidth="1" min="8" max="8" width="11.25"/>
    <col customWidth="1" min="9" max="10" width="17.13"/>
    <col customWidth="1" min="11" max="11" width="12.25"/>
    <col customWidth="1" min="12" max="12" width="14.75"/>
    <col customWidth="1" min="13" max="13" width="11.0"/>
    <col customWidth="1" min="14" max="15" width="16.5"/>
    <col customWidth="1" min="16" max="16" width="14.38"/>
    <col customWidth="1" hidden="1" min="17" max="17" width="14.38"/>
    <col customWidth="1" min="18" max="18" width="14.38"/>
    <col customWidth="1" min="19" max="26" width="21.13"/>
    <col customWidth="1" min="27" max="27" width="11.25"/>
  </cols>
  <sheetData>
    <row r="1" ht="22.5" customHeight="1">
      <c r="A1" s="32" t="s">
        <v>0</v>
      </c>
      <c r="B1" s="32" t="s">
        <v>179</v>
      </c>
      <c r="C1" s="33" t="s">
        <v>180</v>
      </c>
      <c r="D1" s="34" t="s">
        <v>181</v>
      </c>
      <c r="E1" s="35" t="s">
        <v>182</v>
      </c>
      <c r="F1" s="32" t="s">
        <v>4</v>
      </c>
      <c r="G1" s="32" t="s">
        <v>5</v>
      </c>
      <c r="H1" s="36" t="s">
        <v>183</v>
      </c>
      <c r="I1" s="37" t="s">
        <v>184</v>
      </c>
      <c r="J1" s="37" t="s">
        <v>185</v>
      </c>
      <c r="K1" s="37" t="s">
        <v>186</v>
      </c>
      <c r="L1" s="37" t="s">
        <v>187</v>
      </c>
      <c r="M1" s="37" t="s">
        <v>188</v>
      </c>
      <c r="N1" s="37" t="s">
        <v>189</v>
      </c>
      <c r="O1" s="38" t="s">
        <v>190</v>
      </c>
      <c r="P1" s="39" t="s">
        <v>3</v>
      </c>
      <c r="Q1" s="37" t="s">
        <v>191</v>
      </c>
      <c r="R1" s="39" t="s">
        <v>192</v>
      </c>
      <c r="S1" s="40"/>
      <c r="T1" s="40"/>
      <c r="U1" s="40"/>
      <c r="V1" s="40"/>
      <c r="W1" s="40"/>
      <c r="X1" s="40"/>
      <c r="Y1" s="40"/>
      <c r="Z1" s="40"/>
      <c r="AA1" s="40"/>
    </row>
    <row r="2" ht="22.5" customHeight="1">
      <c r="A2" s="41" t="s">
        <v>76</v>
      </c>
      <c r="B2" s="41" t="s">
        <v>34</v>
      </c>
      <c r="C2" s="41" t="s">
        <v>97</v>
      </c>
      <c r="D2" s="42">
        <v>50.54</v>
      </c>
      <c r="E2" s="43">
        <v>46080.0</v>
      </c>
      <c r="F2" s="44" t="s">
        <v>13</v>
      </c>
      <c r="G2" s="44" t="s">
        <v>13</v>
      </c>
      <c r="H2" s="45">
        <f>IFERROR(__xludf.DUMMYFUNCTION("(IFERROR(FILTER(BBDD!$J:$J,BBDD!$G:$G=C2,BBDD!$H:$H=F2,BBDD!$I:$I=G2),""NO TIENE PROCESO""))*D2"),19.689)</f>
        <v>19.689</v>
      </c>
      <c r="I2" s="46">
        <f t="shared" ref="I2:I258" si="1">J2+K2</f>
        <v>16.49</v>
      </c>
      <c r="J2" s="46">
        <f>SUMIFS('👷horas'!$J:$J,'👷horas'!$D:$D,A2,'👷horas'!$E:$E,B2,'👷horas'!$F:$F,F2,'👷horas'!$G:$G,G2)</f>
        <v>16.49</v>
      </c>
      <c r="K2" s="47">
        <f>SUMIFS('👷horas'!$K:$K,'👷horas'!$D:$D,A2,'👷horas'!$E:$E,B2,'👷horas'!$F:$F,F2,'👷horas'!$G:$G,G2)</f>
        <v>0</v>
      </c>
      <c r="L2" s="48">
        <f t="shared" ref="L2:L258" si="2">I2/D2</f>
        <v>0.3262762169</v>
      </c>
      <c r="M2" s="49">
        <f t="shared" ref="M2:M258" si="3">IF(P2="TERMINADO",0,H2-(J2+K2))</f>
        <v>0</v>
      </c>
      <c r="N2" s="50">
        <f t="shared" ref="N2:N258" si="4">1-(I2/H2)</f>
        <v>0.1624765097</v>
      </c>
      <c r="O2" s="50">
        <f t="shared" ref="O2:O258" si="5">IF(NOT(ISNUMBER(H2)),0,IF(P2="Terminado",1,IF(J2=0,0,MIN(1,J2/H2))))</f>
        <v>1</v>
      </c>
      <c r="P2" s="51" t="s">
        <v>193</v>
      </c>
      <c r="Q2" s="52" t="str">
        <f t="shared" ref="Q2:Q258" si="6">IF(COUNTIFS(A:A,A2,P:P,"Terminado")=COUNTIF(A:A,A2),"Terminado",IF(COUNTIFS(A:A,A2,P:P,"En proceso")&gt;0,"En proceso","Pendiente"))</f>
        <v>Terminado</v>
      </c>
      <c r="R2" s="52" t="str">
        <f>IFERROR(__xludf.DUMMYFUNCTION("SPARKLINE(O2,{""charttype"",""bar"";""max"",1;""color1"",IF(P2=""Terminado"",""#4CAF50"",IF(O2&gt;=0.5,""#FFA500"",""#F44336""))})"),"")</f>
        <v/>
      </c>
      <c r="S2" s="40"/>
      <c r="U2" s="40"/>
      <c r="V2" s="40"/>
      <c r="W2" s="40"/>
      <c r="X2" s="40"/>
      <c r="Y2" s="40"/>
      <c r="Z2" s="40"/>
      <c r="AA2" s="40"/>
    </row>
    <row r="3" ht="22.5" customHeight="1">
      <c r="A3" s="41" t="s">
        <v>76</v>
      </c>
      <c r="B3" s="41" t="s">
        <v>34</v>
      </c>
      <c r="C3" s="41" t="s">
        <v>97</v>
      </c>
      <c r="D3" s="42">
        <v>50.54</v>
      </c>
      <c r="E3" s="43">
        <v>46080.0</v>
      </c>
      <c r="F3" s="44" t="s">
        <v>20</v>
      </c>
      <c r="G3" s="44" t="s">
        <v>22</v>
      </c>
      <c r="H3" s="45">
        <f>IFERROR(__xludf.DUMMYFUNCTION("(IFERROR(FILTER(BBDD!$J:$J,BBDD!$G:$G=C3,BBDD!$H:$H=F3,BBDD!$I:$I=G3),""NO TIENE PROCESO""))*D3"),54.04)</f>
        <v>54.04</v>
      </c>
      <c r="I3" s="46">
        <f t="shared" si="1"/>
        <v>49.5</v>
      </c>
      <c r="J3" s="46">
        <f>SUMIFS('👷horas'!$J:$J,'👷horas'!$D:$D,A3,'👷horas'!$E:$E,B3,'👷horas'!$F:$F,F3,'👷horas'!$G:$G,G3)</f>
        <v>37</v>
      </c>
      <c r="K3" s="47">
        <f>SUMIFS('👷horas'!$K:$K,'👷horas'!$D:$D,A3,'👷horas'!$E:$E,B3,'👷horas'!$F:$F,F3,'👷horas'!$G:$G,G3)</f>
        <v>12.5</v>
      </c>
      <c r="L3" s="48">
        <f t="shared" si="2"/>
        <v>0.9794222398</v>
      </c>
      <c r="M3" s="49">
        <f t="shared" si="3"/>
        <v>0</v>
      </c>
      <c r="N3" s="50">
        <f t="shared" si="4"/>
        <v>0.08401184308</v>
      </c>
      <c r="O3" s="50">
        <f t="shared" si="5"/>
        <v>1</v>
      </c>
      <c r="P3" s="51" t="s">
        <v>193</v>
      </c>
      <c r="Q3" s="52" t="str">
        <f t="shared" si="6"/>
        <v>Terminado</v>
      </c>
      <c r="R3" s="52" t="str">
        <f>IFERROR(__xludf.DUMMYFUNCTION("SPARKLINE(O3,{""charttype"",""bar"";""max"",1;""color1"",IF(P3=""Terminado"",""#4CAF50"",IF(O3&gt;=0.5,""#FFA500"",""#F44336""))})"),"")</f>
        <v/>
      </c>
      <c r="S3" s="40"/>
      <c r="U3" s="53"/>
      <c r="V3" s="40"/>
      <c r="W3" s="40"/>
      <c r="X3" s="40"/>
      <c r="Y3" s="40"/>
      <c r="Z3" s="40"/>
      <c r="AA3" s="40"/>
    </row>
    <row r="4" ht="22.5" customHeight="1">
      <c r="A4" s="41" t="s">
        <v>76</v>
      </c>
      <c r="B4" s="41" t="s">
        <v>34</v>
      </c>
      <c r="C4" s="41" t="s">
        <v>97</v>
      </c>
      <c r="D4" s="42">
        <v>50.54</v>
      </c>
      <c r="E4" s="43">
        <v>46080.0</v>
      </c>
      <c r="F4" s="44" t="s">
        <v>20</v>
      </c>
      <c r="G4" s="44" t="s">
        <v>30</v>
      </c>
      <c r="H4" s="45">
        <f>IFERROR(__xludf.DUMMYFUNCTION("(IFERROR(FILTER(BBDD!$J:$J,BBDD!$G:$G=C4,BBDD!$H:$H=F4,BBDD!$I:$I=G4),""NO TIENE PROCESO""))*D4"),10.108)</f>
        <v>10.108</v>
      </c>
      <c r="I4" s="46">
        <f t="shared" si="1"/>
        <v>11.39</v>
      </c>
      <c r="J4" s="46">
        <f>SUMIFS('👷horas'!$J:$J,'👷horas'!$D:$D,A4,'👷horas'!$E:$E,B4,'👷horas'!$F:$F,F4,'👷horas'!$G:$G,G4)</f>
        <v>11.39</v>
      </c>
      <c r="K4" s="47">
        <f>SUMIFS('👷horas'!$K:$K,'👷horas'!$D:$D,A4,'👷horas'!$E:$E,B4,'👷horas'!$F:$F,F4,'👷horas'!$G:$G,G4)</f>
        <v>0</v>
      </c>
      <c r="L4" s="48">
        <f t="shared" si="2"/>
        <v>0.2253660467</v>
      </c>
      <c r="M4" s="49">
        <f t="shared" si="3"/>
        <v>0</v>
      </c>
      <c r="N4" s="50">
        <f t="shared" si="4"/>
        <v>-0.1268302335</v>
      </c>
      <c r="O4" s="50">
        <f t="shared" si="5"/>
        <v>1</v>
      </c>
      <c r="P4" s="51" t="s">
        <v>193</v>
      </c>
      <c r="Q4" s="52" t="str">
        <f t="shared" si="6"/>
        <v>Terminado</v>
      </c>
      <c r="R4" s="52" t="str">
        <f>IFERROR(__xludf.DUMMYFUNCTION("SPARKLINE(O4,{""charttype"",""bar"";""max"",1;""color1"",IF(P4=""Terminado"",""#4CAF50"",IF(O4&gt;=0.5,""#FFA500"",""#F44336""))})"),"")</f>
        <v/>
      </c>
      <c r="S4" s="40"/>
      <c r="U4" s="40"/>
      <c r="V4" s="40"/>
      <c r="W4" s="40"/>
      <c r="X4" s="40"/>
      <c r="Y4" s="40"/>
      <c r="Z4" s="40"/>
      <c r="AA4" s="40"/>
    </row>
    <row r="5" ht="22.5" customHeight="1">
      <c r="A5" s="41" t="s">
        <v>76</v>
      </c>
      <c r="B5" s="41" t="s">
        <v>34</v>
      </c>
      <c r="C5" s="41" t="s">
        <v>97</v>
      </c>
      <c r="D5" s="42">
        <v>50.54</v>
      </c>
      <c r="E5" s="43">
        <v>46080.0</v>
      </c>
      <c r="F5" s="44" t="s">
        <v>20</v>
      </c>
      <c r="G5" s="41" t="s">
        <v>35</v>
      </c>
      <c r="H5" s="45">
        <f>IFERROR(__xludf.DUMMYFUNCTION("(IFERROR(FILTER(BBDD!$J:$J,BBDD!$G:$G=C5,BBDD!$H:$H=F5,BBDD!$I:$I=G5),""NO TIENE PROCESO""))*D5"),8.081)</f>
        <v>8.081</v>
      </c>
      <c r="I5" s="46">
        <f t="shared" si="1"/>
        <v>5.5</v>
      </c>
      <c r="J5" s="46">
        <f>SUMIFS('👷horas'!$J:$J,'👷horas'!$D:$D,A5,'👷horas'!$E:$E,B5,'👷horas'!$F:$F,F5,'👷horas'!$G:$G,G5)</f>
        <v>5.5</v>
      </c>
      <c r="K5" s="47">
        <f>SUMIFS('👷horas'!$K:$K,'👷horas'!$D:$D,A5,'👷horas'!$E:$E,B5,'👷horas'!$F:$F,F5,'👷horas'!$G:$G,G5)</f>
        <v>0</v>
      </c>
      <c r="L5" s="48">
        <f t="shared" si="2"/>
        <v>0.1088246933</v>
      </c>
      <c r="M5" s="49">
        <f t="shared" si="3"/>
        <v>0</v>
      </c>
      <c r="N5" s="50">
        <f t="shared" si="4"/>
        <v>0.3193911645</v>
      </c>
      <c r="O5" s="50">
        <f t="shared" si="5"/>
        <v>1</v>
      </c>
      <c r="P5" s="51" t="s">
        <v>193</v>
      </c>
      <c r="Q5" s="52" t="str">
        <f t="shared" si="6"/>
        <v>Terminado</v>
      </c>
      <c r="R5" s="52" t="str">
        <f>IFERROR(__xludf.DUMMYFUNCTION("SPARKLINE(O5,{""charttype"",""bar"";""max"",1;""color1"",IF(P5=""Terminado"",""#4CAF50"",IF(O5&gt;=0.5,""#FFA500"",""#F44336""))})"),"")</f>
        <v/>
      </c>
      <c r="S5" s="40"/>
      <c r="U5" s="40"/>
      <c r="V5" s="40"/>
      <c r="W5" s="40"/>
      <c r="X5" s="40"/>
      <c r="Y5" s="40"/>
      <c r="Z5" s="40"/>
      <c r="AA5" s="40"/>
    </row>
    <row r="6" ht="22.5" customHeight="1">
      <c r="A6" s="41" t="s">
        <v>76</v>
      </c>
      <c r="B6" s="41" t="s">
        <v>34</v>
      </c>
      <c r="C6" s="41" t="s">
        <v>97</v>
      </c>
      <c r="D6" s="42">
        <v>50.54</v>
      </c>
      <c r="E6" s="43">
        <v>46080.0</v>
      </c>
      <c r="F6" s="41" t="s">
        <v>24</v>
      </c>
      <c r="G6" s="44" t="s">
        <v>25</v>
      </c>
      <c r="H6" s="45">
        <f>IFERROR(__xludf.DUMMYFUNCTION("(IFERROR(FILTER(BBDD!$J:$J,BBDD!$G:$G=C6,BBDD!$H:$H=F6,BBDD!$I:$I=G6),""NO TIENE PROCESO""))*D6"),30.604497000000002)</f>
        <v>30.604497</v>
      </c>
      <c r="I6" s="46">
        <f t="shared" si="1"/>
        <v>48.9025</v>
      </c>
      <c r="J6" s="46">
        <f>SUMIFS('👷horas'!$J:$J,'👷horas'!$D:$D,A6,'👷horas'!$E:$E,B6,'👷horas'!$F:$F,F6,'👷horas'!$G:$G,G6)</f>
        <v>41.9025</v>
      </c>
      <c r="K6" s="47">
        <f>SUMIFS('👷horas'!$K:$K,'👷horas'!$D:$D,A6,'👷horas'!$E:$E,B6,'👷horas'!$F:$F,F6,'👷horas'!$G:$G,G6)</f>
        <v>7</v>
      </c>
      <c r="L6" s="48">
        <f t="shared" si="2"/>
        <v>0.9675999209</v>
      </c>
      <c r="M6" s="49">
        <f t="shared" si="3"/>
        <v>0</v>
      </c>
      <c r="N6" s="50">
        <f t="shared" si="4"/>
        <v>-0.5978860884</v>
      </c>
      <c r="O6" s="50">
        <f t="shared" si="5"/>
        <v>1</v>
      </c>
      <c r="P6" s="51" t="s">
        <v>193</v>
      </c>
      <c r="Q6" s="52" t="str">
        <f t="shared" si="6"/>
        <v>Terminado</v>
      </c>
      <c r="R6" s="52" t="str">
        <f>IFERROR(__xludf.DUMMYFUNCTION("SPARKLINE(O6,{""charttype"",""bar"";""max"",1;""color1"",IF(P6=""Terminado"",""#4CAF50"",IF(O6&gt;=0.5,""#FFA500"",""#F44336""))})"),"")</f>
        <v/>
      </c>
      <c r="S6" s="40"/>
      <c r="U6" s="40"/>
      <c r="V6" s="40"/>
      <c r="W6" s="40"/>
      <c r="X6" s="40"/>
      <c r="Y6" s="40"/>
      <c r="Z6" s="40"/>
      <c r="AA6" s="40"/>
    </row>
    <row r="7" ht="22.5" customHeight="1">
      <c r="A7" s="41" t="s">
        <v>76</v>
      </c>
      <c r="B7" s="41" t="s">
        <v>34</v>
      </c>
      <c r="C7" s="41" t="s">
        <v>97</v>
      </c>
      <c r="D7" s="42">
        <v>50.54</v>
      </c>
      <c r="E7" s="43">
        <v>46080.0</v>
      </c>
      <c r="F7" s="41" t="s">
        <v>24</v>
      </c>
      <c r="G7" s="44" t="s">
        <v>31</v>
      </c>
      <c r="H7" s="45">
        <f>IFERROR(__xludf.DUMMYFUNCTION("(IFERROR(FILTER(BBDD!$J:$J,BBDD!$G:$G=C7,BBDD!$H:$H=F7,BBDD!$I:$I=G7),""NO TIENE PROCESO""))*D7"),26.45769)</f>
        <v>26.45769</v>
      </c>
      <c r="I7" s="46">
        <f t="shared" si="1"/>
        <v>18.7</v>
      </c>
      <c r="J7" s="46">
        <f>SUMIFS('👷horas'!$J:$J,'👷horas'!$D:$D,A7,'👷horas'!$E:$E,B7,'👷horas'!$F:$F,F7,'👷horas'!$G:$G,G7)</f>
        <v>11.7</v>
      </c>
      <c r="K7" s="47">
        <f>SUMIFS('👷horas'!$K:$K,'👷horas'!$D:$D,A7,'👷horas'!$E:$E,B7,'👷horas'!$F:$F,F7,'👷horas'!$G:$G,G7)</f>
        <v>7</v>
      </c>
      <c r="L7" s="48">
        <f t="shared" si="2"/>
        <v>0.3700039573</v>
      </c>
      <c r="M7" s="49">
        <f t="shared" si="3"/>
        <v>0</v>
      </c>
      <c r="N7" s="50">
        <f t="shared" si="4"/>
        <v>0.2932111609</v>
      </c>
      <c r="O7" s="50">
        <f t="shared" si="5"/>
        <v>1</v>
      </c>
      <c r="P7" s="51" t="s">
        <v>193</v>
      </c>
      <c r="Q7" s="52" t="str">
        <f t="shared" si="6"/>
        <v>Terminado</v>
      </c>
      <c r="R7" s="52" t="str">
        <f>IFERROR(__xludf.DUMMYFUNCTION("SPARKLINE(O7,{""charttype"",""bar"";""max"",1;""color1"",IF(P7=""Terminado"",""#4CAF50"",IF(O7&gt;=0.5,""#FFA500"",""#F44336""))})"),"")</f>
        <v/>
      </c>
      <c r="S7" s="40"/>
      <c r="U7" s="40"/>
      <c r="V7" s="40"/>
      <c r="W7" s="40"/>
      <c r="X7" s="40"/>
      <c r="Y7" s="40"/>
      <c r="Z7" s="40"/>
      <c r="AA7" s="40"/>
    </row>
    <row r="8" ht="22.5" customHeight="1">
      <c r="A8" s="41" t="s">
        <v>76</v>
      </c>
      <c r="B8" s="41" t="s">
        <v>28</v>
      </c>
      <c r="C8" s="41" t="s">
        <v>109</v>
      </c>
      <c r="D8" s="42">
        <v>17.91</v>
      </c>
      <c r="E8" s="43">
        <v>46080.0</v>
      </c>
      <c r="F8" s="44" t="str">
        <f>IFERROR(__xludf.DUMMYFUNCTION("FILTER(BBDD!H:H,BBDD!G:G=C8)"),"CNC")</f>
        <v>CNC</v>
      </c>
      <c r="G8" s="44" t="str">
        <f>IFERROR(__xludf.DUMMYFUNCTION("FILTER(BBDD!I:I,BBDD!G:G=C8)"),"CNC")</f>
        <v>CNC</v>
      </c>
      <c r="H8" s="45">
        <f>IFERROR(__xludf.DUMMYFUNCTION("(IFERROR(FILTER(BBDD!$J:$J,BBDD!$G:$G=C8,BBDD!$H:$H=F8,BBDD!$I:$I=G8),""NO TIENE PROCESO""))*D8"),6.2684999999999995)</f>
        <v>6.2685</v>
      </c>
      <c r="I8" s="46">
        <f t="shared" si="1"/>
        <v>6.3</v>
      </c>
      <c r="J8" s="46">
        <f>SUMIFS('👷horas'!$J:$J,'👷horas'!$D:$D,A8,'👷horas'!$E:$E,B8,'👷horas'!$F:$F,F8,'👷horas'!$G:$G,G8)</f>
        <v>6.3</v>
      </c>
      <c r="K8" s="47">
        <f>SUMIFS('👷horas'!$K:$K,'👷horas'!$D:$D,A8,'👷horas'!$E:$E,B8,'👷horas'!$F:$F,F8,'👷horas'!$G:$G,G8)</f>
        <v>0</v>
      </c>
      <c r="L8" s="48">
        <f t="shared" si="2"/>
        <v>0.351758794</v>
      </c>
      <c r="M8" s="49">
        <f t="shared" si="3"/>
        <v>0</v>
      </c>
      <c r="N8" s="50">
        <f t="shared" si="4"/>
        <v>-0.005025125628</v>
      </c>
      <c r="O8" s="50">
        <f t="shared" si="5"/>
        <v>1</v>
      </c>
      <c r="P8" s="51" t="s">
        <v>193</v>
      </c>
      <c r="Q8" s="52" t="str">
        <f t="shared" si="6"/>
        <v>Terminado</v>
      </c>
      <c r="R8" s="52" t="str">
        <f>IFERROR(__xludf.DUMMYFUNCTION("SPARKLINE(O8,{""charttype"",""bar"";""max"",1;""color1"",IF(P8=""Terminado"",""#4CAF50"",IF(O8&gt;=0.5,""#FFA500"",""#F44336""))})"),"")</f>
        <v/>
      </c>
      <c r="S8" s="40"/>
      <c r="U8" s="40"/>
      <c r="V8" s="40"/>
      <c r="W8" s="40"/>
      <c r="X8" s="40"/>
      <c r="Y8" s="40"/>
      <c r="Z8" s="40"/>
      <c r="AA8" s="40"/>
    </row>
    <row r="9" ht="22.5" customHeight="1">
      <c r="A9" s="41" t="s">
        <v>76</v>
      </c>
      <c r="B9" s="41" t="s">
        <v>28</v>
      </c>
      <c r="C9" s="41" t="s">
        <v>109</v>
      </c>
      <c r="D9" s="42">
        <v>17.91</v>
      </c>
      <c r="E9" s="43">
        <v>46080.0</v>
      </c>
      <c r="F9" s="44" t="str">
        <f>IFERROR(__xludf.DUMMYFUNCTION("""COMPUTED_VALUE"""),"Fabricación")</f>
        <v>Fabricación</v>
      </c>
      <c r="G9" s="44" t="str">
        <f>IFERROR(__xludf.DUMMYFUNCTION("""COMPUTED_VALUE"""),"Ensamblaje")</f>
        <v>Ensamblaje</v>
      </c>
      <c r="H9" s="45">
        <f>IFERROR(__xludf.DUMMYFUNCTION("(IFERROR(FILTER(BBDD!$J:$J,BBDD!$G:$G=C9,BBDD!$H:$H=F9,BBDD!$I:$I=G9),""NO TIENE PROCESO""))*D9"),17.91)</f>
        <v>17.91</v>
      </c>
      <c r="I9" s="46">
        <f t="shared" si="1"/>
        <v>18</v>
      </c>
      <c r="J9" s="46">
        <f>SUMIFS('👷horas'!$J:$J,'👷horas'!$D:$D,A9,'👷horas'!$E:$E,B9,'👷horas'!$F:$F,F9,'👷horas'!$G:$G,G9)</f>
        <v>18</v>
      </c>
      <c r="K9" s="47">
        <f>SUMIFS('👷horas'!$K:$K,'👷horas'!$D:$D,A9,'👷horas'!$E:$E,B9,'👷horas'!$F:$F,F9,'👷horas'!$G:$G,G9)</f>
        <v>0</v>
      </c>
      <c r="L9" s="48">
        <f t="shared" si="2"/>
        <v>1.005025126</v>
      </c>
      <c r="M9" s="49">
        <f t="shared" si="3"/>
        <v>0</v>
      </c>
      <c r="N9" s="50">
        <f t="shared" si="4"/>
        <v>-0.005025125628</v>
      </c>
      <c r="O9" s="50">
        <f t="shared" si="5"/>
        <v>1</v>
      </c>
      <c r="P9" s="51" t="s">
        <v>193</v>
      </c>
      <c r="Q9" s="52" t="str">
        <f t="shared" si="6"/>
        <v>Terminado</v>
      </c>
      <c r="R9" s="52" t="str">
        <f>IFERROR(__xludf.DUMMYFUNCTION("SPARKLINE(O9,{""charttype"",""bar"";""max"",1;""color1"",IF(P9=""Terminado"",""#4CAF50"",IF(O9&gt;=0.5,""#FFA500"",""#F44336""))})"),"")</f>
        <v/>
      </c>
      <c r="S9" s="40"/>
      <c r="U9" s="40"/>
      <c r="V9" s="40"/>
      <c r="W9" s="40"/>
      <c r="X9" s="40"/>
      <c r="Y9" s="40"/>
      <c r="Z9" s="40"/>
      <c r="AA9" s="40"/>
    </row>
    <row r="10" ht="22.5" customHeight="1">
      <c r="A10" s="41" t="s">
        <v>76</v>
      </c>
      <c r="B10" s="41" t="s">
        <v>28</v>
      </c>
      <c r="C10" s="41" t="s">
        <v>109</v>
      </c>
      <c r="D10" s="42">
        <v>17.91</v>
      </c>
      <c r="E10" s="43">
        <v>46080.0</v>
      </c>
      <c r="F10" s="44" t="str">
        <f>IFERROR(__xludf.DUMMYFUNCTION("""COMPUTED_VALUE"""),"Fabricación")</f>
        <v>Fabricación</v>
      </c>
      <c r="G10" s="44" t="str">
        <f>IFERROR(__xludf.DUMMYFUNCTION("""COMPUTED_VALUE"""),"Colocación de perfiles")</f>
        <v>Colocación de perfiles</v>
      </c>
      <c r="H10" s="45">
        <f>IFERROR(__xludf.DUMMYFUNCTION("(IFERROR(FILTER(BBDD!$J:$J,BBDD!$G:$G=C10,BBDD!$H:$H=F10,BBDD!$I:$I=G10),""NO TIENE PROCESO""))*D10"),3.5820000000000003)</f>
        <v>3.582</v>
      </c>
      <c r="I10" s="46">
        <f t="shared" si="1"/>
        <v>3.594</v>
      </c>
      <c r="J10" s="46">
        <f>SUMIFS('👷horas'!$J:$J,'👷horas'!$D:$D,A10,'👷horas'!$E:$E,B10,'👷horas'!$F:$F,F10,'👷horas'!$G:$G,G10)</f>
        <v>3.594</v>
      </c>
      <c r="K10" s="47">
        <f>SUMIFS('👷horas'!$K:$K,'👷horas'!$D:$D,A10,'👷horas'!$E:$E,B10,'👷horas'!$F:$F,F10,'👷horas'!$G:$G,G10)</f>
        <v>0</v>
      </c>
      <c r="L10" s="48">
        <f t="shared" si="2"/>
        <v>0.2006700168</v>
      </c>
      <c r="M10" s="49">
        <f t="shared" si="3"/>
        <v>0</v>
      </c>
      <c r="N10" s="50">
        <f t="shared" si="4"/>
        <v>-0.003350083752</v>
      </c>
      <c r="O10" s="50">
        <f t="shared" si="5"/>
        <v>1</v>
      </c>
      <c r="P10" s="51" t="s">
        <v>193</v>
      </c>
      <c r="Q10" s="52" t="str">
        <f t="shared" si="6"/>
        <v>Terminado</v>
      </c>
      <c r="R10" s="52" t="str">
        <f>IFERROR(__xludf.DUMMYFUNCTION("SPARKLINE(O10,{""charttype"",""bar"";""max"",1;""color1"",IF(P10=""Terminado"",""#4CAF50"",IF(O10&gt;=0.5,""#FFA500"",""#F44336""))})"),"")</f>
        <v/>
      </c>
      <c r="S10" s="40"/>
      <c r="U10" s="40"/>
      <c r="V10" s="40"/>
      <c r="W10" s="40"/>
      <c r="X10" s="40"/>
      <c r="Y10" s="40"/>
      <c r="Z10" s="40"/>
      <c r="AA10" s="40"/>
    </row>
    <row r="11" ht="22.5" customHeight="1">
      <c r="A11" s="41" t="s">
        <v>76</v>
      </c>
      <c r="B11" s="41" t="s">
        <v>28</v>
      </c>
      <c r="C11" s="41" t="s">
        <v>109</v>
      </c>
      <c r="D11" s="42">
        <v>17.91</v>
      </c>
      <c r="E11" s="43">
        <v>46080.0</v>
      </c>
      <c r="F11" s="44" t="str">
        <f>IFERROR(__xludf.DUMMYFUNCTION("""COMPUTED_VALUE"""),"Fabricación")</f>
        <v>Fabricación</v>
      </c>
      <c r="G11" s="44" t="str">
        <f>IFERROR(__xludf.DUMMYFUNCTION("""COMPUTED_VALUE"""),"Embalaje/carga/descarga material")</f>
        <v>Embalaje/carga/descarga material</v>
      </c>
      <c r="H11" s="45">
        <f>IFERROR(__xludf.DUMMYFUNCTION("(IFERROR(FILTER(BBDD!$J:$J,BBDD!$G:$G=C11,BBDD!$H:$H=F11,BBDD!$I:$I=G11),""NO TIENE PROCESO""))*D11"),2.6865)</f>
        <v>2.6865</v>
      </c>
      <c r="I11" s="46">
        <f t="shared" si="1"/>
        <v>2.5</v>
      </c>
      <c r="J11" s="46">
        <f>SUMIFS('👷horas'!$J:$J,'👷horas'!$D:$D,A11,'👷horas'!$E:$E,B11,'👷horas'!$F:$F,F11,'👷horas'!$G:$G,G11)</f>
        <v>2.5</v>
      </c>
      <c r="K11" s="47">
        <f>SUMIFS('👷horas'!$K:$K,'👷horas'!$D:$D,A11,'👷horas'!$E:$E,B11,'👷horas'!$F:$F,F11,'👷horas'!$G:$G,G11)</f>
        <v>0</v>
      </c>
      <c r="L11" s="48">
        <f t="shared" si="2"/>
        <v>0.139586823</v>
      </c>
      <c r="M11" s="49">
        <f t="shared" si="3"/>
        <v>0</v>
      </c>
      <c r="N11" s="50">
        <f t="shared" si="4"/>
        <v>0.06942117997</v>
      </c>
      <c r="O11" s="50">
        <f t="shared" si="5"/>
        <v>1</v>
      </c>
      <c r="P11" s="51" t="s">
        <v>193</v>
      </c>
      <c r="Q11" s="52" t="str">
        <f t="shared" si="6"/>
        <v>Terminado</v>
      </c>
      <c r="R11" s="52" t="str">
        <f>IFERROR(__xludf.DUMMYFUNCTION("SPARKLINE(O11,{""charttype"",""bar"";""max"",1;""color1"",IF(P11=""Terminado"",""#4CAF50"",IF(O11&gt;=0.5,""#FFA500"",""#F44336""))})"),"")</f>
        <v/>
      </c>
      <c r="S11" s="40"/>
      <c r="U11" s="40"/>
      <c r="V11" s="40"/>
      <c r="W11" s="40"/>
      <c r="X11" s="40"/>
      <c r="Y11" s="40"/>
      <c r="Z11" s="40"/>
      <c r="AA11" s="40"/>
    </row>
    <row r="12" ht="22.5" customHeight="1">
      <c r="A12" s="41" t="s">
        <v>76</v>
      </c>
      <c r="B12" s="41" t="s">
        <v>28</v>
      </c>
      <c r="C12" s="41" t="s">
        <v>109</v>
      </c>
      <c r="D12" s="42">
        <v>17.91</v>
      </c>
      <c r="E12" s="43">
        <v>46080.0</v>
      </c>
      <c r="F12" s="44" t="str">
        <f>IFERROR(__xludf.DUMMYFUNCTION("""COMPUTED_VALUE"""),"Pintura")</f>
        <v>Pintura</v>
      </c>
      <c r="G12" s="44" t="str">
        <f>IFERROR(__xludf.DUMMYFUNCTION("""COMPUTED_VALUE"""),"Lijado y/o Masillado")</f>
        <v>Lijado y/o Masillado</v>
      </c>
      <c r="H12" s="45">
        <f>IFERROR(__xludf.DUMMYFUNCTION("(IFERROR(FILTER(BBDD!$J:$J,BBDD!$G:$G=C12,BBDD!$H:$H=F12,BBDD!$I:$I=G12),""NO TIENE PROCESO""))*D12"),10.746)</f>
        <v>10.746</v>
      </c>
      <c r="I12" s="46">
        <f t="shared" si="1"/>
        <v>16.5975</v>
      </c>
      <c r="J12" s="46">
        <f>SUMIFS('👷horas'!$J:$J,'👷horas'!$D:$D,A12,'👷horas'!$E:$E,B12,'👷horas'!$F:$F,F12,'👷horas'!$G:$G,G12)</f>
        <v>16.5975</v>
      </c>
      <c r="K12" s="47">
        <f>SUMIFS('👷horas'!$K:$K,'👷horas'!$D:$D,A12,'👷horas'!$E:$E,B12,'👷horas'!$F:$F,F12,'👷horas'!$G:$G,G12)</f>
        <v>0</v>
      </c>
      <c r="L12" s="48">
        <f t="shared" si="2"/>
        <v>0.9267169179</v>
      </c>
      <c r="M12" s="49">
        <f t="shared" si="3"/>
        <v>0</v>
      </c>
      <c r="N12" s="50">
        <f t="shared" si="4"/>
        <v>-0.5445281965</v>
      </c>
      <c r="O12" s="50">
        <f t="shared" si="5"/>
        <v>1</v>
      </c>
      <c r="P12" s="51" t="s">
        <v>193</v>
      </c>
      <c r="Q12" s="52" t="str">
        <f t="shared" si="6"/>
        <v>Terminado</v>
      </c>
      <c r="R12" s="52" t="str">
        <f>IFERROR(__xludf.DUMMYFUNCTION("SPARKLINE(O12,{""charttype"",""bar"";""max"",1;""color1"",IF(P12=""Terminado"",""#4CAF50"",IF(O12&gt;=0.5,""#FFA500"",""#F44336""))})"),"")</f>
        <v/>
      </c>
      <c r="S12" s="40"/>
      <c r="U12" s="40"/>
      <c r="V12" s="40"/>
      <c r="W12" s="40"/>
      <c r="X12" s="40"/>
      <c r="Y12" s="40"/>
      <c r="Z12" s="40"/>
      <c r="AA12" s="40"/>
    </row>
    <row r="13" ht="22.5" customHeight="1">
      <c r="A13" s="41" t="s">
        <v>76</v>
      </c>
      <c r="B13" s="41" t="s">
        <v>28</v>
      </c>
      <c r="C13" s="41" t="s">
        <v>109</v>
      </c>
      <c r="D13" s="42">
        <v>17.91</v>
      </c>
      <c r="E13" s="43">
        <v>46080.0</v>
      </c>
      <c r="F13" s="44" t="str">
        <f>IFERROR(__xludf.DUMMYFUNCTION("""COMPUTED_VALUE"""),"Pintura")</f>
        <v>Pintura</v>
      </c>
      <c r="G13" s="44" t="str">
        <f>IFERROR(__xludf.DUMMYFUNCTION("""COMPUTED_VALUE"""),"Imprimación/Pintura")</f>
        <v>Imprimación/Pintura</v>
      </c>
      <c r="H13" s="45">
        <f>IFERROR(__xludf.DUMMYFUNCTION("(IFERROR(FILTER(BBDD!$J:$J,BBDD!$G:$G=C13,BBDD!$H:$H=F13,BBDD!$I:$I=G13),""NO TIENE PROCESO""))*D13"),8.955)</f>
        <v>8.955</v>
      </c>
      <c r="I13" s="46">
        <f t="shared" si="1"/>
        <v>9</v>
      </c>
      <c r="J13" s="46">
        <f>SUMIFS('👷horas'!$J:$J,'👷horas'!$D:$D,A13,'👷horas'!$E:$E,B13,'👷horas'!$F:$F,F13,'👷horas'!$G:$G,G13)</f>
        <v>9</v>
      </c>
      <c r="K13" s="47">
        <f>SUMIFS('👷horas'!$K:$K,'👷horas'!$D:$D,A13,'👷horas'!$E:$E,B13,'👷horas'!$F:$F,F13,'👷horas'!$G:$G,G13)</f>
        <v>0</v>
      </c>
      <c r="L13" s="48">
        <f t="shared" si="2"/>
        <v>0.5025125628</v>
      </c>
      <c r="M13" s="49">
        <f t="shared" si="3"/>
        <v>0</v>
      </c>
      <c r="N13" s="50">
        <f t="shared" si="4"/>
        <v>-0.005025125628</v>
      </c>
      <c r="O13" s="50">
        <f t="shared" si="5"/>
        <v>1</v>
      </c>
      <c r="P13" s="51" t="s">
        <v>193</v>
      </c>
      <c r="Q13" s="52" t="str">
        <f t="shared" si="6"/>
        <v>Terminado</v>
      </c>
      <c r="R13" s="52" t="str">
        <f>IFERROR(__xludf.DUMMYFUNCTION("SPARKLINE(O13,{""charttype"",""bar"";""max"",1;""color1"",IF(P13=""Terminado"",""#4CAF50"",IF(O13&gt;=0.5,""#FFA500"",""#F44336""))})"),"")</f>
        <v/>
      </c>
      <c r="S13" s="40"/>
      <c r="U13" s="40"/>
      <c r="V13" s="40"/>
      <c r="W13" s="40"/>
      <c r="X13" s="40"/>
      <c r="Y13" s="40"/>
      <c r="Z13" s="40"/>
      <c r="AA13" s="40"/>
    </row>
    <row r="14" ht="22.5" customHeight="1">
      <c r="A14" s="41" t="s">
        <v>133</v>
      </c>
      <c r="B14" s="41" t="s">
        <v>11</v>
      </c>
      <c r="C14" s="41" t="s">
        <v>14</v>
      </c>
      <c r="D14" s="42">
        <v>17.5</v>
      </c>
      <c r="E14" s="43">
        <v>46084.0</v>
      </c>
      <c r="F14" s="44" t="str">
        <f>IFERROR(__xludf.DUMMYFUNCTION("FILTER(BBDD!H:H,BBDD!G:G=C14)"),"CNC")</f>
        <v>CNC</v>
      </c>
      <c r="G14" s="44" t="str">
        <f>IFERROR(__xludf.DUMMYFUNCTION("FILTER(BBDD!I:I,BBDD!G:G=C14)"),"CNC")</f>
        <v>CNC</v>
      </c>
      <c r="H14" s="45">
        <f>IFERROR(__xludf.DUMMYFUNCTION("(IFERROR(FILTER(BBDD!$J:$J,BBDD!$G:$G=C14,BBDD!$H:$H=F14,BBDD!$I:$I=G14),""NO TIENE PROCESO""))*D14"),3.5)</f>
        <v>3.5</v>
      </c>
      <c r="I14" s="46">
        <f t="shared" si="1"/>
        <v>1.5</v>
      </c>
      <c r="J14" s="46">
        <f>SUMIFS('👷horas'!$J:$J,'👷horas'!$D:$D,A14,'👷horas'!$E:$E,B14,'👷horas'!$F:$F,F14,'👷horas'!$G:$G,G14)</f>
        <v>1.5</v>
      </c>
      <c r="K14" s="47">
        <f>SUMIFS('👷horas'!$K:$K,'👷horas'!$D:$D,A14,'👷horas'!$E:$E,B14,'👷horas'!$F:$F,F14,'👷horas'!$G:$G,G14)</f>
        <v>0</v>
      </c>
      <c r="L14" s="48">
        <f t="shared" si="2"/>
        <v>0.08571428571</v>
      </c>
      <c r="M14" s="49">
        <f t="shared" si="3"/>
        <v>0</v>
      </c>
      <c r="N14" s="50">
        <f t="shared" si="4"/>
        <v>0.5714285714</v>
      </c>
      <c r="O14" s="50">
        <f t="shared" si="5"/>
        <v>1</v>
      </c>
      <c r="P14" s="51" t="s">
        <v>193</v>
      </c>
      <c r="Q14" s="52" t="str">
        <f t="shared" si="6"/>
        <v>Terminado</v>
      </c>
      <c r="R14" s="52" t="str">
        <f>IFERROR(__xludf.DUMMYFUNCTION("SPARKLINE(O14,{""charttype"",""bar"";""max"",1;""color1"",IF(P14=""Terminado"",""#4CAF50"",IF(O14&gt;=0.5,""#FFA500"",""#F44336""))})"),"")</f>
        <v/>
      </c>
      <c r="S14" s="40"/>
      <c r="U14" s="40"/>
      <c r="V14" s="40"/>
      <c r="W14" s="40"/>
      <c r="X14" s="40"/>
      <c r="Y14" s="40"/>
      <c r="Z14" s="40"/>
      <c r="AA14" s="40"/>
    </row>
    <row r="15" ht="22.5" customHeight="1">
      <c r="A15" s="41" t="s">
        <v>133</v>
      </c>
      <c r="B15" s="41" t="s">
        <v>11</v>
      </c>
      <c r="C15" s="41" t="s">
        <v>14</v>
      </c>
      <c r="D15" s="42">
        <v>17.5</v>
      </c>
      <c r="E15" s="43">
        <v>46084.0</v>
      </c>
      <c r="F15" s="44" t="str">
        <f>IFERROR(__xludf.DUMMYFUNCTION("""COMPUTED_VALUE"""),"Fabricación")</f>
        <v>Fabricación</v>
      </c>
      <c r="G15" s="44" t="str">
        <f>IFERROR(__xludf.DUMMYFUNCTION("""COMPUTED_VALUE"""),"Ensamblaje")</f>
        <v>Ensamblaje</v>
      </c>
      <c r="H15" s="45">
        <f>IFERROR(__xludf.DUMMYFUNCTION("(IFERROR(FILTER(BBDD!$J:$J,BBDD!$G:$G=C15,BBDD!$H:$H=F15,BBDD!$I:$I=G15),""NO TIENE PROCESO""))*D15"),10.85)</f>
        <v>10.85</v>
      </c>
      <c r="I15" s="46">
        <f t="shared" si="1"/>
        <v>11.75</v>
      </c>
      <c r="J15" s="46">
        <f>SUMIFS('👷horas'!$J:$J,'👷horas'!$D:$D,A15,'👷horas'!$E:$E,B15,'👷horas'!$F:$F,F15,'👷horas'!$G:$G,G15)</f>
        <v>11.75</v>
      </c>
      <c r="K15" s="47">
        <f>SUMIFS('👷horas'!$K:$K,'👷horas'!$D:$D,A15,'👷horas'!$E:$E,B15,'👷horas'!$F:$F,F15,'👷horas'!$G:$G,G15)</f>
        <v>0</v>
      </c>
      <c r="L15" s="48">
        <f t="shared" si="2"/>
        <v>0.6714285714</v>
      </c>
      <c r="M15" s="49">
        <f t="shared" si="3"/>
        <v>0</v>
      </c>
      <c r="N15" s="50">
        <f t="shared" si="4"/>
        <v>-0.08294930876</v>
      </c>
      <c r="O15" s="50">
        <f t="shared" si="5"/>
        <v>1</v>
      </c>
      <c r="P15" s="51" t="s">
        <v>193</v>
      </c>
      <c r="Q15" s="52" t="str">
        <f t="shared" si="6"/>
        <v>Terminado</v>
      </c>
      <c r="R15" s="52" t="str">
        <f>IFERROR(__xludf.DUMMYFUNCTION("SPARKLINE(O15,{""charttype"",""bar"";""max"",1;""color1"",IF(P15=""Terminado"",""#4CAF50"",IF(O15&gt;=0.5,""#FFA500"",""#F44336""))})"),"")</f>
        <v/>
      </c>
      <c r="S15" s="40"/>
      <c r="U15" s="40"/>
      <c r="V15" s="40"/>
      <c r="W15" s="40"/>
      <c r="X15" s="40"/>
      <c r="Y15" s="40"/>
      <c r="Z15" s="40"/>
      <c r="AA15" s="40"/>
    </row>
    <row r="16" ht="22.5" customHeight="1">
      <c r="A16" s="41" t="s">
        <v>133</v>
      </c>
      <c r="B16" s="41" t="s">
        <v>11</v>
      </c>
      <c r="C16" s="41" t="s">
        <v>14</v>
      </c>
      <c r="D16" s="42">
        <v>17.5</v>
      </c>
      <c r="E16" s="43">
        <v>46084.0</v>
      </c>
      <c r="F16" s="44" t="str">
        <f>IFERROR(__xludf.DUMMYFUNCTION("""COMPUTED_VALUE"""),"Fabricación")</f>
        <v>Fabricación</v>
      </c>
      <c r="G16" s="44" t="str">
        <f>IFERROR(__xludf.DUMMYFUNCTION("""COMPUTED_VALUE"""),"Colocación de perfiles")</f>
        <v>Colocación de perfiles</v>
      </c>
      <c r="H16" s="45">
        <f>IFERROR(__xludf.DUMMYFUNCTION("(IFERROR(FILTER(BBDD!$J:$J,BBDD!$G:$G=C16,BBDD!$H:$H=F16,BBDD!$I:$I=G16),""NO TIENE PROCESO""))*D16"),3.5)</f>
        <v>3.5</v>
      </c>
      <c r="I16" s="46">
        <f t="shared" si="1"/>
        <v>5.5</v>
      </c>
      <c r="J16" s="46">
        <f>SUMIFS('👷horas'!$J:$J,'👷horas'!$D:$D,A16,'👷horas'!$E:$E,B16,'👷horas'!$F:$F,F16,'👷horas'!$G:$G,G16)</f>
        <v>5.5</v>
      </c>
      <c r="K16" s="47">
        <f>SUMIFS('👷horas'!$K:$K,'👷horas'!$D:$D,A16,'👷horas'!$E:$E,B16,'👷horas'!$F:$F,F16,'👷horas'!$G:$G,G16)</f>
        <v>0</v>
      </c>
      <c r="L16" s="48">
        <f t="shared" si="2"/>
        <v>0.3142857143</v>
      </c>
      <c r="M16" s="49">
        <f t="shared" si="3"/>
        <v>0</v>
      </c>
      <c r="N16" s="50">
        <f t="shared" si="4"/>
        <v>-0.5714285714</v>
      </c>
      <c r="O16" s="50">
        <f t="shared" si="5"/>
        <v>1</v>
      </c>
      <c r="P16" s="51" t="s">
        <v>193</v>
      </c>
      <c r="Q16" s="52" t="str">
        <f t="shared" si="6"/>
        <v>Terminado</v>
      </c>
      <c r="R16" s="52" t="str">
        <f>IFERROR(__xludf.DUMMYFUNCTION("SPARKLINE(O16,{""charttype"",""bar"";""max"",1;""color1"",IF(P16=""Terminado"",""#4CAF50"",IF(O16&gt;=0.5,""#FFA500"",""#F44336""))})"),"")</f>
        <v/>
      </c>
      <c r="S16" s="40"/>
      <c r="U16" s="40"/>
      <c r="V16" s="40"/>
      <c r="W16" s="40"/>
      <c r="X16" s="40"/>
      <c r="Y16" s="40"/>
      <c r="Z16" s="40"/>
      <c r="AA16" s="40"/>
    </row>
    <row r="17" ht="22.5" customHeight="1">
      <c r="A17" s="41" t="s">
        <v>133</v>
      </c>
      <c r="B17" s="41" t="s">
        <v>11</v>
      </c>
      <c r="C17" s="41" t="s">
        <v>14</v>
      </c>
      <c r="D17" s="42">
        <v>17.5</v>
      </c>
      <c r="E17" s="43">
        <v>46084.0</v>
      </c>
      <c r="F17" s="44" t="str">
        <f>IFERROR(__xludf.DUMMYFUNCTION("""COMPUTED_VALUE"""),"Fabricación")</f>
        <v>Fabricación</v>
      </c>
      <c r="G17" s="44" t="str">
        <f>IFERROR(__xludf.DUMMYFUNCTION("""COMPUTED_VALUE"""),"Embalaje/carga/descarga material")</f>
        <v>Embalaje/carga/descarga material</v>
      </c>
      <c r="H17" s="45">
        <f>IFERROR(__xludf.DUMMYFUNCTION("(IFERROR(FILTER(BBDD!$J:$J,BBDD!$G:$G=C17,BBDD!$H:$H=F17,BBDD!$I:$I=G17),""NO TIENE PROCESO""))*D17"),2.625)</f>
        <v>2.625</v>
      </c>
      <c r="I17" s="46">
        <f t="shared" si="1"/>
        <v>2</v>
      </c>
      <c r="J17" s="46">
        <f>SUMIFS('👷horas'!$J:$J,'👷horas'!$D:$D,A17,'👷horas'!$E:$E,B17,'👷horas'!$F:$F,F17,'👷horas'!$G:$G,G17)</f>
        <v>2</v>
      </c>
      <c r="K17" s="47">
        <f>SUMIFS('👷horas'!$K:$K,'👷horas'!$D:$D,A17,'👷horas'!$E:$E,B17,'👷horas'!$F:$F,F17,'👷horas'!$G:$G,G17)</f>
        <v>0</v>
      </c>
      <c r="L17" s="48">
        <f t="shared" si="2"/>
        <v>0.1142857143</v>
      </c>
      <c r="M17" s="49">
        <f t="shared" si="3"/>
        <v>0</v>
      </c>
      <c r="N17" s="50">
        <f t="shared" si="4"/>
        <v>0.2380952381</v>
      </c>
      <c r="O17" s="50">
        <f t="shared" si="5"/>
        <v>1</v>
      </c>
      <c r="P17" s="51" t="s">
        <v>193</v>
      </c>
      <c r="Q17" s="52" t="str">
        <f t="shared" si="6"/>
        <v>Terminado</v>
      </c>
      <c r="R17" s="52" t="str">
        <f>IFERROR(__xludf.DUMMYFUNCTION("SPARKLINE(O17,{""charttype"",""bar"";""max"",1;""color1"",IF(P17=""Terminado"",""#4CAF50"",IF(O17&gt;=0.5,""#FFA500"",""#F44336""))})"),"")</f>
        <v/>
      </c>
      <c r="S17" s="40"/>
      <c r="U17" s="40"/>
      <c r="V17" s="40"/>
      <c r="W17" s="40"/>
      <c r="X17" s="40"/>
      <c r="Y17" s="40"/>
      <c r="Z17" s="40"/>
      <c r="AA17" s="40"/>
    </row>
    <row r="18" ht="22.5" customHeight="1">
      <c r="A18" s="41" t="s">
        <v>133</v>
      </c>
      <c r="B18" s="41" t="s">
        <v>11</v>
      </c>
      <c r="C18" s="41" t="s">
        <v>14</v>
      </c>
      <c r="D18" s="42">
        <v>17.5</v>
      </c>
      <c r="E18" s="43">
        <v>46084.0</v>
      </c>
      <c r="F18" s="54" t="str">
        <f>IFERROR(__xludf.DUMMYFUNCTION("""COMPUTED_VALUE"""),"Pintura")</f>
        <v>Pintura</v>
      </c>
      <c r="G18" s="54" t="str">
        <f>IFERROR(__xludf.DUMMYFUNCTION("""COMPUTED_VALUE"""),"Lijado y/o Masillado")</f>
        <v>Lijado y/o Masillado</v>
      </c>
      <c r="H18" s="45">
        <f>IFERROR(__xludf.DUMMYFUNCTION("(IFERROR(FILTER(BBDD!$J:$J,BBDD!$G:$G=C18,BBDD!$H:$H=F18,BBDD!$I:$I=G18),""NO TIENE PROCESO""))*D18"),8.75)</f>
        <v>8.75</v>
      </c>
      <c r="I18" s="46">
        <f t="shared" si="1"/>
        <v>19.5</v>
      </c>
      <c r="J18" s="46">
        <f>SUMIFS('👷horas'!$J:$J,'👷horas'!$D:$D,A18,'👷horas'!$E:$E,B18,'👷horas'!$F:$F,F18,'👷horas'!$G:$G,G18)</f>
        <v>18</v>
      </c>
      <c r="K18" s="47">
        <f>SUMIFS('👷horas'!$K:$K,'👷horas'!$D:$D,A18,'👷horas'!$E:$E,B18,'👷horas'!$F:$F,F18,'👷horas'!$G:$G,G18)</f>
        <v>1.5</v>
      </c>
      <c r="L18" s="48">
        <f t="shared" si="2"/>
        <v>1.114285714</v>
      </c>
      <c r="M18" s="49">
        <f t="shared" si="3"/>
        <v>0</v>
      </c>
      <c r="N18" s="50">
        <f t="shared" si="4"/>
        <v>-1.228571429</v>
      </c>
      <c r="O18" s="50">
        <f t="shared" si="5"/>
        <v>1</v>
      </c>
      <c r="P18" s="51" t="s">
        <v>193</v>
      </c>
      <c r="Q18" s="52" t="str">
        <f t="shared" si="6"/>
        <v>Terminado</v>
      </c>
      <c r="R18" s="52" t="str">
        <f>IFERROR(__xludf.DUMMYFUNCTION("SPARKLINE(O18,{""charttype"",""bar"";""max"",1;""color1"",IF(P18=""Terminado"",""#4CAF50"",IF(O18&gt;=0.5,""#FFA500"",""#F44336""))})"),"")</f>
        <v/>
      </c>
      <c r="S18" s="40"/>
      <c r="U18" s="40"/>
      <c r="V18" s="40"/>
      <c r="W18" s="40"/>
      <c r="X18" s="40"/>
      <c r="Y18" s="40"/>
      <c r="Z18" s="40"/>
      <c r="AA18" s="40"/>
    </row>
    <row r="19" ht="22.5" customHeight="1">
      <c r="A19" s="41" t="s">
        <v>133</v>
      </c>
      <c r="B19" s="41" t="s">
        <v>11</v>
      </c>
      <c r="C19" s="41" t="s">
        <v>14</v>
      </c>
      <c r="D19" s="42">
        <v>17.5</v>
      </c>
      <c r="E19" s="43">
        <v>46084.0</v>
      </c>
      <c r="F19" s="44" t="str">
        <f>IFERROR(__xludf.DUMMYFUNCTION("""COMPUTED_VALUE"""),"Pintura")</f>
        <v>Pintura</v>
      </c>
      <c r="G19" s="44" t="str">
        <f>IFERROR(__xludf.DUMMYFUNCTION("""COMPUTED_VALUE"""),"Imprimación/Pintura")</f>
        <v>Imprimación/Pintura</v>
      </c>
      <c r="H19" s="45">
        <f>IFERROR(__xludf.DUMMYFUNCTION("(IFERROR(FILTER(BBDD!$J:$J,BBDD!$G:$G=C19,BBDD!$H:$H=F19,BBDD!$I:$I=G19),""NO TIENE PROCESO""))*D19"),7.0)</f>
        <v>7</v>
      </c>
      <c r="I19" s="46">
        <f t="shared" si="1"/>
        <v>6.3</v>
      </c>
      <c r="J19" s="46">
        <f>SUMIFS('👷horas'!$J:$J,'👷horas'!$D:$D,A19,'👷horas'!$E:$E,B19,'👷horas'!$F:$F,F19,'👷horas'!$G:$G,G19)</f>
        <v>6.3</v>
      </c>
      <c r="K19" s="47">
        <f>SUMIFS('👷horas'!$K:$K,'👷horas'!$D:$D,A19,'👷horas'!$E:$E,B19,'👷horas'!$F:$F,F19,'👷horas'!$G:$G,G19)</f>
        <v>0</v>
      </c>
      <c r="L19" s="48">
        <f t="shared" si="2"/>
        <v>0.36</v>
      </c>
      <c r="M19" s="49">
        <f t="shared" si="3"/>
        <v>0</v>
      </c>
      <c r="N19" s="50">
        <f t="shared" si="4"/>
        <v>0.1</v>
      </c>
      <c r="O19" s="50">
        <f t="shared" si="5"/>
        <v>1</v>
      </c>
      <c r="P19" s="51" t="s">
        <v>193</v>
      </c>
      <c r="Q19" s="52" t="str">
        <f t="shared" si="6"/>
        <v>Terminado</v>
      </c>
      <c r="R19" s="52" t="str">
        <f>IFERROR(__xludf.DUMMYFUNCTION("SPARKLINE(O19,{""charttype"",""bar"";""max"",1;""color1"",IF(P19=""Terminado"",""#4CAF50"",IF(O19&gt;=0.5,""#FFA500"",""#F44336""))})"),"")</f>
        <v/>
      </c>
      <c r="S19" s="40"/>
      <c r="U19" s="40"/>
      <c r="V19" s="40"/>
      <c r="W19" s="40"/>
      <c r="X19" s="40"/>
      <c r="Y19" s="40"/>
      <c r="Z19" s="40"/>
      <c r="AA19" s="40"/>
    </row>
    <row r="20" ht="22.5" customHeight="1">
      <c r="A20" s="41" t="s">
        <v>133</v>
      </c>
      <c r="B20" s="41" t="s">
        <v>69</v>
      </c>
      <c r="C20" s="41" t="s">
        <v>67</v>
      </c>
      <c r="D20" s="42">
        <v>13.7</v>
      </c>
      <c r="E20" s="43">
        <v>46084.0</v>
      </c>
      <c r="F20" s="44" t="str">
        <f>IFERROR(__xludf.DUMMYFUNCTION("FILTER(BBDD!H:H,BBDD!G:G=C20)"),"CNC")</f>
        <v>CNC</v>
      </c>
      <c r="G20" s="44" t="str">
        <f>IFERROR(__xludf.DUMMYFUNCTION("FILTER(BBDD!I:I,BBDD!G:G=C20)"),"CNC")</f>
        <v>CNC</v>
      </c>
      <c r="H20" s="45">
        <f>IFERROR(__xludf.DUMMYFUNCTION("(IFERROR(FILTER(BBDD!$J:$J,BBDD!$G:$G=C20,BBDD!$H:$H=F20,BBDD!$I:$I=G20),""NO TIENE PROCESO""))*D20"),2.74)</f>
        <v>2.74</v>
      </c>
      <c r="I20" s="46">
        <f t="shared" si="1"/>
        <v>1</v>
      </c>
      <c r="J20" s="46">
        <f>SUMIFS('👷horas'!$J:$J,'👷horas'!$D:$D,A20,'👷horas'!$E:$E,B20,'👷horas'!$F:$F,F20,'👷horas'!$G:$G,G20)</f>
        <v>1</v>
      </c>
      <c r="K20" s="47">
        <f>SUMIFS('👷horas'!$K:$K,'👷horas'!$D:$D,A20,'👷horas'!$E:$E,B20,'👷horas'!$F:$F,F20,'👷horas'!$G:$G,G20)</f>
        <v>0</v>
      </c>
      <c r="L20" s="48">
        <f t="shared" si="2"/>
        <v>0.07299270073</v>
      </c>
      <c r="M20" s="49">
        <f t="shared" si="3"/>
        <v>0</v>
      </c>
      <c r="N20" s="50">
        <f t="shared" si="4"/>
        <v>0.6350364964</v>
      </c>
      <c r="O20" s="50">
        <f t="shared" si="5"/>
        <v>1</v>
      </c>
      <c r="P20" s="51" t="s">
        <v>193</v>
      </c>
      <c r="Q20" s="52" t="str">
        <f t="shared" si="6"/>
        <v>Terminado</v>
      </c>
      <c r="R20" s="52" t="str">
        <f>IFERROR(__xludf.DUMMYFUNCTION("SPARKLINE(O20,{""charttype"",""bar"";""max"",1;""color1"",IF(P20=""Terminado"",""#4CAF50"",IF(O20&gt;=0.5,""#FFA500"",""#F44336""))})"),"")</f>
        <v/>
      </c>
      <c r="S20" s="40"/>
      <c r="U20" s="40"/>
      <c r="V20" s="40"/>
      <c r="W20" s="40"/>
      <c r="X20" s="40"/>
      <c r="Y20" s="40"/>
      <c r="Z20" s="40"/>
      <c r="AA20" s="40"/>
    </row>
    <row r="21" ht="22.5" customHeight="1">
      <c r="A21" s="41" t="s">
        <v>133</v>
      </c>
      <c r="B21" s="41" t="s">
        <v>69</v>
      </c>
      <c r="C21" s="41" t="s">
        <v>67</v>
      </c>
      <c r="D21" s="42">
        <v>13.7</v>
      </c>
      <c r="E21" s="43">
        <v>46084.0</v>
      </c>
      <c r="F21" s="44" t="str">
        <f>IFERROR(__xludf.DUMMYFUNCTION("""COMPUTED_VALUE"""),"Fabricación")</f>
        <v>Fabricación</v>
      </c>
      <c r="G21" s="44" t="str">
        <f>IFERROR(__xludf.DUMMYFUNCTION("""COMPUTED_VALUE"""),"Ensamblaje")</f>
        <v>Ensamblaje</v>
      </c>
      <c r="H21" s="45">
        <f>IFERROR(__xludf.DUMMYFUNCTION("(IFERROR(FILTER(BBDD!$J:$J,BBDD!$G:$G=C21,BBDD!$H:$H=F21,BBDD!$I:$I=G21),""NO TIENE PROCESO""))*D21"),10.823)</f>
        <v>10.823</v>
      </c>
      <c r="I21" s="46">
        <f t="shared" si="1"/>
        <v>11.5</v>
      </c>
      <c r="J21" s="46">
        <f>SUMIFS('👷horas'!$J:$J,'👷horas'!$D:$D,A21,'👷horas'!$E:$E,B21,'👷horas'!$F:$F,F21,'👷horas'!$G:$G,G21)</f>
        <v>11.5</v>
      </c>
      <c r="K21" s="47">
        <f>SUMIFS('👷horas'!$K:$K,'👷horas'!$D:$D,A21,'👷horas'!$E:$E,B21,'👷horas'!$F:$F,F21,'👷horas'!$G:$G,G21)</f>
        <v>0</v>
      </c>
      <c r="L21" s="48">
        <f t="shared" si="2"/>
        <v>0.8394160584</v>
      </c>
      <c r="M21" s="49">
        <f t="shared" si="3"/>
        <v>0</v>
      </c>
      <c r="N21" s="50">
        <f t="shared" si="4"/>
        <v>-0.06255197265</v>
      </c>
      <c r="O21" s="50">
        <f t="shared" si="5"/>
        <v>1</v>
      </c>
      <c r="P21" s="51" t="s">
        <v>193</v>
      </c>
      <c r="Q21" s="52" t="str">
        <f t="shared" si="6"/>
        <v>Terminado</v>
      </c>
      <c r="R21" s="52" t="str">
        <f>IFERROR(__xludf.DUMMYFUNCTION("SPARKLINE(O21,{""charttype"",""bar"";""max"",1;""color1"",IF(P21=""Terminado"",""#4CAF50"",IF(O21&gt;=0.5,""#FFA500"",""#F44336""))})"),"")</f>
        <v/>
      </c>
      <c r="S21" s="40"/>
      <c r="U21" s="40"/>
      <c r="V21" s="40"/>
      <c r="W21" s="40"/>
      <c r="X21" s="40"/>
      <c r="Y21" s="40"/>
      <c r="Z21" s="40"/>
      <c r="AA21" s="40"/>
    </row>
    <row r="22" ht="22.5" customHeight="1">
      <c r="A22" s="41" t="s">
        <v>133</v>
      </c>
      <c r="B22" s="41" t="s">
        <v>69</v>
      </c>
      <c r="C22" s="41" t="s">
        <v>67</v>
      </c>
      <c r="D22" s="42">
        <v>13.7</v>
      </c>
      <c r="E22" s="43">
        <v>46084.0</v>
      </c>
      <c r="F22" s="44" t="str">
        <f>IFERROR(__xludf.DUMMYFUNCTION("""COMPUTED_VALUE"""),"Fabricación")</f>
        <v>Fabricación</v>
      </c>
      <c r="G22" s="44" t="str">
        <f>IFERROR(__xludf.DUMMYFUNCTION("""COMPUTED_VALUE"""),"Colocación de perfiles")</f>
        <v>Colocación de perfiles</v>
      </c>
      <c r="H22" s="45">
        <f>IFERROR(__xludf.DUMMYFUNCTION("(IFERROR(FILTER(BBDD!$J:$J,BBDD!$G:$G=C22,BBDD!$H:$H=F22,BBDD!$I:$I=G22),""NO TIENE PROCESO""))*D22"),2.74)</f>
        <v>2.74</v>
      </c>
      <c r="I22" s="46">
        <f t="shared" si="1"/>
        <v>8.5</v>
      </c>
      <c r="J22" s="46">
        <f>SUMIFS('👷horas'!$J:$J,'👷horas'!$D:$D,A22,'👷horas'!$E:$E,B22,'👷horas'!$F:$F,F22,'👷horas'!$G:$G,G22)</f>
        <v>8.5</v>
      </c>
      <c r="K22" s="47">
        <f>SUMIFS('👷horas'!$K:$K,'👷horas'!$D:$D,A22,'👷horas'!$E:$E,B22,'👷horas'!$F:$F,F22,'👷horas'!$G:$G,G22)</f>
        <v>0</v>
      </c>
      <c r="L22" s="48">
        <f t="shared" si="2"/>
        <v>0.6204379562</v>
      </c>
      <c r="M22" s="49">
        <f t="shared" si="3"/>
        <v>0</v>
      </c>
      <c r="N22" s="50">
        <f t="shared" si="4"/>
        <v>-2.102189781</v>
      </c>
      <c r="O22" s="50">
        <f t="shared" si="5"/>
        <v>1</v>
      </c>
      <c r="P22" s="51" t="s">
        <v>193</v>
      </c>
      <c r="Q22" s="52" t="str">
        <f t="shared" si="6"/>
        <v>Terminado</v>
      </c>
      <c r="R22" s="52" t="str">
        <f>IFERROR(__xludf.DUMMYFUNCTION("SPARKLINE(O22,{""charttype"",""bar"";""max"",1;""color1"",IF(P22=""Terminado"",""#4CAF50"",IF(O22&gt;=0.5,""#FFA500"",""#F44336""))})"),"")</f>
        <v/>
      </c>
      <c r="S22" s="40"/>
      <c r="U22" s="40"/>
      <c r="V22" s="40"/>
      <c r="W22" s="40"/>
      <c r="X22" s="40"/>
      <c r="Y22" s="40"/>
      <c r="Z22" s="40"/>
      <c r="AA22" s="40"/>
    </row>
    <row r="23" ht="22.5" customHeight="1">
      <c r="A23" s="41" t="s">
        <v>133</v>
      </c>
      <c r="B23" s="41" t="s">
        <v>69</v>
      </c>
      <c r="C23" s="41" t="s">
        <v>67</v>
      </c>
      <c r="D23" s="42">
        <v>13.7</v>
      </c>
      <c r="E23" s="43">
        <v>46084.0</v>
      </c>
      <c r="F23" s="44" t="str">
        <f>IFERROR(__xludf.DUMMYFUNCTION("""COMPUTED_VALUE"""),"Fabricación")</f>
        <v>Fabricación</v>
      </c>
      <c r="G23" s="44" t="str">
        <f>IFERROR(__xludf.DUMMYFUNCTION("""COMPUTED_VALUE"""),"Embalaje/carga/descarga material")</f>
        <v>Embalaje/carga/descarga material</v>
      </c>
      <c r="H23" s="45">
        <f>IFERROR(__xludf.DUMMYFUNCTION("(IFERROR(FILTER(BBDD!$J:$J,BBDD!$G:$G=C23,BBDD!$H:$H=F23,BBDD!$I:$I=G23),""NO TIENE PROCESO""))*D23"),2.0549999999999997)</f>
        <v>2.055</v>
      </c>
      <c r="I23" s="46">
        <f t="shared" si="1"/>
        <v>0.1</v>
      </c>
      <c r="J23" s="46">
        <f>SUMIFS('👷horas'!$J:$J,'👷horas'!$D:$D,A23,'👷horas'!$E:$E,B23,'👷horas'!$F:$F,F23,'👷horas'!$G:$G,G23)</f>
        <v>0.1</v>
      </c>
      <c r="K23" s="47">
        <f>SUMIFS('👷horas'!$K:$K,'👷horas'!$D:$D,A23,'👷horas'!$E:$E,B23,'👷horas'!$F:$F,F23,'👷horas'!$G:$G,G23)</f>
        <v>0</v>
      </c>
      <c r="L23" s="48">
        <f t="shared" si="2"/>
        <v>0.007299270073</v>
      </c>
      <c r="M23" s="49">
        <f t="shared" si="3"/>
        <v>0</v>
      </c>
      <c r="N23" s="50">
        <f t="shared" si="4"/>
        <v>0.9513381995</v>
      </c>
      <c r="O23" s="50">
        <f t="shared" si="5"/>
        <v>1</v>
      </c>
      <c r="P23" s="51" t="s">
        <v>193</v>
      </c>
      <c r="Q23" s="52" t="str">
        <f t="shared" si="6"/>
        <v>Terminado</v>
      </c>
      <c r="R23" s="52" t="str">
        <f>IFERROR(__xludf.DUMMYFUNCTION("SPARKLINE(O23,{""charttype"",""bar"";""max"",1;""color1"",IF(P23=""Terminado"",""#4CAF50"",IF(O23&gt;=0.5,""#FFA500"",""#F44336""))})"),"")</f>
        <v/>
      </c>
      <c r="S23" s="40"/>
      <c r="T23" s="40"/>
      <c r="U23" s="40"/>
      <c r="V23" s="40"/>
      <c r="W23" s="40"/>
      <c r="X23" s="40"/>
      <c r="Y23" s="40"/>
      <c r="Z23" s="40"/>
      <c r="AA23" s="40"/>
    </row>
    <row r="24" ht="22.5" customHeight="1">
      <c r="A24" s="41" t="s">
        <v>133</v>
      </c>
      <c r="B24" s="41" t="s">
        <v>69</v>
      </c>
      <c r="C24" s="41" t="s">
        <v>67</v>
      </c>
      <c r="D24" s="42">
        <v>13.7</v>
      </c>
      <c r="E24" s="43">
        <v>46084.0</v>
      </c>
      <c r="F24" s="55" t="str">
        <f>IFERROR(__xludf.DUMMYFUNCTION("""COMPUTED_VALUE"""),"Pintura")</f>
        <v>Pintura</v>
      </c>
      <c r="G24" s="55" t="str">
        <f>IFERROR(__xludf.DUMMYFUNCTION("""COMPUTED_VALUE"""),"Lijado y/o Masillado")</f>
        <v>Lijado y/o Masillado</v>
      </c>
      <c r="H24" s="45">
        <f>IFERROR(__xludf.DUMMYFUNCTION("(IFERROR(FILTER(BBDD!$J:$J,BBDD!$G:$G=C24,BBDD!$H:$H=F24,BBDD!$I:$I=G24),""NO TIENE PROCESO""))*D24"),8.219999999999999)</f>
        <v>8.22</v>
      </c>
      <c r="I24" s="46">
        <f t="shared" si="1"/>
        <v>11</v>
      </c>
      <c r="J24" s="46">
        <f>SUMIFS('👷horas'!$J:$J,'👷horas'!$D:$D,A24,'👷horas'!$E:$E,B24,'👷horas'!$F:$F,F24,'👷horas'!$G:$G,G24)</f>
        <v>11</v>
      </c>
      <c r="K24" s="47">
        <f>SUMIFS('👷horas'!$K:$K,'👷horas'!$D:$D,A24,'👷horas'!$E:$E,B24,'👷horas'!$F:$F,F24,'👷horas'!$G:$G,G24)</f>
        <v>0</v>
      </c>
      <c r="L24" s="48">
        <f t="shared" si="2"/>
        <v>0.802919708</v>
      </c>
      <c r="M24" s="49">
        <f t="shared" si="3"/>
        <v>0</v>
      </c>
      <c r="N24" s="50">
        <f t="shared" si="4"/>
        <v>-0.3381995134</v>
      </c>
      <c r="O24" s="50">
        <f t="shared" si="5"/>
        <v>1</v>
      </c>
      <c r="P24" s="51" t="s">
        <v>193</v>
      </c>
      <c r="Q24" s="52" t="str">
        <f t="shared" si="6"/>
        <v>Terminado</v>
      </c>
      <c r="R24" s="52" t="str">
        <f>IFERROR(__xludf.DUMMYFUNCTION("SPARKLINE(O24,{""charttype"",""bar"";""max"",1;""color1"",IF(P24=""Terminado"",""#4CAF50"",IF(O24&gt;=0.5,""#FFA500"",""#F44336""))})"),"")</f>
        <v/>
      </c>
      <c r="S24" s="40"/>
      <c r="T24" s="40"/>
      <c r="U24" s="40"/>
      <c r="V24" s="40"/>
      <c r="W24" s="40"/>
      <c r="X24" s="40"/>
      <c r="Y24" s="40"/>
      <c r="Z24" s="40"/>
      <c r="AA24" s="40"/>
    </row>
    <row r="25" ht="22.5" customHeight="1">
      <c r="A25" s="41" t="s">
        <v>133</v>
      </c>
      <c r="B25" s="41" t="s">
        <v>69</v>
      </c>
      <c r="C25" s="41" t="s">
        <v>67</v>
      </c>
      <c r="D25" s="42">
        <v>13.7</v>
      </c>
      <c r="E25" s="43">
        <v>46084.0</v>
      </c>
      <c r="F25" s="44" t="str">
        <f>IFERROR(__xludf.DUMMYFUNCTION("""COMPUTED_VALUE"""),"Pintura")</f>
        <v>Pintura</v>
      </c>
      <c r="G25" s="44" t="str">
        <f>IFERROR(__xludf.DUMMYFUNCTION("""COMPUTED_VALUE"""),"Imprimación/Pintura")</f>
        <v>Imprimación/Pintura</v>
      </c>
      <c r="H25" s="45">
        <f>IFERROR(__xludf.DUMMYFUNCTION("(IFERROR(FILTER(BBDD!$J:$J,BBDD!$G:$G=C25,BBDD!$H:$H=F25,BBDD!$I:$I=G25),""NO TIENE PROCESO""))*D25"),5.48)</f>
        <v>5.48</v>
      </c>
      <c r="I25" s="46">
        <f t="shared" si="1"/>
        <v>4</v>
      </c>
      <c r="J25" s="46">
        <f>SUMIFS('👷horas'!$J:$J,'👷horas'!$D:$D,A25,'👷horas'!$E:$E,B25,'👷horas'!$F:$F,F25,'👷horas'!$G:$G,G25)</f>
        <v>4</v>
      </c>
      <c r="K25" s="47">
        <f>SUMIFS('👷horas'!$K:$K,'👷horas'!$D:$D,A25,'👷horas'!$E:$E,B25,'👷horas'!$F:$F,F25,'👷horas'!$G:$G,G25)</f>
        <v>0</v>
      </c>
      <c r="L25" s="48">
        <f t="shared" si="2"/>
        <v>0.2919708029</v>
      </c>
      <c r="M25" s="49">
        <f t="shared" si="3"/>
        <v>0</v>
      </c>
      <c r="N25" s="50">
        <f t="shared" si="4"/>
        <v>0.2700729927</v>
      </c>
      <c r="O25" s="50">
        <f t="shared" si="5"/>
        <v>1</v>
      </c>
      <c r="P25" s="51" t="s">
        <v>193</v>
      </c>
      <c r="Q25" s="52" t="str">
        <f t="shared" si="6"/>
        <v>Terminado</v>
      </c>
      <c r="R25" s="52" t="str">
        <f>IFERROR(__xludf.DUMMYFUNCTION("SPARKLINE(O25,{""charttype"",""bar"";""max"",1;""color1"",IF(P25=""Terminado"",""#4CAF50"",IF(O25&gt;=0.5,""#FFA500"",""#F44336""))})"),"")</f>
        <v/>
      </c>
      <c r="S25" s="40"/>
      <c r="T25" s="40"/>
      <c r="U25" s="40"/>
      <c r="V25" s="40"/>
      <c r="W25" s="40"/>
      <c r="X25" s="40"/>
      <c r="Y25" s="40"/>
      <c r="Z25" s="40"/>
      <c r="AA25" s="40"/>
    </row>
    <row r="26" ht="22.5" customHeight="1">
      <c r="A26" s="41" t="s">
        <v>133</v>
      </c>
      <c r="B26" s="41" t="s">
        <v>39</v>
      </c>
      <c r="C26" s="41" t="s">
        <v>135</v>
      </c>
      <c r="D26" s="42">
        <v>12.24</v>
      </c>
      <c r="E26" s="43">
        <v>46084.0</v>
      </c>
      <c r="F26" s="44" t="str">
        <f>IFERROR(__xludf.DUMMYFUNCTION("FILTER(BBDD!H:H,BBDD!G:G=C26)"),"Fabricación")</f>
        <v>Fabricación</v>
      </c>
      <c r="G26" s="54" t="str">
        <f>IFERROR(__xludf.DUMMYFUNCTION("FILTER(BBDD!I:I,BBDD!G:G=C26)"),"Pegado de composite/chapa")</f>
        <v>Pegado de composite/chapa</v>
      </c>
      <c r="H26" s="45">
        <f>IFERROR(__xludf.DUMMYFUNCTION("(IFERROR(FILTER(BBDD!$J:$J,BBDD!$G:$G=C26,BBDD!$H:$H=F26,BBDD!$I:$I=G26),""NO TIENE PROCESO""))*D26"),6.364800000000001)</f>
        <v>6.3648</v>
      </c>
      <c r="I26" s="46">
        <f t="shared" si="1"/>
        <v>0</v>
      </c>
      <c r="J26" s="46">
        <f>SUMIFS('👷horas'!$J:$J,'👷horas'!$D:$D,A26,'👷horas'!$E:$E,B26,'👷horas'!$F:$F,F26,'👷horas'!$G:$G,G26)</f>
        <v>0</v>
      </c>
      <c r="K26" s="47">
        <f>SUMIFS('👷horas'!$K:$K,'👷horas'!$D:$D,A26,'👷horas'!$E:$E,B26,'👷horas'!$F:$F,F26,'👷horas'!$G:$G,G26)</f>
        <v>0</v>
      </c>
      <c r="L26" s="48">
        <f t="shared" si="2"/>
        <v>0</v>
      </c>
      <c r="M26" s="49">
        <f t="shared" si="3"/>
        <v>0</v>
      </c>
      <c r="N26" s="50">
        <f t="shared" si="4"/>
        <v>1</v>
      </c>
      <c r="O26" s="50">
        <f t="shared" si="5"/>
        <v>1</v>
      </c>
      <c r="P26" s="51" t="s">
        <v>193</v>
      </c>
      <c r="Q26" s="52" t="str">
        <f t="shared" si="6"/>
        <v>Terminado</v>
      </c>
      <c r="R26" s="52" t="str">
        <f>IFERROR(__xludf.DUMMYFUNCTION("SPARKLINE(O26,{""charttype"",""bar"";""max"",1;""color1"",IF(P26=""Terminado"",""#4CAF50"",IF(O26&gt;=0.5,""#FFA500"",""#F44336""))})"),"")</f>
        <v/>
      </c>
      <c r="S26" s="40"/>
      <c r="T26" s="40"/>
      <c r="U26" s="40"/>
      <c r="V26" s="40"/>
      <c r="W26" s="40"/>
      <c r="X26" s="40"/>
      <c r="Y26" s="40"/>
      <c r="Z26" s="40"/>
      <c r="AA26" s="40"/>
    </row>
    <row r="27" ht="22.5" customHeight="1">
      <c r="A27" s="41" t="s">
        <v>133</v>
      </c>
      <c r="B27" s="41" t="s">
        <v>39</v>
      </c>
      <c r="C27" s="41" t="s">
        <v>135</v>
      </c>
      <c r="D27" s="42">
        <v>12.24</v>
      </c>
      <c r="E27" s="43">
        <v>46084.0</v>
      </c>
      <c r="F27" s="44" t="str">
        <f>IFERROR(__xludf.DUMMYFUNCTION("""COMPUTED_VALUE"""),"Fabricación")</f>
        <v>Fabricación</v>
      </c>
      <c r="G27" s="44" t="str">
        <f>IFERROR(__xludf.DUMMYFUNCTION("""COMPUTED_VALUE"""),"Embalaje/carga/descarga material")</f>
        <v>Embalaje/carga/descarga material</v>
      </c>
      <c r="H27" s="45">
        <f>IFERROR(__xludf.DUMMYFUNCTION("(IFERROR(FILTER(BBDD!$J:$J,BBDD!$G:$G=C27,BBDD!$H:$H=F27,BBDD!$I:$I=G27),""NO TIENE PROCESO""))*D27"),5.6304)</f>
        <v>5.6304</v>
      </c>
      <c r="I27" s="46">
        <f t="shared" si="1"/>
        <v>1</v>
      </c>
      <c r="J27" s="46">
        <f>SUMIFS('👷horas'!$J:$J,'👷horas'!$D:$D,A27,'👷horas'!$E:$E,B27,'👷horas'!$F:$F,F27,'👷horas'!$G:$G,G27)</f>
        <v>0</v>
      </c>
      <c r="K27" s="47">
        <f>SUMIFS('👷horas'!$K:$K,'👷horas'!$D:$D,A27,'👷horas'!$E:$E,B27,'👷horas'!$F:$F,F27,'👷horas'!$G:$G,G27)</f>
        <v>1</v>
      </c>
      <c r="L27" s="48">
        <f t="shared" si="2"/>
        <v>0.08169934641</v>
      </c>
      <c r="M27" s="49">
        <f t="shared" si="3"/>
        <v>0</v>
      </c>
      <c r="N27" s="50">
        <f t="shared" si="4"/>
        <v>0.8223927252</v>
      </c>
      <c r="O27" s="50">
        <f t="shared" si="5"/>
        <v>1</v>
      </c>
      <c r="P27" s="51" t="s">
        <v>193</v>
      </c>
      <c r="Q27" s="52" t="str">
        <f t="shared" si="6"/>
        <v>Terminado</v>
      </c>
      <c r="R27" s="52" t="str">
        <f>IFERROR(__xludf.DUMMYFUNCTION("SPARKLINE(O27,{""charttype"",""bar"";""max"",1;""color1"",IF(P27=""Terminado"",""#4CAF50"",IF(O27&gt;=0.5,""#FFA500"",""#F44336""))})"),"")</f>
        <v/>
      </c>
      <c r="S27" s="40"/>
      <c r="T27" s="40"/>
      <c r="U27" s="40"/>
      <c r="V27" s="40"/>
      <c r="W27" s="40"/>
      <c r="X27" s="40"/>
      <c r="Y27" s="40"/>
      <c r="Z27" s="40"/>
      <c r="AA27" s="40"/>
    </row>
    <row r="28" ht="22.5" customHeight="1">
      <c r="A28" s="41" t="s">
        <v>133</v>
      </c>
      <c r="B28" s="41" t="s">
        <v>39</v>
      </c>
      <c r="C28" s="41" t="s">
        <v>135</v>
      </c>
      <c r="D28" s="42">
        <v>12.24</v>
      </c>
      <c r="E28" s="43">
        <v>46084.0</v>
      </c>
      <c r="F28" s="54" t="str">
        <f>IFERROR(__xludf.DUMMYFUNCTION("""COMPUTED_VALUE"""),"CNC")</f>
        <v>CNC</v>
      </c>
      <c r="G28" s="54" t="str">
        <f>IFERROR(__xludf.DUMMYFUNCTION("""COMPUTED_VALUE"""),"CNC")</f>
        <v>CNC</v>
      </c>
      <c r="H28" s="45">
        <f>IFERROR(__xludf.DUMMYFUNCTION("(IFERROR(FILTER(BBDD!$J:$J,BBDD!$G:$G=C28,BBDD!$H:$H=F28,BBDD!$I:$I=G28),""NO TIENE PROCESO""))*D28"),4.5288)</f>
        <v>4.5288</v>
      </c>
      <c r="I28" s="46">
        <f t="shared" si="1"/>
        <v>2.1</v>
      </c>
      <c r="J28" s="46">
        <f>SUMIFS('👷horas'!$J:$J,'👷horas'!$D:$D,A28,'👷horas'!$E:$E,B28,'👷horas'!$F:$F,F28,'👷horas'!$G:$G,G28)</f>
        <v>2.1</v>
      </c>
      <c r="K28" s="47">
        <f>SUMIFS('👷horas'!$K:$K,'👷horas'!$D:$D,A28,'👷horas'!$E:$E,B28,'👷horas'!$F:$F,F28,'👷horas'!$G:$G,G28)</f>
        <v>0</v>
      </c>
      <c r="L28" s="48">
        <f t="shared" si="2"/>
        <v>0.1715686275</v>
      </c>
      <c r="M28" s="49">
        <f t="shared" si="3"/>
        <v>0</v>
      </c>
      <c r="N28" s="50">
        <f t="shared" si="4"/>
        <v>0.5363010069</v>
      </c>
      <c r="O28" s="50">
        <f t="shared" si="5"/>
        <v>1</v>
      </c>
      <c r="P28" s="51" t="s">
        <v>193</v>
      </c>
      <c r="Q28" s="52" t="str">
        <f t="shared" si="6"/>
        <v>Terminado</v>
      </c>
      <c r="R28" s="52" t="str">
        <f>IFERROR(__xludf.DUMMYFUNCTION("SPARKLINE(O28,{""charttype"",""bar"";""max"",1;""color1"",IF(P28=""Terminado"",""#4CAF50"",IF(O28&gt;=0.5,""#FFA500"",""#F44336""))})"),"")</f>
        <v/>
      </c>
      <c r="S28" s="40"/>
      <c r="T28" s="40"/>
      <c r="U28" s="40"/>
      <c r="V28" s="40"/>
      <c r="W28" s="40"/>
      <c r="X28" s="40"/>
      <c r="Y28" s="40"/>
      <c r="Z28" s="40"/>
      <c r="AA28" s="40"/>
    </row>
    <row r="29" ht="22.5" customHeight="1">
      <c r="A29" s="41" t="s">
        <v>133</v>
      </c>
      <c r="B29" s="41" t="s">
        <v>39</v>
      </c>
      <c r="C29" s="41" t="s">
        <v>135</v>
      </c>
      <c r="D29" s="42">
        <v>9.0</v>
      </c>
      <c r="E29" s="43">
        <v>46084.0</v>
      </c>
      <c r="F29" s="44" t="str">
        <f>IFERROR(__xludf.DUMMYFUNCTION("""COMPUTED_VALUE"""),"Fabricación")</f>
        <v>Fabricación</v>
      </c>
      <c r="G29" s="44" t="str">
        <f>IFERROR(__xludf.DUMMYFUNCTION("""COMPUTED_VALUE"""),"Ensamblaje")</f>
        <v>Ensamblaje</v>
      </c>
      <c r="H29" s="45">
        <f>IFERROR(__xludf.DUMMYFUNCTION("(IFERROR(FILTER(BBDD!$J:$J,BBDD!$G:$G=C29,BBDD!$H:$H=F29,BBDD!$I:$I=G29),""NO TIENE PROCESO""))*D29"),2.88)</f>
        <v>2.88</v>
      </c>
      <c r="I29" s="46">
        <f t="shared" si="1"/>
        <v>10.3</v>
      </c>
      <c r="J29" s="46">
        <f>SUMIFS('👷horas'!$J:$J,'👷horas'!$D:$D,A29,'👷horas'!$E:$E,B29,'👷horas'!$F:$F,F29,'👷horas'!$G:$G,G29)</f>
        <v>6.3</v>
      </c>
      <c r="K29" s="47">
        <f>SUMIFS('👷horas'!$K:$K,'👷horas'!$D:$D,A29,'👷horas'!$E:$E,B29,'👷horas'!$F:$F,F29,'👷horas'!$G:$G,G29)</f>
        <v>4</v>
      </c>
      <c r="L29" s="48">
        <f t="shared" si="2"/>
        <v>1.144444444</v>
      </c>
      <c r="M29" s="49">
        <f t="shared" si="3"/>
        <v>0</v>
      </c>
      <c r="N29" s="50">
        <f t="shared" si="4"/>
        <v>-2.576388889</v>
      </c>
      <c r="O29" s="50">
        <f t="shared" si="5"/>
        <v>1</v>
      </c>
      <c r="P29" s="51" t="s">
        <v>193</v>
      </c>
      <c r="Q29" s="52" t="str">
        <f t="shared" si="6"/>
        <v>Terminado</v>
      </c>
      <c r="R29" s="52" t="str">
        <f>IFERROR(__xludf.DUMMYFUNCTION("SPARKLINE(O29,{""charttype"",""bar"";""max"",1;""color1"",IF(P29=""Terminado"",""#4CAF50"",IF(O29&gt;=0.5,""#FFA500"",""#F44336""))})"),"")</f>
        <v/>
      </c>
      <c r="S29" s="40"/>
      <c r="T29" s="40"/>
      <c r="U29" s="40"/>
      <c r="V29" s="40"/>
      <c r="W29" s="40"/>
      <c r="X29" s="40"/>
      <c r="Y29" s="40"/>
      <c r="Z29" s="40"/>
      <c r="AA29" s="40"/>
    </row>
    <row r="30" ht="22.5" customHeight="1">
      <c r="A30" s="41" t="s">
        <v>133</v>
      </c>
      <c r="B30" s="41" t="s">
        <v>39</v>
      </c>
      <c r="C30" s="41" t="s">
        <v>135</v>
      </c>
      <c r="D30" s="42">
        <v>9.0</v>
      </c>
      <c r="E30" s="43">
        <v>46084.0</v>
      </c>
      <c r="F30" s="54" t="str">
        <f>IFERROR(__xludf.DUMMYFUNCTION("""COMPUTED_VALUE"""),"Fabricación")</f>
        <v>Fabricación</v>
      </c>
      <c r="G30" s="54" t="str">
        <f>IFERROR(__xludf.DUMMYFUNCTION("""COMPUTED_VALUE"""),"Colocación de perfiles")</f>
        <v>Colocación de perfiles</v>
      </c>
      <c r="H30" s="45">
        <f>IFERROR(__xludf.DUMMYFUNCTION("(IFERROR(FILTER(BBDD!$J:$J,BBDD!$G:$G=C30,BBDD!$H:$H=F30,BBDD!$I:$I=G30),""NO TIENE PROCESO""))*D30"),1.3499999999999999)</f>
        <v>1.35</v>
      </c>
      <c r="I30" s="46">
        <f t="shared" si="1"/>
        <v>7.333333333</v>
      </c>
      <c r="J30" s="46">
        <f>SUMIFS('👷horas'!$J:$J,'👷horas'!$D:$D,A30,'👷horas'!$E:$E,B30,'👷horas'!$F:$F,F30,'👷horas'!$G:$G,G30)</f>
        <v>6.833333333</v>
      </c>
      <c r="K30" s="47">
        <f>SUMIFS('👷horas'!$K:$K,'👷horas'!$D:$D,A30,'👷horas'!$E:$E,B30,'👷horas'!$F:$F,F30,'👷horas'!$G:$G,G30)</f>
        <v>0.5</v>
      </c>
      <c r="L30" s="48">
        <f t="shared" si="2"/>
        <v>0.8148148148</v>
      </c>
      <c r="M30" s="49">
        <f t="shared" si="3"/>
        <v>0</v>
      </c>
      <c r="N30" s="50">
        <f t="shared" si="4"/>
        <v>-4.432098765</v>
      </c>
      <c r="O30" s="50">
        <f t="shared" si="5"/>
        <v>1</v>
      </c>
      <c r="P30" s="51" t="s">
        <v>193</v>
      </c>
      <c r="Q30" s="52" t="str">
        <f t="shared" si="6"/>
        <v>Terminado</v>
      </c>
      <c r="R30" s="52" t="str">
        <f>IFERROR(__xludf.DUMMYFUNCTION("SPARKLINE(O30,{""charttype"",""bar"";""max"",1;""color1"",IF(P30=""Terminado"",""#4CAF50"",IF(O30&gt;=0.5,""#FFA500"",""#F44336""))})"),"")</f>
        <v/>
      </c>
      <c r="S30" s="40"/>
      <c r="T30" s="40"/>
      <c r="U30" s="40"/>
      <c r="V30" s="40"/>
      <c r="W30" s="40"/>
      <c r="X30" s="40"/>
      <c r="Y30" s="40"/>
      <c r="Z30" s="40"/>
      <c r="AA30" s="40"/>
    </row>
    <row r="31" ht="22.5" customHeight="1">
      <c r="A31" s="41" t="s">
        <v>133</v>
      </c>
      <c r="B31" s="41" t="s">
        <v>39</v>
      </c>
      <c r="C31" s="41" t="s">
        <v>135</v>
      </c>
      <c r="D31" s="42">
        <v>9.0</v>
      </c>
      <c r="E31" s="43">
        <v>46084.0</v>
      </c>
      <c r="F31" s="54" t="str">
        <f>IFERROR(__xludf.DUMMYFUNCTION("""COMPUTED_VALUE"""),"Pintura")</f>
        <v>Pintura</v>
      </c>
      <c r="G31" s="54" t="str">
        <f>IFERROR(__xludf.DUMMYFUNCTION("""COMPUTED_VALUE"""),"Imprimación/Pintura")</f>
        <v>Imprimación/Pintura</v>
      </c>
      <c r="H31" s="45">
        <f>IFERROR(__xludf.DUMMYFUNCTION("(IFERROR(FILTER(BBDD!$J:$J,BBDD!$G:$G=C31,BBDD!$H:$H=F31,BBDD!$I:$I=G31),""NO TIENE PROCESO""))*D31"),0.9)</f>
        <v>0.9</v>
      </c>
      <c r="I31" s="46">
        <f t="shared" si="1"/>
        <v>2</v>
      </c>
      <c r="J31" s="46">
        <f>SUMIFS('👷horas'!$J:$J,'👷horas'!$D:$D,A31,'👷horas'!$E:$E,B31,'👷horas'!$F:$F,F31,'👷horas'!$G:$G,G31)</f>
        <v>2</v>
      </c>
      <c r="K31" s="47">
        <f>SUMIFS('👷horas'!$K:$K,'👷horas'!$D:$D,A31,'👷horas'!$E:$E,B31,'👷horas'!$F:$F,F31,'👷horas'!$G:$G,G31)</f>
        <v>0</v>
      </c>
      <c r="L31" s="48">
        <f t="shared" si="2"/>
        <v>0.2222222222</v>
      </c>
      <c r="M31" s="49">
        <f t="shared" si="3"/>
        <v>0</v>
      </c>
      <c r="N31" s="50">
        <f t="shared" si="4"/>
        <v>-1.222222222</v>
      </c>
      <c r="O31" s="50">
        <f t="shared" si="5"/>
        <v>1</v>
      </c>
      <c r="P31" s="51" t="s">
        <v>193</v>
      </c>
      <c r="Q31" s="52" t="str">
        <f t="shared" si="6"/>
        <v>Terminado</v>
      </c>
      <c r="R31" s="52" t="str">
        <f>IFERROR(__xludf.DUMMYFUNCTION("SPARKLINE(O31,{""charttype"",""bar"";""max"",1;""color1"",IF(P31=""Terminado"",""#4CAF50"",IF(O31&gt;=0.5,""#FFA500"",""#F44336""))})"),"")</f>
        <v/>
      </c>
      <c r="S31" s="40"/>
      <c r="T31" s="40"/>
      <c r="U31" s="40"/>
      <c r="V31" s="40"/>
      <c r="W31" s="40"/>
      <c r="X31" s="40"/>
      <c r="Y31" s="40"/>
      <c r="Z31" s="40"/>
      <c r="AA31" s="40"/>
    </row>
    <row r="32" ht="22.5" customHeight="1">
      <c r="A32" s="56" t="s">
        <v>49</v>
      </c>
      <c r="B32" s="56" t="s">
        <v>156</v>
      </c>
      <c r="C32" s="56" t="s">
        <v>167</v>
      </c>
      <c r="D32" s="57">
        <v>1.3</v>
      </c>
      <c r="E32" s="43">
        <v>46087.0</v>
      </c>
      <c r="F32" s="44" t="str">
        <f>IFERROR(__xludf.DUMMYFUNCTION("FILTER(BBDD!H:H,BBDD!G:G=C32)"),"Fabricación")</f>
        <v>Fabricación</v>
      </c>
      <c r="G32" s="44" t="str">
        <f>IFERROR(__xludf.DUMMYFUNCTION("FILTER(BBDD!I:I,BBDD!G:G=C32)"),"Ensamblaje")</f>
        <v>Ensamblaje</v>
      </c>
      <c r="H32" s="45">
        <f>IFERROR(__xludf.DUMMYFUNCTION("(IFERROR(FILTER(BBDD!$J:$J,BBDD!$G:$G=C32,BBDD!$H:$H=F32,BBDD!$I:$I=G32),""NO TIENE PROCESO""))*D32"),0.325)</f>
        <v>0.325</v>
      </c>
      <c r="I32" s="46">
        <f t="shared" si="1"/>
        <v>13.5</v>
      </c>
      <c r="J32" s="46">
        <f>SUMIFS('👷horas'!$J:$J,'👷horas'!$D:$D,A32,'👷horas'!$E:$E,B32,'👷horas'!$F:$F,F32,'👷horas'!$G:$G,G32)</f>
        <v>13</v>
      </c>
      <c r="K32" s="47">
        <f>SUMIFS('👷horas'!$K:$K,'👷horas'!$D:$D,A32,'👷horas'!$E:$E,B32,'👷horas'!$F:$F,F32,'👷horas'!$G:$G,G32)</f>
        <v>0.5</v>
      </c>
      <c r="L32" s="48">
        <f t="shared" si="2"/>
        <v>10.38461538</v>
      </c>
      <c r="M32" s="49">
        <f t="shared" si="3"/>
        <v>0</v>
      </c>
      <c r="N32" s="50">
        <f t="shared" si="4"/>
        <v>-40.53846154</v>
      </c>
      <c r="O32" s="50">
        <f t="shared" si="5"/>
        <v>1</v>
      </c>
      <c r="P32" s="51" t="s">
        <v>193</v>
      </c>
      <c r="Q32" s="52" t="str">
        <f t="shared" si="6"/>
        <v>Terminado</v>
      </c>
      <c r="R32" s="52" t="str">
        <f>IFERROR(__xludf.DUMMYFUNCTION("SPARKLINE(O32,{""charttype"",""bar"";""max"",1;""color1"",IF(P32=""Terminado"",""#4CAF50"",IF(O32&gt;=0.5,""#FFA500"",""#F44336""))})"),"")</f>
        <v/>
      </c>
      <c r="S32" s="40"/>
      <c r="T32" s="40"/>
      <c r="U32" s="40"/>
      <c r="V32" s="40"/>
      <c r="W32" s="40"/>
      <c r="X32" s="40"/>
      <c r="Y32" s="40"/>
      <c r="Z32" s="40"/>
      <c r="AA32" s="40"/>
    </row>
    <row r="33" ht="22.5" customHeight="1">
      <c r="A33" s="56" t="s">
        <v>49</v>
      </c>
      <c r="B33" s="56" t="s">
        <v>156</v>
      </c>
      <c r="C33" s="56" t="s">
        <v>167</v>
      </c>
      <c r="D33" s="57">
        <v>1.3</v>
      </c>
      <c r="E33" s="43">
        <v>46087.0</v>
      </c>
      <c r="F33" s="54" t="str">
        <f>IFERROR(__xludf.DUMMYFUNCTION("""COMPUTED_VALUE"""),"Fabricación")</f>
        <v>Fabricación</v>
      </c>
      <c r="G33" s="54" t="str">
        <f>IFERROR(__xludf.DUMMYFUNCTION("""COMPUTED_VALUE"""),"Embalaje/carga/descarga material")</f>
        <v>Embalaje/carga/descarga material</v>
      </c>
      <c r="H33" s="45">
        <f>IFERROR(__xludf.DUMMYFUNCTION("(IFERROR(FILTER(BBDD!$J:$J,BBDD!$G:$G=C33,BBDD!$H:$H=F33,BBDD!$I:$I=G33),""NO TIENE PROCESO""))*D33"),0.065)</f>
        <v>0.065</v>
      </c>
      <c r="I33" s="46">
        <f t="shared" si="1"/>
        <v>6</v>
      </c>
      <c r="J33" s="46">
        <f>SUMIFS('👷horas'!$J:$J,'👷horas'!$D:$D,A33,'👷horas'!$E:$E,B33,'👷horas'!$F:$F,F33,'👷horas'!$G:$G,G33)</f>
        <v>6</v>
      </c>
      <c r="K33" s="47">
        <f>SUMIFS('👷horas'!$K:$K,'👷horas'!$D:$D,A33,'👷horas'!$E:$E,B33,'👷horas'!$F:$F,F33,'👷horas'!$G:$G,G33)</f>
        <v>0</v>
      </c>
      <c r="L33" s="48">
        <f t="shared" si="2"/>
        <v>4.615384615</v>
      </c>
      <c r="M33" s="49">
        <f t="shared" si="3"/>
        <v>0</v>
      </c>
      <c r="N33" s="50">
        <f t="shared" si="4"/>
        <v>-91.30769231</v>
      </c>
      <c r="O33" s="50">
        <f t="shared" si="5"/>
        <v>1</v>
      </c>
      <c r="P33" s="51" t="s">
        <v>193</v>
      </c>
      <c r="Q33" s="52" t="str">
        <f t="shared" si="6"/>
        <v>Terminado</v>
      </c>
      <c r="R33" s="52" t="str">
        <f>IFERROR(__xludf.DUMMYFUNCTION("SPARKLINE(O33,{""charttype"",""bar"";""max"",1;""color1"",IF(P33=""Terminado"",""#4CAF50"",IF(O33&gt;=0.5,""#FFA500"",""#F44336""))})"),"")</f>
        <v/>
      </c>
      <c r="S33" s="40"/>
      <c r="U33" s="40"/>
      <c r="V33" s="40"/>
      <c r="W33" s="40"/>
      <c r="X33" s="40"/>
      <c r="Y33" s="40"/>
      <c r="Z33" s="40"/>
      <c r="AA33" s="40"/>
    </row>
    <row r="34" ht="22.5" customHeight="1">
      <c r="A34" s="56" t="s">
        <v>49</v>
      </c>
      <c r="B34" s="56" t="s">
        <v>156</v>
      </c>
      <c r="C34" s="56" t="s">
        <v>167</v>
      </c>
      <c r="D34" s="57">
        <v>1.3</v>
      </c>
      <c r="E34" s="43">
        <v>46087.0</v>
      </c>
      <c r="F34" s="54" t="str">
        <f>IFERROR(__xludf.DUMMYFUNCTION("""COMPUTED_VALUE"""),"Fabricación")</f>
        <v>Fabricación</v>
      </c>
      <c r="G34" s="54" t="str">
        <f>IFERROR(__xludf.DUMMYFUNCTION("""COMPUTED_VALUE"""),"Corte manual")</f>
        <v>Corte manual</v>
      </c>
      <c r="H34" s="45">
        <f>IFERROR(__xludf.DUMMYFUNCTION("(IFERROR(FILTER(BBDD!$J:$J,BBDD!$G:$G=C34,BBDD!$H:$H=F34,BBDD!$I:$I=G34),""NO TIENE PROCESO""))*D34"),0.013000000000000001)</f>
        <v>0.013</v>
      </c>
      <c r="I34" s="46">
        <f t="shared" si="1"/>
        <v>15.5</v>
      </c>
      <c r="J34" s="46">
        <f>SUMIFS('👷horas'!$J:$J,'👷horas'!$D:$D,A34,'👷horas'!$E:$E,B34,'👷horas'!$F:$F,F34,'👷horas'!$G:$G,G34)</f>
        <v>15.5</v>
      </c>
      <c r="K34" s="47">
        <f>SUMIFS('👷horas'!$K:$K,'👷horas'!$D:$D,A34,'👷horas'!$E:$E,B34,'👷horas'!$F:$F,F34,'👷horas'!$G:$G,G34)</f>
        <v>0</v>
      </c>
      <c r="L34" s="48">
        <f t="shared" si="2"/>
        <v>11.92307692</v>
      </c>
      <c r="M34" s="49">
        <f t="shared" si="3"/>
        <v>0</v>
      </c>
      <c r="N34" s="50">
        <f t="shared" si="4"/>
        <v>-1191.307692</v>
      </c>
      <c r="O34" s="50">
        <f t="shared" si="5"/>
        <v>1</v>
      </c>
      <c r="P34" s="51" t="s">
        <v>193</v>
      </c>
      <c r="Q34" s="52" t="str">
        <f t="shared" si="6"/>
        <v>Terminado</v>
      </c>
      <c r="R34" s="52" t="str">
        <f>IFERROR(__xludf.DUMMYFUNCTION("SPARKLINE(O34,{""charttype"",""bar"";""max"",1;""color1"",IF(P34=""Terminado"",""#4CAF50"",IF(O34&gt;=0.5,""#FFA500"",""#F44336""))})"),"")</f>
        <v/>
      </c>
      <c r="S34" s="40"/>
      <c r="T34" s="40"/>
      <c r="U34" s="40"/>
      <c r="V34" s="40"/>
      <c r="W34" s="40"/>
      <c r="X34" s="40"/>
      <c r="Y34" s="40"/>
      <c r="Z34" s="40"/>
      <c r="AA34" s="40"/>
    </row>
    <row r="35" ht="22.5" customHeight="1">
      <c r="A35" s="56" t="s">
        <v>93</v>
      </c>
      <c r="B35" s="56" t="s">
        <v>62</v>
      </c>
      <c r="C35" s="56" t="s">
        <v>162</v>
      </c>
      <c r="D35" s="57">
        <v>36.0</v>
      </c>
      <c r="E35" s="43">
        <v>46097.0</v>
      </c>
      <c r="F35" s="44" t="str">
        <f>IFERROR(__xludf.DUMMYFUNCTION("FILTER(BBDD!H:H,BBDD!G:G=C35)"),"Fabricación")</f>
        <v>Fabricación</v>
      </c>
      <c r="G35" s="44" t="str">
        <f>IFERROR(__xludf.DUMMYFUNCTION("FILTER(BBDD!I:I,BBDD!G:G=C35)"),"Ensamblaje")</f>
        <v>Ensamblaje</v>
      </c>
      <c r="H35" s="45">
        <f>IFERROR(__xludf.DUMMYFUNCTION("(IFERROR(FILTER(BBDD!$J:$J,BBDD!$G:$G=C35,BBDD!$H:$H=F35,BBDD!$I:$I=G35),""NO TIENE PROCESO""))*D35"),32.4)</f>
        <v>32.4</v>
      </c>
      <c r="I35" s="46">
        <f t="shared" si="1"/>
        <v>32.9</v>
      </c>
      <c r="J35" s="46">
        <f>SUMIFS('👷horas'!$J:$J,'👷horas'!$D:$D,A35,'👷horas'!$E:$E,B35,'👷horas'!$F:$F,F35,'👷horas'!$G:$G,G35)</f>
        <v>28.9</v>
      </c>
      <c r="K35" s="47">
        <f>SUMIFS('👷horas'!$K:$K,'👷horas'!$D:$D,A35,'👷horas'!$E:$E,B35,'👷horas'!$F:$F,F35,'👷horas'!$G:$G,G35)</f>
        <v>4</v>
      </c>
      <c r="L35" s="48">
        <f t="shared" si="2"/>
        <v>0.9138888889</v>
      </c>
      <c r="M35" s="49">
        <f t="shared" si="3"/>
        <v>0</v>
      </c>
      <c r="N35" s="50">
        <f t="shared" si="4"/>
        <v>-0.01543209877</v>
      </c>
      <c r="O35" s="50">
        <f t="shared" si="5"/>
        <v>1</v>
      </c>
      <c r="P35" s="51" t="s">
        <v>193</v>
      </c>
      <c r="Q35" s="52" t="str">
        <f t="shared" si="6"/>
        <v>Terminado</v>
      </c>
      <c r="R35" s="52" t="str">
        <f>IFERROR(__xludf.DUMMYFUNCTION("SPARKLINE(O35,{""charttype"",""bar"";""max"",1;""color1"",IF(P35=""Terminado"",""#4CAF50"",IF(O35&gt;=0.5,""#FFA500"",""#F44336""))})"),"")</f>
        <v/>
      </c>
      <c r="S35" s="40"/>
      <c r="T35" s="40"/>
      <c r="U35" s="40"/>
      <c r="V35" s="40"/>
      <c r="W35" s="40"/>
      <c r="X35" s="40"/>
      <c r="Y35" s="40"/>
      <c r="Z35" s="40"/>
      <c r="AA35" s="40"/>
    </row>
    <row r="36" ht="22.5" customHeight="1">
      <c r="A36" s="56" t="s">
        <v>93</v>
      </c>
      <c r="B36" s="56" t="s">
        <v>62</v>
      </c>
      <c r="C36" s="56" t="s">
        <v>162</v>
      </c>
      <c r="D36" s="57">
        <v>36.0</v>
      </c>
      <c r="E36" s="43">
        <v>46097.0</v>
      </c>
      <c r="F36" s="54" t="str">
        <f>IFERROR(__xludf.DUMMYFUNCTION("""COMPUTED_VALUE"""),"Fabricación")</f>
        <v>Fabricación</v>
      </c>
      <c r="G36" s="54" t="str">
        <f>IFERROR(__xludf.DUMMYFUNCTION("""COMPUTED_VALUE"""),"Embalaje/carga/descarga material")</f>
        <v>Embalaje/carga/descarga material</v>
      </c>
      <c r="H36" s="45">
        <f>IFERROR(__xludf.DUMMYFUNCTION("(IFERROR(FILTER(BBDD!$J:$J,BBDD!$G:$G=C36,BBDD!$H:$H=F36,BBDD!$I:$I=G36),""NO TIENE PROCESO""))*D36"),6.12)</f>
        <v>6.12</v>
      </c>
      <c r="I36" s="46">
        <f t="shared" si="1"/>
        <v>2</v>
      </c>
      <c r="J36" s="46">
        <f>SUMIFS('👷horas'!$J:$J,'👷horas'!$D:$D,A36,'👷horas'!$E:$E,B36,'👷horas'!$F:$F,F36,'👷horas'!$G:$G,G36)</f>
        <v>2</v>
      </c>
      <c r="K36" s="47">
        <f>SUMIFS('👷horas'!$K:$K,'👷horas'!$D:$D,A36,'👷horas'!$E:$E,B36,'👷horas'!$F:$F,F36,'👷horas'!$G:$G,G36)</f>
        <v>0</v>
      </c>
      <c r="L36" s="48">
        <f t="shared" si="2"/>
        <v>0.05555555556</v>
      </c>
      <c r="M36" s="49">
        <f t="shared" si="3"/>
        <v>0</v>
      </c>
      <c r="N36" s="50">
        <f t="shared" si="4"/>
        <v>0.6732026144</v>
      </c>
      <c r="O36" s="50">
        <f t="shared" si="5"/>
        <v>1</v>
      </c>
      <c r="P36" s="51" t="s">
        <v>193</v>
      </c>
      <c r="Q36" s="52" t="str">
        <f t="shared" si="6"/>
        <v>Terminado</v>
      </c>
      <c r="R36" s="52" t="str">
        <f>IFERROR(__xludf.DUMMYFUNCTION("SPARKLINE(O36,{""charttype"",""bar"";""max"",1;""color1"",IF(P36=""Terminado"",""#4CAF50"",IF(O36&gt;=0.5,""#FFA500"",""#F44336""))})"),"")</f>
        <v/>
      </c>
      <c r="S36" s="40"/>
      <c r="T36" s="40"/>
      <c r="U36" s="40"/>
      <c r="V36" s="40"/>
      <c r="W36" s="40"/>
      <c r="X36" s="40"/>
      <c r="Y36" s="40"/>
      <c r="Z36" s="40"/>
      <c r="AA36" s="40"/>
    </row>
    <row r="37" ht="22.5" customHeight="1">
      <c r="A37" s="41" t="s">
        <v>91</v>
      </c>
      <c r="B37" s="41" t="s">
        <v>39</v>
      </c>
      <c r="C37" s="56" t="s">
        <v>135</v>
      </c>
      <c r="D37" s="58">
        <v>12.24</v>
      </c>
      <c r="E37" s="43">
        <v>46097.0</v>
      </c>
      <c r="F37" s="44" t="str">
        <f>IFERROR(__xludf.DUMMYFUNCTION("FILTER(BBDD!H:H,BBDD!G:G=C37)"),"Fabricación")</f>
        <v>Fabricación</v>
      </c>
      <c r="G37" s="54" t="str">
        <f>IFERROR(__xludf.DUMMYFUNCTION("FILTER(BBDD!I:I,BBDD!G:G=C37)"),"Pegado de composite/chapa")</f>
        <v>Pegado de composite/chapa</v>
      </c>
      <c r="H37" s="45">
        <f>IFERROR(__xludf.DUMMYFUNCTION("(IFERROR(FILTER(BBDD!$J:$J,BBDD!$G:$G=C37,BBDD!$H:$H=F37,BBDD!$I:$I=G37),""NO TIENE PROCESO""))*D37"),6.364800000000001)</f>
        <v>6.3648</v>
      </c>
      <c r="I37" s="46">
        <f t="shared" si="1"/>
        <v>6</v>
      </c>
      <c r="J37" s="46">
        <f>SUMIFS('👷horas'!$J:$J,'👷horas'!$D:$D,A37,'👷horas'!$E:$E,B37,'👷horas'!$F:$F,F37,'👷horas'!$G:$G,G37)</f>
        <v>6</v>
      </c>
      <c r="K37" s="47">
        <f>SUMIFS('👷horas'!$K:$K,'👷horas'!$D:$D,A37,'👷horas'!$E:$E,B37,'👷horas'!$F:$F,F37,'👷horas'!$G:$G,G37)</f>
        <v>0</v>
      </c>
      <c r="L37" s="48">
        <f t="shared" si="2"/>
        <v>0.4901960784</v>
      </c>
      <c r="M37" s="49">
        <f t="shared" si="3"/>
        <v>0</v>
      </c>
      <c r="N37" s="50">
        <f t="shared" si="4"/>
        <v>0.05731523379</v>
      </c>
      <c r="O37" s="50">
        <f t="shared" si="5"/>
        <v>1</v>
      </c>
      <c r="P37" s="51" t="s">
        <v>193</v>
      </c>
      <c r="Q37" s="52" t="str">
        <f t="shared" si="6"/>
        <v>Terminado</v>
      </c>
      <c r="R37" s="52" t="str">
        <f>IFERROR(__xludf.DUMMYFUNCTION("SPARKLINE(O37,{""charttype"",""bar"";""max"",1;""color1"",IF(P37=""Terminado"",""#4CAF50"",IF(O37&gt;=0.5,""#FFA500"",""#F44336""))})"),"")</f>
        <v/>
      </c>
      <c r="S37" s="40"/>
      <c r="T37" s="40"/>
      <c r="U37" s="40"/>
      <c r="V37" s="40"/>
      <c r="W37" s="40"/>
      <c r="X37" s="40"/>
      <c r="Y37" s="40"/>
      <c r="Z37" s="40"/>
      <c r="AA37" s="40"/>
    </row>
    <row r="38" ht="22.5" customHeight="1">
      <c r="A38" s="41" t="s">
        <v>91</v>
      </c>
      <c r="B38" s="41" t="s">
        <v>39</v>
      </c>
      <c r="C38" s="56" t="s">
        <v>135</v>
      </c>
      <c r="D38" s="58">
        <v>12.24</v>
      </c>
      <c r="E38" s="43">
        <v>46097.0</v>
      </c>
      <c r="F38" s="54" t="str">
        <f>IFERROR(__xludf.DUMMYFUNCTION("""COMPUTED_VALUE"""),"Fabricación")</f>
        <v>Fabricación</v>
      </c>
      <c r="G38" s="54" t="str">
        <f>IFERROR(__xludf.DUMMYFUNCTION("""COMPUTED_VALUE"""),"Embalaje/carga/descarga material")</f>
        <v>Embalaje/carga/descarga material</v>
      </c>
      <c r="H38" s="45">
        <f>IFERROR(__xludf.DUMMYFUNCTION("(IFERROR(FILTER(BBDD!$J:$J,BBDD!$G:$G=C38,BBDD!$H:$H=F38,BBDD!$I:$I=G38),""NO TIENE PROCESO""))*D38"),5.6304)</f>
        <v>5.6304</v>
      </c>
      <c r="I38" s="46">
        <f t="shared" si="1"/>
        <v>3.5</v>
      </c>
      <c r="J38" s="46">
        <f>SUMIFS('👷horas'!$J:$J,'👷horas'!$D:$D,A38,'👷horas'!$E:$E,B38,'👷horas'!$F:$F,F38,'👷horas'!$G:$G,G38)</f>
        <v>3.5</v>
      </c>
      <c r="K38" s="47">
        <f>SUMIFS('👷horas'!$K:$K,'👷horas'!$D:$D,A38,'👷horas'!$E:$E,B38,'👷horas'!$F:$F,F38,'👷horas'!$G:$G,G38)</f>
        <v>0</v>
      </c>
      <c r="L38" s="48">
        <f t="shared" si="2"/>
        <v>0.2859477124</v>
      </c>
      <c r="M38" s="49">
        <f t="shared" si="3"/>
        <v>0</v>
      </c>
      <c r="N38" s="50">
        <f t="shared" si="4"/>
        <v>0.3783745382</v>
      </c>
      <c r="O38" s="50">
        <f t="shared" si="5"/>
        <v>1</v>
      </c>
      <c r="P38" s="51" t="s">
        <v>193</v>
      </c>
      <c r="Q38" s="52" t="str">
        <f t="shared" si="6"/>
        <v>Terminado</v>
      </c>
      <c r="R38" s="52" t="str">
        <f>IFERROR(__xludf.DUMMYFUNCTION("SPARKLINE(O38,{""charttype"",""bar"";""max"",1;""color1"",IF(P38=""Terminado"",""#4CAF50"",IF(O38&gt;=0.5,""#FFA500"",""#F44336""))})"),"")</f>
        <v/>
      </c>
      <c r="S38" s="40"/>
      <c r="T38" s="40"/>
      <c r="U38" s="40"/>
      <c r="V38" s="40"/>
      <c r="W38" s="40"/>
      <c r="X38" s="40"/>
      <c r="Y38" s="40"/>
      <c r="Z38" s="40"/>
      <c r="AA38" s="40"/>
    </row>
    <row r="39" ht="22.5" customHeight="1">
      <c r="A39" s="41" t="s">
        <v>91</v>
      </c>
      <c r="B39" s="41" t="s">
        <v>39</v>
      </c>
      <c r="C39" s="56" t="s">
        <v>135</v>
      </c>
      <c r="D39" s="58">
        <v>12.24</v>
      </c>
      <c r="E39" s="43">
        <v>46097.0</v>
      </c>
      <c r="F39" s="54" t="str">
        <f>IFERROR(__xludf.DUMMYFUNCTION("""COMPUTED_VALUE"""),"CNC")</f>
        <v>CNC</v>
      </c>
      <c r="G39" s="54" t="str">
        <f>IFERROR(__xludf.DUMMYFUNCTION("""COMPUTED_VALUE"""),"CNC")</f>
        <v>CNC</v>
      </c>
      <c r="H39" s="45">
        <f>IFERROR(__xludf.DUMMYFUNCTION("(IFERROR(FILTER(BBDD!$J:$J,BBDD!$G:$G=C39,BBDD!$H:$H=F39,BBDD!$I:$I=G39),""NO TIENE PROCESO""))*D39"),4.5288)</f>
        <v>4.5288</v>
      </c>
      <c r="I39" s="46">
        <f t="shared" si="1"/>
        <v>2.041666667</v>
      </c>
      <c r="J39" s="46">
        <f>SUMIFS('👷horas'!$J:$J,'👷horas'!$D:$D,A39,'👷horas'!$E:$E,B39,'👷horas'!$F:$F,F39,'👷horas'!$G:$G,G39)</f>
        <v>2.041666667</v>
      </c>
      <c r="K39" s="47">
        <f>SUMIFS('👷horas'!$K:$K,'👷horas'!$D:$D,A39,'👷horas'!$E:$E,B39,'👷horas'!$F:$F,F39,'👷horas'!$G:$G,G39)</f>
        <v>0</v>
      </c>
      <c r="L39" s="48">
        <f t="shared" si="2"/>
        <v>0.1668028322</v>
      </c>
      <c r="M39" s="49">
        <f t="shared" si="3"/>
        <v>0</v>
      </c>
      <c r="N39" s="50">
        <f t="shared" si="4"/>
        <v>0.5491815345</v>
      </c>
      <c r="O39" s="50">
        <f t="shared" si="5"/>
        <v>1</v>
      </c>
      <c r="P39" s="51" t="s">
        <v>193</v>
      </c>
      <c r="Q39" s="52" t="str">
        <f t="shared" si="6"/>
        <v>Terminado</v>
      </c>
      <c r="R39" s="52" t="str">
        <f>IFERROR(__xludf.DUMMYFUNCTION("SPARKLINE(O39,{""charttype"",""bar"";""max"",1;""color1"",IF(P39=""Terminado"",""#4CAF50"",IF(O39&gt;=0.5,""#FFA500"",""#F44336""))})"),"")</f>
        <v/>
      </c>
      <c r="S39" s="40"/>
      <c r="T39" s="40"/>
      <c r="U39" s="40"/>
      <c r="V39" s="40"/>
      <c r="W39" s="40"/>
      <c r="X39" s="40"/>
      <c r="Y39" s="40"/>
      <c r="Z39" s="40"/>
      <c r="AA39" s="40"/>
    </row>
    <row r="40" ht="22.5" customHeight="1">
      <c r="A40" s="41" t="s">
        <v>91</v>
      </c>
      <c r="B40" s="41" t="s">
        <v>39</v>
      </c>
      <c r="C40" s="56" t="s">
        <v>135</v>
      </c>
      <c r="D40" s="57">
        <v>9.0</v>
      </c>
      <c r="E40" s="43">
        <v>46097.0</v>
      </c>
      <c r="F40" s="44" t="str">
        <f>IFERROR(__xludf.DUMMYFUNCTION("""COMPUTED_VALUE"""),"Fabricación")</f>
        <v>Fabricación</v>
      </c>
      <c r="G40" s="44" t="str">
        <f>IFERROR(__xludf.DUMMYFUNCTION("""COMPUTED_VALUE"""),"Ensamblaje")</f>
        <v>Ensamblaje</v>
      </c>
      <c r="H40" s="45">
        <f>IFERROR(__xludf.DUMMYFUNCTION("(IFERROR(FILTER(BBDD!$J:$J,BBDD!$G:$G=C40,BBDD!$H:$H=F40,BBDD!$I:$I=G40),""NO TIENE PROCESO""))*D40"),2.88)</f>
        <v>2.88</v>
      </c>
      <c r="I40" s="46">
        <f t="shared" si="1"/>
        <v>3.7</v>
      </c>
      <c r="J40" s="46">
        <f>SUMIFS('👷horas'!$J:$J,'👷horas'!$D:$D,A40,'👷horas'!$E:$E,B40,'👷horas'!$F:$F,F40,'👷horas'!$G:$G,G40)</f>
        <v>3.7</v>
      </c>
      <c r="K40" s="47">
        <f>SUMIFS('👷horas'!$K:$K,'👷horas'!$D:$D,A40,'👷horas'!$E:$E,B40,'👷horas'!$F:$F,F40,'👷horas'!$G:$G,G40)</f>
        <v>0</v>
      </c>
      <c r="L40" s="48">
        <f t="shared" si="2"/>
        <v>0.4111111111</v>
      </c>
      <c r="M40" s="49">
        <f t="shared" si="3"/>
        <v>0</v>
      </c>
      <c r="N40" s="50">
        <f t="shared" si="4"/>
        <v>-0.2847222222</v>
      </c>
      <c r="O40" s="50">
        <f t="shared" si="5"/>
        <v>1</v>
      </c>
      <c r="P40" s="51" t="s">
        <v>193</v>
      </c>
      <c r="Q40" s="52" t="str">
        <f t="shared" si="6"/>
        <v>Terminado</v>
      </c>
      <c r="R40" s="52" t="str">
        <f>IFERROR(__xludf.DUMMYFUNCTION("SPARKLINE(O40,{""charttype"",""bar"";""max"",1;""color1"",IF(P40=""Terminado"",""#4CAF50"",IF(O40&gt;=0.5,""#FFA500"",""#F44336""))})"),"")</f>
        <v/>
      </c>
      <c r="S40" s="40"/>
      <c r="T40" s="40"/>
      <c r="U40" s="40"/>
      <c r="V40" s="40"/>
      <c r="W40" s="40"/>
      <c r="X40" s="40"/>
      <c r="Y40" s="40"/>
      <c r="Z40" s="40"/>
      <c r="AA40" s="40"/>
    </row>
    <row r="41" ht="22.5" customHeight="1">
      <c r="A41" s="41" t="s">
        <v>91</v>
      </c>
      <c r="B41" s="41" t="s">
        <v>39</v>
      </c>
      <c r="C41" s="56" t="s">
        <v>135</v>
      </c>
      <c r="D41" s="57">
        <v>9.0</v>
      </c>
      <c r="E41" s="43">
        <v>46097.0</v>
      </c>
      <c r="F41" s="54" t="str">
        <f>IFERROR(__xludf.DUMMYFUNCTION("""COMPUTED_VALUE"""),"Fabricación")</f>
        <v>Fabricación</v>
      </c>
      <c r="G41" s="54" t="str">
        <f>IFERROR(__xludf.DUMMYFUNCTION("""COMPUTED_VALUE"""),"Colocación de perfiles")</f>
        <v>Colocación de perfiles</v>
      </c>
      <c r="H41" s="45">
        <f>IFERROR(__xludf.DUMMYFUNCTION("(IFERROR(FILTER(BBDD!$J:$J,BBDD!$G:$G=C41,BBDD!$H:$H=F41,BBDD!$I:$I=G41),""NO TIENE PROCESO""))*D41"),1.3499999999999999)</f>
        <v>1.35</v>
      </c>
      <c r="I41" s="46">
        <f t="shared" si="1"/>
        <v>4</v>
      </c>
      <c r="J41" s="46">
        <f>SUMIFS('👷horas'!$J:$J,'👷horas'!$D:$D,A41,'👷horas'!$E:$E,B41,'👷horas'!$F:$F,F41,'👷horas'!$G:$G,G41)</f>
        <v>2</v>
      </c>
      <c r="K41" s="47">
        <f>SUMIFS('👷horas'!$K:$K,'👷horas'!$D:$D,A41,'👷horas'!$E:$E,B41,'👷horas'!$F:$F,F41,'👷horas'!$G:$G,G41)</f>
        <v>2</v>
      </c>
      <c r="L41" s="48">
        <f t="shared" si="2"/>
        <v>0.4444444444</v>
      </c>
      <c r="M41" s="49">
        <f t="shared" si="3"/>
        <v>0</v>
      </c>
      <c r="N41" s="50">
        <f t="shared" si="4"/>
        <v>-1.962962963</v>
      </c>
      <c r="O41" s="50">
        <f t="shared" si="5"/>
        <v>1</v>
      </c>
      <c r="P41" s="51" t="s">
        <v>193</v>
      </c>
      <c r="Q41" s="52" t="str">
        <f t="shared" si="6"/>
        <v>Terminado</v>
      </c>
      <c r="R41" s="52" t="str">
        <f>IFERROR(__xludf.DUMMYFUNCTION("SPARKLINE(O41,{""charttype"",""bar"";""max"",1;""color1"",IF(P41=""Terminado"",""#4CAF50"",IF(O41&gt;=0.5,""#FFA500"",""#F44336""))})"),"")</f>
        <v/>
      </c>
      <c r="S41" s="40"/>
      <c r="T41" s="40"/>
      <c r="U41" s="40"/>
      <c r="V41" s="40"/>
      <c r="W41" s="40"/>
      <c r="X41" s="40"/>
      <c r="Y41" s="40"/>
      <c r="Z41" s="40"/>
      <c r="AA41" s="40"/>
    </row>
    <row r="42" ht="22.5" customHeight="1">
      <c r="A42" s="41" t="s">
        <v>91</v>
      </c>
      <c r="B42" s="41" t="s">
        <v>39</v>
      </c>
      <c r="C42" s="56" t="s">
        <v>135</v>
      </c>
      <c r="D42" s="57">
        <v>9.0</v>
      </c>
      <c r="E42" s="43">
        <v>46097.0</v>
      </c>
      <c r="F42" s="54" t="str">
        <f>IFERROR(__xludf.DUMMYFUNCTION("""COMPUTED_VALUE"""),"Pintura")</f>
        <v>Pintura</v>
      </c>
      <c r="G42" s="54" t="str">
        <f>IFERROR(__xludf.DUMMYFUNCTION("""COMPUTED_VALUE"""),"Imprimación/Pintura")</f>
        <v>Imprimación/Pintura</v>
      </c>
      <c r="H42" s="45">
        <f>IFERROR(__xludf.DUMMYFUNCTION("(IFERROR(FILTER(BBDD!$J:$J,BBDD!$G:$G=C42,BBDD!$H:$H=F42,BBDD!$I:$I=G42),""NO TIENE PROCESO""))*D42"),0.9)</f>
        <v>0.9</v>
      </c>
      <c r="I42" s="46">
        <f t="shared" si="1"/>
        <v>0.9</v>
      </c>
      <c r="J42" s="46">
        <f>SUMIFS('👷horas'!$J:$J,'👷horas'!$D:$D,A42,'👷horas'!$E:$E,B42,'👷horas'!$F:$F,F42,'👷horas'!$G:$G,G42)</f>
        <v>0.9</v>
      </c>
      <c r="K42" s="47">
        <f>SUMIFS('👷horas'!$K:$K,'👷horas'!$D:$D,A42,'👷horas'!$E:$E,B42,'👷horas'!$F:$F,F42,'👷horas'!$G:$G,G42)</f>
        <v>0</v>
      </c>
      <c r="L42" s="48">
        <f t="shared" si="2"/>
        <v>0.1</v>
      </c>
      <c r="M42" s="49">
        <f t="shared" si="3"/>
        <v>0</v>
      </c>
      <c r="N42" s="50">
        <f t="shared" si="4"/>
        <v>0</v>
      </c>
      <c r="O42" s="50">
        <f t="shared" si="5"/>
        <v>1</v>
      </c>
      <c r="P42" s="51" t="s">
        <v>193</v>
      </c>
      <c r="Q42" s="52" t="str">
        <f t="shared" si="6"/>
        <v>Terminado</v>
      </c>
      <c r="R42" s="52" t="str">
        <f>IFERROR(__xludf.DUMMYFUNCTION("SPARKLINE(O42,{""charttype"",""bar"";""max"",1;""color1"",IF(P42=""Terminado"",""#4CAF50"",IF(O42&gt;=0.5,""#FFA500"",""#F44336""))})"),"")</f>
        <v/>
      </c>
      <c r="S42" s="40"/>
      <c r="T42" s="40"/>
      <c r="U42" s="40"/>
      <c r="V42" s="40"/>
      <c r="W42" s="40"/>
      <c r="X42" s="40"/>
      <c r="Y42" s="40"/>
      <c r="Z42" s="40"/>
      <c r="AA42" s="40"/>
    </row>
    <row r="43" ht="22.5" customHeight="1">
      <c r="A43" s="41" t="s">
        <v>91</v>
      </c>
      <c r="B43" s="41" t="s">
        <v>62</v>
      </c>
      <c r="C43" s="56" t="s">
        <v>162</v>
      </c>
      <c r="D43" s="58">
        <v>7.2</v>
      </c>
      <c r="E43" s="43">
        <v>46097.0</v>
      </c>
      <c r="F43" s="44" t="str">
        <f>IFERROR(__xludf.DUMMYFUNCTION("FILTER(BBDD!H:H,BBDD!G:G=C43)"),"Fabricación")</f>
        <v>Fabricación</v>
      </c>
      <c r="G43" s="44" t="str">
        <f>IFERROR(__xludf.DUMMYFUNCTION("FILTER(BBDD!I:I,BBDD!G:G=C43)"),"Ensamblaje")</f>
        <v>Ensamblaje</v>
      </c>
      <c r="H43" s="45">
        <f>IFERROR(__xludf.DUMMYFUNCTION("(IFERROR(FILTER(BBDD!$J:$J,BBDD!$G:$G=C43,BBDD!$H:$H=F43,BBDD!$I:$I=G43),""NO TIENE PROCESO""))*D43"),6.4799999999999995)</f>
        <v>6.48</v>
      </c>
      <c r="I43" s="46">
        <f t="shared" si="1"/>
        <v>6.58</v>
      </c>
      <c r="J43" s="46">
        <f>SUMIFS('👷horas'!$J:$J,'👷horas'!$D:$D,A43,'👷horas'!$E:$E,B43,'👷horas'!$F:$F,F43,'👷horas'!$G:$G,G43)</f>
        <v>6.58</v>
      </c>
      <c r="K43" s="47">
        <f>SUMIFS('👷horas'!$K:$K,'👷horas'!$D:$D,A43,'👷horas'!$E:$E,B43,'👷horas'!$F:$F,F43,'👷horas'!$G:$G,G43)</f>
        <v>0</v>
      </c>
      <c r="L43" s="48">
        <f t="shared" si="2"/>
        <v>0.9138888889</v>
      </c>
      <c r="M43" s="49">
        <f t="shared" si="3"/>
        <v>0</v>
      </c>
      <c r="N43" s="50">
        <f t="shared" si="4"/>
        <v>-0.01543209877</v>
      </c>
      <c r="O43" s="50">
        <f t="shared" si="5"/>
        <v>1</v>
      </c>
      <c r="P43" s="51" t="s">
        <v>193</v>
      </c>
      <c r="Q43" s="52" t="str">
        <f t="shared" si="6"/>
        <v>Terminado</v>
      </c>
      <c r="R43" s="52" t="str">
        <f>IFERROR(__xludf.DUMMYFUNCTION("SPARKLINE(O43,{""charttype"",""bar"";""max"",1;""color1"",IF(P43=""Terminado"",""#4CAF50"",IF(O43&gt;=0.5,""#FFA500"",""#F44336""))})"),"")</f>
        <v/>
      </c>
      <c r="S43" s="40"/>
      <c r="T43" s="40"/>
      <c r="U43" s="40"/>
      <c r="V43" s="40"/>
      <c r="W43" s="40"/>
      <c r="X43" s="40"/>
      <c r="Y43" s="40"/>
      <c r="Z43" s="40"/>
      <c r="AA43" s="40"/>
    </row>
    <row r="44" ht="22.5" customHeight="1">
      <c r="A44" s="41" t="s">
        <v>91</v>
      </c>
      <c r="B44" s="41" t="s">
        <v>62</v>
      </c>
      <c r="C44" s="56" t="s">
        <v>162</v>
      </c>
      <c r="D44" s="58">
        <v>7.2</v>
      </c>
      <c r="E44" s="43">
        <v>46097.0</v>
      </c>
      <c r="F44" s="54" t="str">
        <f>IFERROR(__xludf.DUMMYFUNCTION("""COMPUTED_VALUE"""),"Fabricación")</f>
        <v>Fabricación</v>
      </c>
      <c r="G44" s="54" t="str">
        <f>IFERROR(__xludf.DUMMYFUNCTION("""COMPUTED_VALUE"""),"Embalaje/carga/descarga material")</f>
        <v>Embalaje/carga/descarga material</v>
      </c>
      <c r="H44" s="45">
        <f>IFERROR(__xludf.DUMMYFUNCTION("(IFERROR(FILTER(BBDD!$J:$J,BBDD!$G:$G=C44,BBDD!$H:$H=F44,BBDD!$I:$I=G44),""NO TIENE PROCESO""))*D44"),1.2240000000000002)</f>
        <v>1.224</v>
      </c>
      <c r="I44" s="46">
        <f t="shared" si="1"/>
        <v>0.75</v>
      </c>
      <c r="J44" s="46">
        <f>SUMIFS('👷horas'!$J:$J,'👷horas'!$D:$D,A44,'👷horas'!$E:$E,B44,'👷horas'!$F:$F,F44,'👷horas'!$G:$G,G44)</f>
        <v>0.75</v>
      </c>
      <c r="K44" s="47">
        <f>SUMIFS('👷horas'!$K:$K,'👷horas'!$D:$D,A44,'👷horas'!$E:$E,B44,'👷horas'!$F:$F,F44,'👷horas'!$G:$G,G44)</f>
        <v>0</v>
      </c>
      <c r="L44" s="48">
        <f t="shared" si="2"/>
        <v>0.1041666667</v>
      </c>
      <c r="M44" s="49">
        <f t="shared" si="3"/>
        <v>0</v>
      </c>
      <c r="N44" s="50">
        <f t="shared" si="4"/>
        <v>0.387254902</v>
      </c>
      <c r="O44" s="50">
        <f t="shared" si="5"/>
        <v>1</v>
      </c>
      <c r="P44" s="51" t="s">
        <v>193</v>
      </c>
      <c r="Q44" s="52" t="str">
        <f t="shared" si="6"/>
        <v>Terminado</v>
      </c>
      <c r="R44" s="52" t="str">
        <f>IFERROR(__xludf.DUMMYFUNCTION("SPARKLINE(O44,{""charttype"",""bar"";""max"",1;""color1"",IF(P44=""Terminado"",""#4CAF50"",IF(O44&gt;=0.5,""#FFA500"",""#F44336""))})"),"")</f>
        <v/>
      </c>
      <c r="S44" s="40"/>
      <c r="T44" s="40"/>
      <c r="U44" s="40"/>
      <c r="V44" s="40"/>
      <c r="W44" s="40"/>
      <c r="X44" s="40"/>
      <c r="Y44" s="40"/>
      <c r="Z44" s="40"/>
      <c r="AA44" s="40"/>
    </row>
    <row r="45" ht="22.5" customHeight="1">
      <c r="A45" s="56" t="s">
        <v>91</v>
      </c>
      <c r="B45" s="56" t="s">
        <v>80</v>
      </c>
      <c r="C45" s="59" t="s">
        <v>172</v>
      </c>
      <c r="D45" s="57">
        <v>58.0</v>
      </c>
      <c r="E45" s="43">
        <v>46097.0</v>
      </c>
      <c r="F45" s="44" t="str">
        <f>IFERROR(__xludf.DUMMYFUNCTION("FILTER(BBDD!H:H,BBDD!G:G=C45)"),"Fabricación")</f>
        <v>Fabricación</v>
      </c>
      <c r="G45" s="44" t="str">
        <f>IFERROR(__xludf.DUMMYFUNCTION("FILTER(BBDD!I:I,BBDD!G:G=C45)"),"Embalaje/carga/descarga material")</f>
        <v>Embalaje/carga/descarga material</v>
      </c>
      <c r="H45" s="45">
        <f>IFERROR(__xludf.DUMMYFUNCTION("(IFERROR(FILTER(BBDD!$J:$J,BBDD!$G:$G=C45,BBDD!$H:$H=F45,BBDD!$I:$I=G45),""NO TIENE PROCESO""))*D45"),1.4500000000000002)</f>
        <v>1.45</v>
      </c>
      <c r="I45" s="46">
        <f t="shared" si="1"/>
        <v>1</v>
      </c>
      <c r="J45" s="46">
        <f>SUMIFS('👷horas'!$J:$J,'👷horas'!$D:$D,A45,'👷horas'!$E:$E,B45,'👷horas'!$F:$F,F45,'👷horas'!$G:$G,G45)</f>
        <v>1</v>
      </c>
      <c r="K45" s="47">
        <f>SUMIFS('👷horas'!$K:$K,'👷horas'!$D:$D,A45,'👷horas'!$E:$E,B45,'👷horas'!$F:$F,F45,'👷horas'!$G:$G,G45)</f>
        <v>0</v>
      </c>
      <c r="L45" s="48">
        <f t="shared" si="2"/>
        <v>0.01724137931</v>
      </c>
      <c r="M45" s="49">
        <f t="shared" si="3"/>
        <v>0</v>
      </c>
      <c r="N45" s="50">
        <f t="shared" si="4"/>
        <v>0.3103448276</v>
      </c>
      <c r="O45" s="50">
        <f t="shared" si="5"/>
        <v>1</v>
      </c>
      <c r="P45" s="51" t="s">
        <v>193</v>
      </c>
      <c r="Q45" s="52" t="str">
        <f t="shared" si="6"/>
        <v>Terminado</v>
      </c>
      <c r="R45" s="52" t="str">
        <f>IFERROR(__xludf.DUMMYFUNCTION("SPARKLINE(O45,{""charttype"",""bar"";""max"",1;""color1"",IF(P45=""Terminado"",""#4CAF50"",IF(O45&gt;=0.5,""#FFA500"",""#F44336""))})"),"")</f>
        <v/>
      </c>
      <c r="S45" s="40"/>
      <c r="T45" s="40"/>
      <c r="U45" s="40"/>
      <c r="V45" s="40"/>
      <c r="W45" s="40"/>
      <c r="X45" s="40"/>
      <c r="Y45" s="40"/>
      <c r="Z45" s="40"/>
      <c r="AA45" s="40"/>
    </row>
    <row r="46" ht="22.5" customHeight="1">
      <c r="A46" s="59" t="s">
        <v>95</v>
      </c>
      <c r="B46" s="60" t="s">
        <v>80</v>
      </c>
      <c r="C46" s="60" t="s">
        <v>172</v>
      </c>
      <c r="D46" s="61">
        <v>17.0</v>
      </c>
      <c r="E46" s="62">
        <v>46098.0</v>
      </c>
      <c r="F46" s="44" t="str">
        <f>IFERROR(__xludf.DUMMYFUNCTION("FILTER(BBDD!H:H,BBDD!G:G=C46)"),"Fabricación")</f>
        <v>Fabricación</v>
      </c>
      <c r="G46" s="44" t="str">
        <f>IFERROR(__xludf.DUMMYFUNCTION("FILTER(BBDD!I:I,BBDD!G:G=C46)"),"Embalaje/carga/descarga material")</f>
        <v>Embalaje/carga/descarga material</v>
      </c>
      <c r="H46" s="63">
        <f>IFERROR(__xludf.DUMMYFUNCTION("(IFERROR(FILTER(BBDD!$J:$J,BBDD!$G:$G=C46,BBDD!$H:$H=F46,BBDD!$I:$I=G46),""NO TIENE PROCESO""))*D46"),0.42500000000000004)</f>
        <v>0.425</v>
      </c>
      <c r="I46" s="46">
        <f t="shared" si="1"/>
        <v>1.666666667</v>
      </c>
      <c r="J46" s="46">
        <f>SUMIFS('👷horas'!$J:$J,'👷horas'!$D:$D,A46,'👷horas'!$E:$E,B46,'👷horas'!$F:$F,F46,'👷horas'!$G:$G,G46)</f>
        <v>1.666666667</v>
      </c>
      <c r="K46" s="47">
        <f>SUMIFS('👷horas'!$K:$K,'👷horas'!$D:$D,A46,'👷horas'!$E:$E,B46,'👷horas'!$F:$F,F46,'👷horas'!$G:$G,G46)</f>
        <v>0</v>
      </c>
      <c r="L46" s="64">
        <f t="shared" si="2"/>
        <v>0.09803921569</v>
      </c>
      <c r="M46" s="65">
        <f t="shared" si="3"/>
        <v>0</v>
      </c>
      <c r="N46" s="50">
        <f t="shared" si="4"/>
        <v>-2.921568627</v>
      </c>
      <c r="O46" s="66">
        <f t="shared" si="5"/>
        <v>1</v>
      </c>
      <c r="P46" s="51" t="s">
        <v>193</v>
      </c>
      <c r="Q46" s="67" t="str">
        <f t="shared" si="6"/>
        <v>Terminado</v>
      </c>
      <c r="R46" s="67" t="str">
        <f>IFERROR(__xludf.DUMMYFUNCTION("SPARKLINE(O46,{""charttype"",""bar"";""max"",1;""color1"",IF(P46=""Terminado"",""#4CAF50"",IF(O46&gt;=0.5,""#FFA500"",""#F44336""))})"),"")</f>
        <v/>
      </c>
      <c r="S46" s="40"/>
      <c r="T46" s="40"/>
      <c r="U46" s="40"/>
      <c r="V46" s="40"/>
      <c r="W46" s="40"/>
      <c r="X46" s="40"/>
      <c r="Y46" s="40"/>
      <c r="Z46" s="40"/>
      <c r="AA46" s="40"/>
    </row>
    <row r="47" ht="22.5" customHeight="1">
      <c r="A47" s="60" t="s">
        <v>107</v>
      </c>
      <c r="B47" s="60" t="s">
        <v>151</v>
      </c>
      <c r="C47" s="41" t="s">
        <v>14</v>
      </c>
      <c r="D47" s="61">
        <v>0.3</v>
      </c>
      <c r="E47" s="62">
        <v>46099.0</v>
      </c>
      <c r="F47" s="68" t="str">
        <f>IFERROR(__xludf.DUMMYFUNCTION("FILTER(BBDD!H:H,BBDD!G:G=C47)"),"CNC")</f>
        <v>CNC</v>
      </c>
      <c r="G47" s="68" t="str">
        <f>IFERROR(__xludf.DUMMYFUNCTION("FILTER(BBDD!I:I,BBDD!G:G=C47)"),"CNC")</f>
        <v>CNC</v>
      </c>
      <c r="H47" s="63">
        <f>IFERROR(__xludf.DUMMYFUNCTION("(IFERROR(FILTER(BBDD!$J:$J,BBDD!$G:$G=C47,BBDD!$H:$H=F47,BBDD!$I:$I=G47),""NO TIENE PROCESO""))*D47"),0.06)</f>
        <v>0.06</v>
      </c>
      <c r="I47" s="46">
        <f t="shared" si="1"/>
        <v>0</v>
      </c>
      <c r="J47" s="46">
        <f>SUMIFS('👷horas'!$J:$J,'👷horas'!$D:$D,A47,'👷horas'!$E:$E,B47,'👷horas'!$F:$F,F47,'👷horas'!$G:$G,G47)</f>
        <v>0</v>
      </c>
      <c r="K47" s="47">
        <f>SUMIFS('👷horas'!$K:$K,'👷horas'!$D:$D,A47,'👷horas'!$E:$E,B47,'👷horas'!$F:$F,F47,'👷horas'!$G:$G,G47)</f>
        <v>0</v>
      </c>
      <c r="L47" s="64">
        <f t="shared" si="2"/>
        <v>0</v>
      </c>
      <c r="M47" s="65">
        <f t="shared" si="3"/>
        <v>0</v>
      </c>
      <c r="N47" s="50">
        <f t="shared" si="4"/>
        <v>1</v>
      </c>
      <c r="O47" s="66">
        <f t="shared" si="5"/>
        <v>1</v>
      </c>
      <c r="P47" s="69" t="s">
        <v>193</v>
      </c>
      <c r="Q47" s="67" t="str">
        <f t="shared" si="6"/>
        <v>Terminado</v>
      </c>
      <c r="R47" s="67" t="str">
        <f>IFERROR(__xludf.DUMMYFUNCTION("SPARKLINE(O47,{""charttype"",""bar"";""max"",1;""color1"",IF(P47=""Terminado"",""#4CAF50"",IF(O47&gt;=0.5,""#FFA500"",""#F44336""))})"),"")</f>
        <v/>
      </c>
      <c r="S47" s="40"/>
      <c r="T47" s="40"/>
      <c r="U47" s="40"/>
      <c r="V47" s="40"/>
      <c r="W47" s="40"/>
      <c r="X47" s="40"/>
      <c r="Y47" s="40"/>
      <c r="Z47" s="40"/>
      <c r="AA47" s="40"/>
    </row>
    <row r="48" ht="22.5" customHeight="1">
      <c r="A48" s="60" t="s">
        <v>107</v>
      </c>
      <c r="B48" s="60" t="s">
        <v>151</v>
      </c>
      <c r="C48" s="41" t="s">
        <v>14</v>
      </c>
      <c r="D48" s="61">
        <v>0.3</v>
      </c>
      <c r="E48" s="62">
        <v>46099.0</v>
      </c>
      <c r="F48" s="68" t="str">
        <f>IFERROR(__xludf.DUMMYFUNCTION("""COMPUTED_VALUE"""),"Fabricación")</f>
        <v>Fabricación</v>
      </c>
      <c r="G48" s="68" t="str">
        <f>IFERROR(__xludf.DUMMYFUNCTION("""COMPUTED_VALUE"""),"Ensamblaje")</f>
        <v>Ensamblaje</v>
      </c>
      <c r="H48" s="63">
        <f>IFERROR(__xludf.DUMMYFUNCTION("(IFERROR(FILTER(BBDD!$J:$J,BBDD!$G:$G=C48,BBDD!$H:$H=F48,BBDD!$I:$I=G48),""NO TIENE PROCESO""))*D48"),0.186)</f>
        <v>0.186</v>
      </c>
      <c r="I48" s="46">
        <f t="shared" si="1"/>
        <v>0.25</v>
      </c>
      <c r="J48" s="46">
        <f>SUMIFS('👷horas'!$J:$J,'👷horas'!$D:$D,A48,'👷horas'!$E:$E,B48,'👷horas'!$F:$F,F48,'👷horas'!$G:$G,G48)</f>
        <v>0.25</v>
      </c>
      <c r="K48" s="47">
        <f>SUMIFS('👷horas'!$K:$K,'👷horas'!$D:$D,A48,'👷horas'!$E:$E,B48,'👷horas'!$F:$F,F48,'👷horas'!$G:$G,G48)</f>
        <v>0</v>
      </c>
      <c r="L48" s="64">
        <f t="shared" si="2"/>
        <v>0.8333333333</v>
      </c>
      <c r="M48" s="65">
        <f t="shared" si="3"/>
        <v>0</v>
      </c>
      <c r="N48" s="50">
        <f t="shared" si="4"/>
        <v>-0.3440860215</v>
      </c>
      <c r="O48" s="66">
        <f t="shared" si="5"/>
        <v>1</v>
      </c>
      <c r="P48" s="69" t="s">
        <v>193</v>
      </c>
      <c r="Q48" s="67" t="str">
        <f t="shared" si="6"/>
        <v>Terminado</v>
      </c>
      <c r="R48" s="67" t="str">
        <f>IFERROR(__xludf.DUMMYFUNCTION("SPARKLINE(O48,{""charttype"",""bar"";""max"",1;""color1"",IF(P48=""Terminado"",""#4CAF50"",IF(O48&gt;=0.5,""#FFA500"",""#F44336""))})"),"")</f>
        <v/>
      </c>
      <c r="S48" s="40"/>
      <c r="T48" s="40"/>
      <c r="U48" s="40"/>
      <c r="V48" s="40"/>
      <c r="W48" s="40"/>
      <c r="X48" s="40"/>
      <c r="Y48" s="40"/>
      <c r="Z48" s="40"/>
      <c r="AA48" s="40"/>
    </row>
    <row r="49" ht="22.5" customHeight="1">
      <c r="A49" s="60" t="s">
        <v>107</v>
      </c>
      <c r="B49" s="60" t="s">
        <v>151</v>
      </c>
      <c r="C49" s="41" t="s">
        <v>14</v>
      </c>
      <c r="D49" s="61">
        <v>0.3</v>
      </c>
      <c r="E49" s="62">
        <v>46099.0</v>
      </c>
      <c r="F49" s="68" t="str">
        <f>IFERROR(__xludf.DUMMYFUNCTION("""COMPUTED_VALUE"""),"Fabricación")</f>
        <v>Fabricación</v>
      </c>
      <c r="G49" s="68" t="str">
        <f>IFERROR(__xludf.DUMMYFUNCTION("""COMPUTED_VALUE"""),"Colocación de perfiles")</f>
        <v>Colocación de perfiles</v>
      </c>
      <c r="H49" s="63">
        <f>IFERROR(__xludf.DUMMYFUNCTION("(IFERROR(FILTER(BBDD!$J:$J,BBDD!$G:$G=C49,BBDD!$H:$H=F49,BBDD!$I:$I=G49),""NO TIENE PROCESO""))*D49"),0.06)</f>
        <v>0.06</v>
      </c>
      <c r="I49" s="46">
        <f t="shared" si="1"/>
        <v>0.08333333333</v>
      </c>
      <c r="J49" s="46">
        <f>SUMIFS('👷horas'!$J:$J,'👷horas'!$D:$D,A49,'👷horas'!$E:$E,B49,'👷horas'!$F:$F,F49,'👷horas'!$G:$G,G49)</f>
        <v>0</v>
      </c>
      <c r="K49" s="47">
        <f>SUMIFS('👷horas'!$K:$K,'👷horas'!$D:$D,A49,'👷horas'!$E:$E,B49,'👷horas'!$F:$F,F49,'👷horas'!$G:$G,G49)</f>
        <v>0.08333333333</v>
      </c>
      <c r="L49" s="64">
        <f t="shared" si="2"/>
        <v>0.2777777778</v>
      </c>
      <c r="M49" s="65">
        <f t="shared" si="3"/>
        <v>0</v>
      </c>
      <c r="N49" s="50">
        <f t="shared" si="4"/>
        <v>-0.3888888889</v>
      </c>
      <c r="O49" s="66">
        <f t="shared" si="5"/>
        <v>1</v>
      </c>
      <c r="P49" s="69" t="s">
        <v>193</v>
      </c>
      <c r="Q49" s="67" t="str">
        <f t="shared" si="6"/>
        <v>Terminado</v>
      </c>
      <c r="R49" s="67" t="str">
        <f>IFERROR(__xludf.DUMMYFUNCTION("SPARKLINE(O49,{""charttype"",""bar"";""max"",1;""color1"",IF(P49=""Terminado"",""#4CAF50"",IF(O49&gt;=0.5,""#FFA500"",""#F44336""))})"),"")</f>
        <v/>
      </c>
      <c r="S49" s="40"/>
      <c r="T49" s="40"/>
      <c r="U49" s="40"/>
      <c r="V49" s="40"/>
      <c r="W49" s="40"/>
      <c r="X49" s="40"/>
      <c r="Y49" s="40"/>
      <c r="Z49" s="40"/>
      <c r="AA49" s="40"/>
    </row>
    <row r="50" ht="22.5" customHeight="1">
      <c r="A50" s="60" t="s">
        <v>107</v>
      </c>
      <c r="B50" s="60" t="s">
        <v>151</v>
      </c>
      <c r="C50" s="41" t="s">
        <v>14</v>
      </c>
      <c r="D50" s="61">
        <v>0.3</v>
      </c>
      <c r="E50" s="62">
        <v>46099.0</v>
      </c>
      <c r="F50" s="68" t="str">
        <f>IFERROR(__xludf.DUMMYFUNCTION("""COMPUTED_VALUE"""),"Fabricación")</f>
        <v>Fabricación</v>
      </c>
      <c r="G50" s="68" t="str">
        <f>IFERROR(__xludf.DUMMYFUNCTION("""COMPUTED_VALUE"""),"Embalaje/carga/descarga material")</f>
        <v>Embalaje/carga/descarga material</v>
      </c>
      <c r="H50" s="63">
        <f>IFERROR(__xludf.DUMMYFUNCTION("(IFERROR(FILTER(BBDD!$J:$J,BBDD!$G:$G=C50,BBDD!$H:$H=F50,BBDD!$I:$I=G50),""NO TIENE PROCESO""))*D50"),0.045)</f>
        <v>0.045</v>
      </c>
      <c r="I50" s="46">
        <f t="shared" si="1"/>
        <v>0</v>
      </c>
      <c r="J50" s="46">
        <f>SUMIFS('👷horas'!$J:$J,'👷horas'!$D:$D,A50,'👷horas'!$E:$E,B50,'👷horas'!$F:$F,F50,'👷horas'!$G:$G,G50)</f>
        <v>0</v>
      </c>
      <c r="K50" s="47">
        <f>SUMIFS('👷horas'!$K:$K,'👷horas'!$D:$D,A50,'👷horas'!$E:$E,B50,'👷horas'!$F:$F,F50,'👷horas'!$G:$G,G50)</f>
        <v>0</v>
      </c>
      <c r="L50" s="64">
        <f t="shared" si="2"/>
        <v>0</v>
      </c>
      <c r="M50" s="65">
        <f t="shared" si="3"/>
        <v>0</v>
      </c>
      <c r="N50" s="50">
        <f t="shared" si="4"/>
        <v>1</v>
      </c>
      <c r="O50" s="66">
        <f t="shared" si="5"/>
        <v>1</v>
      </c>
      <c r="P50" s="69" t="s">
        <v>193</v>
      </c>
      <c r="Q50" s="67" t="str">
        <f t="shared" si="6"/>
        <v>Terminado</v>
      </c>
      <c r="R50" s="67" t="str">
        <f>IFERROR(__xludf.DUMMYFUNCTION("SPARKLINE(O50,{""charttype"",""bar"";""max"",1;""color1"",IF(P50=""Terminado"",""#4CAF50"",IF(O50&gt;=0.5,""#FFA500"",""#F44336""))})"),"")</f>
        <v/>
      </c>
      <c r="S50" s="40"/>
      <c r="T50" s="40"/>
      <c r="U50" s="40"/>
      <c r="V50" s="40"/>
      <c r="W50" s="40"/>
      <c r="X50" s="40"/>
      <c r="Y50" s="40"/>
      <c r="Z50" s="40"/>
      <c r="AA50" s="40"/>
    </row>
    <row r="51" ht="22.5" customHeight="1">
      <c r="A51" s="60" t="s">
        <v>107</v>
      </c>
      <c r="B51" s="60" t="s">
        <v>151</v>
      </c>
      <c r="C51" s="41" t="s">
        <v>14</v>
      </c>
      <c r="D51" s="61">
        <v>0.3</v>
      </c>
      <c r="E51" s="62">
        <v>46099.0</v>
      </c>
      <c r="F51" s="68" t="str">
        <f>IFERROR(__xludf.DUMMYFUNCTION("""COMPUTED_VALUE"""),"Pintura")</f>
        <v>Pintura</v>
      </c>
      <c r="G51" s="68" t="str">
        <f>IFERROR(__xludf.DUMMYFUNCTION("""COMPUTED_VALUE"""),"Lijado y/o Masillado")</f>
        <v>Lijado y/o Masillado</v>
      </c>
      <c r="H51" s="63">
        <f>IFERROR(__xludf.DUMMYFUNCTION("(IFERROR(FILTER(BBDD!$J:$J,BBDD!$G:$G=C51,BBDD!$H:$H=F51,BBDD!$I:$I=G51),""NO TIENE PROCESO""))*D51"),0.15)</f>
        <v>0.15</v>
      </c>
      <c r="I51" s="46">
        <f t="shared" si="1"/>
        <v>0</v>
      </c>
      <c r="J51" s="46">
        <f>SUMIFS('👷horas'!$J:$J,'👷horas'!$D:$D,A51,'👷horas'!$E:$E,B51,'👷horas'!$F:$F,F51,'👷horas'!$G:$G,G51)</f>
        <v>0</v>
      </c>
      <c r="K51" s="47">
        <f>SUMIFS('👷horas'!$K:$K,'👷horas'!$D:$D,A51,'👷horas'!$E:$E,B51,'👷horas'!$F:$F,F51,'👷horas'!$G:$G,G51)</f>
        <v>0</v>
      </c>
      <c r="L51" s="64">
        <f t="shared" si="2"/>
        <v>0</v>
      </c>
      <c r="M51" s="65">
        <f t="shared" si="3"/>
        <v>0</v>
      </c>
      <c r="N51" s="50">
        <f t="shared" si="4"/>
        <v>1</v>
      </c>
      <c r="O51" s="66">
        <f t="shared" si="5"/>
        <v>1</v>
      </c>
      <c r="P51" s="69" t="s">
        <v>193</v>
      </c>
      <c r="Q51" s="67" t="str">
        <f t="shared" si="6"/>
        <v>Terminado</v>
      </c>
      <c r="R51" s="67" t="str">
        <f>IFERROR(__xludf.DUMMYFUNCTION("SPARKLINE(O51,{""charttype"",""bar"";""max"",1;""color1"",IF(P51=""Terminado"",""#4CAF50"",IF(O51&gt;=0.5,""#FFA500"",""#F44336""))})"),"")</f>
        <v/>
      </c>
      <c r="S51" s="40"/>
      <c r="T51" s="40"/>
      <c r="U51" s="40"/>
      <c r="V51" s="40"/>
      <c r="W51" s="40"/>
      <c r="X51" s="40"/>
      <c r="Y51" s="40"/>
      <c r="Z51" s="40"/>
      <c r="AA51" s="40"/>
    </row>
    <row r="52" ht="22.5" customHeight="1">
      <c r="A52" s="60" t="s">
        <v>107</v>
      </c>
      <c r="B52" s="60" t="s">
        <v>151</v>
      </c>
      <c r="C52" s="41" t="s">
        <v>14</v>
      </c>
      <c r="D52" s="61">
        <v>0.3</v>
      </c>
      <c r="E52" s="62">
        <v>46099.0</v>
      </c>
      <c r="F52" s="68" t="str">
        <f>IFERROR(__xludf.DUMMYFUNCTION("""COMPUTED_VALUE"""),"Pintura")</f>
        <v>Pintura</v>
      </c>
      <c r="G52" s="68" t="str">
        <f>IFERROR(__xludf.DUMMYFUNCTION("""COMPUTED_VALUE"""),"Imprimación/Pintura")</f>
        <v>Imprimación/Pintura</v>
      </c>
      <c r="H52" s="63">
        <f>IFERROR(__xludf.DUMMYFUNCTION("(IFERROR(FILTER(BBDD!$J:$J,BBDD!$G:$G=C52,BBDD!$H:$H=F52,BBDD!$I:$I=G52),""NO TIENE PROCESO""))*D52"),0.12)</f>
        <v>0.12</v>
      </c>
      <c r="I52" s="46">
        <f t="shared" si="1"/>
        <v>0.42</v>
      </c>
      <c r="J52" s="46">
        <f>SUMIFS('👷horas'!$J:$J,'👷horas'!$D:$D,A52,'👷horas'!$E:$E,B52,'👷horas'!$F:$F,F52,'👷horas'!$G:$G,G52)</f>
        <v>0</v>
      </c>
      <c r="K52" s="47">
        <f>SUMIFS('👷horas'!$K:$K,'👷horas'!$D:$D,A52,'👷horas'!$E:$E,B52,'👷horas'!$F:$F,F52,'👷horas'!$G:$G,G52)</f>
        <v>0.42</v>
      </c>
      <c r="L52" s="64">
        <f t="shared" si="2"/>
        <v>1.4</v>
      </c>
      <c r="M52" s="65">
        <f t="shared" si="3"/>
        <v>0</v>
      </c>
      <c r="N52" s="50">
        <f t="shared" si="4"/>
        <v>-2.5</v>
      </c>
      <c r="O52" s="66">
        <f t="shared" si="5"/>
        <v>1</v>
      </c>
      <c r="P52" s="69" t="s">
        <v>193</v>
      </c>
      <c r="Q52" s="67" t="str">
        <f t="shared" si="6"/>
        <v>Terminado</v>
      </c>
      <c r="R52" s="67" t="str">
        <f>IFERROR(__xludf.DUMMYFUNCTION("SPARKLINE(O52,{""charttype"",""bar"";""max"",1;""color1"",IF(P52=""Terminado"",""#4CAF50"",IF(O52&gt;=0.5,""#FFA500"",""#F44336""))})"),"")</f>
        <v/>
      </c>
      <c r="S52" s="40"/>
      <c r="T52" s="40"/>
      <c r="U52" s="40"/>
      <c r="V52" s="40"/>
      <c r="W52" s="40"/>
      <c r="X52" s="40"/>
      <c r="Y52" s="40"/>
      <c r="Z52" s="40"/>
      <c r="AA52" s="40"/>
    </row>
    <row r="53" ht="22.5" customHeight="1">
      <c r="A53" s="60" t="s">
        <v>110</v>
      </c>
      <c r="B53" s="60" t="s">
        <v>80</v>
      </c>
      <c r="C53" s="60" t="s">
        <v>172</v>
      </c>
      <c r="D53" s="61">
        <v>3.0</v>
      </c>
      <c r="E53" s="62">
        <v>46104.0</v>
      </c>
      <c r="F53" s="68" t="str">
        <f>IFERROR(__xludf.DUMMYFUNCTION("FILTER(BBDD!H:H,BBDD!G:G=C53)"),"Fabricación")</f>
        <v>Fabricación</v>
      </c>
      <c r="G53" s="68" t="str">
        <f>IFERROR(__xludf.DUMMYFUNCTION("FILTER(BBDD!I:I,BBDD!G:G=C53)"),"Embalaje/carga/descarga material")</f>
        <v>Embalaje/carga/descarga material</v>
      </c>
      <c r="H53" s="63">
        <f>IFERROR(__xludf.DUMMYFUNCTION("(IFERROR(FILTER(BBDD!$J:$J,BBDD!$G:$G=C53,BBDD!$H:$H=F53,BBDD!$I:$I=G53),""NO TIENE PROCESO""))*D53"),0.07500000000000001)</f>
        <v>0.075</v>
      </c>
      <c r="I53" s="46">
        <f t="shared" si="1"/>
        <v>2</v>
      </c>
      <c r="J53" s="46">
        <f>SUMIFS('👷horas'!$J:$J,'👷horas'!$D:$D,A53,'👷horas'!$E:$E,B53,'👷horas'!$F:$F,F53,'👷horas'!$G:$G,G53)</f>
        <v>2</v>
      </c>
      <c r="K53" s="47">
        <f>SUMIFS('👷horas'!$K:$K,'👷horas'!$D:$D,A53,'👷horas'!$E:$E,B53,'👷horas'!$F:$F,F53,'👷horas'!$G:$G,G53)</f>
        <v>0</v>
      </c>
      <c r="L53" s="64">
        <f t="shared" si="2"/>
        <v>0.6666666667</v>
      </c>
      <c r="M53" s="65">
        <f t="shared" si="3"/>
        <v>0</v>
      </c>
      <c r="N53" s="66">
        <f t="shared" si="4"/>
        <v>-25.66666667</v>
      </c>
      <c r="O53" s="66">
        <f t="shared" si="5"/>
        <v>1</v>
      </c>
      <c r="P53" s="69" t="s">
        <v>193</v>
      </c>
      <c r="Q53" s="67" t="str">
        <f t="shared" si="6"/>
        <v>Terminado</v>
      </c>
      <c r="R53" s="67" t="str">
        <f>IFERROR(__xludf.DUMMYFUNCTION("SPARKLINE(O53,{""charttype"",""bar"";""max"",1;""color1"",IF(P53=""Terminado"",""#4CAF50"",IF(O53&gt;=0.5,""#FFA500"",""#F44336""))})"),"")</f>
        <v/>
      </c>
      <c r="S53" s="40"/>
      <c r="T53" s="40"/>
      <c r="U53" s="40"/>
      <c r="V53" s="40"/>
      <c r="W53" s="40"/>
      <c r="X53" s="40"/>
      <c r="Y53" s="40"/>
      <c r="Z53" s="40"/>
      <c r="AA53" s="40"/>
    </row>
    <row r="54" ht="22.5" customHeight="1">
      <c r="A54" s="56" t="s">
        <v>136</v>
      </c>
      <c r="B54" s="56" t="s">
        <v>72</v>
      </c>
      <c r="C54" s="59" t="s">
        <v>171</v>
      </c>
      <c r="D54" s="57">
        <v>4.7</v>
      </c>
      <c r="E54" s="43">
        <v>46112.0</v>
      </c>
      <c r="F54" s="44" t="str">
        <f>IFERROR(__xludf.DUMMYFUNCTION("FILTER(BBDD!H:H,BBDD!G:G=C54)"),"CNC")</f>
        <v>CNC</v>
      </c>
      <c r="G54" s="44" t="str">
        <f>IFERROR(__xludf.DUMMYFUNCTION("FILTER(BBDD!I:I,BBDD!G:G=C54)"),"CNC")</f>
        <v>CNC</v>
      </c>
      <c r="H54" s="45">
        <f>IFERROR(__xludf.DUMMYFUNCTION("(IFERROR(FILTER(BBDD!$J:$J,BBDD!$G:$G=C54,BBDD!$H:$H=F54,BBDD!$I:$I=G54),""NO TIENE PROCESO""))*D54"),0.9400000000000001)</f>
        <v>0.94</v>
      </c>
      <c r="I54" s="46">
        <f t="shared" si="1"/>
        <v>0.466</v>
      </c>
      <c r="J54" s="46">
        <f>SUMIFS('👷horas'!$J:$J,'👷horas'!$D:$D,A54,'👷horas'!$E:$E,B54,'👷horas'!$F:$F,F54,'👷horas'!$G:$G,G54)</f>
        <v>0.466</v>
      </c>
      <c r="K54" s="47">
        <f>SUMIFS('👷horas'!$K:$K,'👷horas'!$D:$D,A54,'👷horas'!$E:$E,B54,'👷horas'!$F:$F,F54,'👷horas'!$G:$G,G54)</f>
        <v>0</v>
      </c>
      <c r="L54" s="48">
        <f t="shared" si="2"/>
        <v>0.09914893617</v>
      </c>
      <c r="M54" s="49">
        <f t="shared" si="3"/>
        <v>0</v>
      </c>
      <c r="N54" s="50">
        <f t="shared" si="4"/>
        <v>0.5042553191</v>
      </c>
      <c r="O54" s="50">
        <f t="shared" si="5"/>
        <v>1</v>
      </c>
      <c r="P54" s="51" t="s">
        <v>193</v>
      </c>
      <c r="Q54" s="52" t="str">
        <f t="shared" si="6"/>
        <v>Terminado</v>
      </c>
      <c r="R54" s="52" t="str">
        <f>IFERROR(__xludf.DUMMYFUNCTION("SPARKLINE(O54,{""charttype"",""bar"";""max"",1;""color1"",IF(P54=""Terminado"",""#4CAF50"",IF(O54&gt;=0.5,""#FFA500"",""#F44336""))})"),"")</f>
        <v/>
      </c>
      <c r="S54" s="40"/>
      <c r="T54" s="40"/>
      <c r="U54" s="40"/>
      <c r="V54" s="40"/>
      <c r="W54" s="40"/>
      <c r="X54" s="40"/>
      <c r="Y54" s="40"/>
      <c r="Z54" s="40"/>
      <c r="AA54" s="40"/>
    </row>
    <row r="55" ht="22.5" customHeight="1">
      <c r="A55" s="56" t="s">
        <v>136</v>
      </c>
      <c r="B55" s="56" t="s">
        <v>72</v>
      </c>
      <c r="C55" s="59" t="s">
        <v>171</v>
      </c>
      <c r="D55" s="57">
        <v>4.7</v>
      </c>
      <c r="E55" s="43">
        <v>46112.0</v>
      </c>
      <c r="F55" s="44" t="str">
        <f>IFERROR(__xludf.DUMMYFUNCTION("""COMPUTED_VALUE"""),"Fabricación")</f>
        <v>Fabricación</v>
      </c>
      <c r="G55" s="44" t="str">
        <f>IFERROR(__xludf.DUMMYFUNCTION("""COMPUTED_VALUE"""),"Ensamblaje")</f>
        <v>Ensamblaje</v>
      </c>
      <c r="H55" s="45">
        <f>IFERROR(__xludf.DUMMYFUNCTION("(IFERROR(FILTER(BBDD!$J:$J,BBDD!$G:$G=C55,BBDD!$H:$H=F55,BBDD!$I:$I=G55),""NO TIENE PROCESO""))*D55"),5.708753715498938)</f>
        <v>5.708753715</v>
      </c>
      <c r="I55" s="46">
        <f t="shared" si="1"/>
        <v>4.5</v>
      </c>
      <c r="J55" s="46">
        <f>SUMIFS('👷horas'!$J:$J,'👷horas'!$D:$D,A55,'👷horas'!$E:$E,B55,'👷horas'!$F:$F,F55,'👷horas'!$G:$G,G55)</f>
        <v>3</v>
      </c>
      <c r="K55" s="47">
        <f>SUMIFS('👷horas'!$K:$K,'👷horas'!$D:$D,A55,'👷horas'!$E:$E,B55,'👷horas'!$F:$F,F55,'👷horas'!$G:$G,G55)</f>
        <v>1.5</v>
      </c>
      <c r="L55" s="48">
        <f t="shared" si="2"/>
        <v>0.9574468085</v>
      </c>
      <c r="M55" s="49">
        <f t="shared" si="3"/>
        <v>0</v>
      </c>
      <c r="N55" s="50">
        <f t="shared" si="4"/>
        <v>0.2117368826</v>
      </c>
      <c r="O55" s="50">
        <f t="shared" si="5"/>
        <v>1</v>
      </c>
      <c r="P55" s="51" t="s">
        <v>193</v>
      </c>
      <c r="Q55" s="52" t="str">
        <f t="shared" si="6"/>
        <v>Terminado</v>
      </c>
      <c r="R55" s="52" t="str">
        <f>IFERROR(__xludf.DUMMYFUNCTION("SPARKLINE(O55,{""charttype"",""bar"";""max"",1;""color1"",IF(P55=""Terminado"",""#4CAF50"",IF(O55&gt;=0.5,""#FFA500"",""#F44336""))})"),"")</f>
        <v/>
      </c>
      <c r="S55" s="40"/>
      <c r="T55" s="40"/>
      <c r="U55" s="40"/>
      <c r="V55" s="40"/>
      <c r="W55" s="40"/>
      <c r="X55" s="40"/>
      <c r="Y55" s="40"/>
      <c r="Z55" s="40"/>
      <c r="AA55" s="40"/>
    </row>
    <row r="56" ht="22.5" customHeight="1">
      <c r="A56" s="56" t="s">
        <v>136</v>
      </c>
      <c r="B56" s="56" t="s">
        <v>72</v>
      </c>
      <c r="C56" s="59" t="s">
        <v>171</v>
      </c>
      <c r="D56" s="57">
        <v>4.7</v>
      </c>
      <c r="E56" s="43">
        <v>46112.0</v>
      </c>
      <c r="F56" s="44" t="str">
        <f>IFERROR(__xludf.DUMMYFUNCTION("""COMPUTED_VALUE"""),"Fabricación")</f>
        <v>Fabricación</v>
      </c>
      <c r="G56" s="44" t="str">
        <f>IFERROR(__xludf.DUMMYFUNCTION("""COMPUTED_VALUE"""),"Colocación de perfiles")</f>
        <v>Colocación de perfiles</v>
      </c>
      <c r="H56" s="45">
        <f>IFERROR(__xludf.DUMMYFUNCTION("(IFERROR(FILTER(BBDD!$J:$J,BBDD!$G:$G=C56,BBDD!$H:$H=F56,BBDD!$I:$I=G56),""NO TIENE PROCESO""))*D56"),2.935753715498939)</f>
        <v>2.935753715</v>
      </c>
      <c r="I56" s="46">
        <f t="shared" si="1"/>
        <v>3</v>
      </c>
      <c r="J56" s="46">
        <f>SUMIFS('👷horas'!$J:$J,'👷horas'!$D:$D,A56,'👷horas'!$E:$E,B56,'👷horas'!$F:$F,F56,'👷horas'!$G:$G,G56)</f>
        <v>3</v>
      </c>
      <c r="K56" s="47">
        <f>SUMIFS('👷horas'!$K:$K,'👷horas'!$D:$D,A56,'👷horas'!$E:$E,B56,'👷horas'!$F:$F,F56,'👷horas'!$G:$G,G56)</f>
        <v>0</v>
      </c>
      <c r="L56" s="48">
        <f t="shared" si="2"/>
        <v>0.6382978723</v>
      </c>
      <c r="M56" s="49">
        <f t="shared" si="3"/>
        <v>0</v>
      </c>
      <c r="N56" s="50">
        <f t="shared" si="4"/>
        <v>-0.02188408522</v>
      </c>
      <c r="O56" s="50">
        <f t="shared" si="5"/>
        <v>1</v>
      </c>
      <c r="P56" s="51" t="s">
        <v>193</v>
      </c>
      <c r="Q56" s="52" t="str">
        <f t="shared" si="6"/>
        <v>Terminado</v>
      </c>
      <c r="R56" s="52" t="str">
        <f>IFERROR(__xludf.DUMMYFUNCTION("SPARKLINE(O56,{""charttype"",""bar"";""max"",1;""color1"",IF(P56=""Terminado"",""#4CAF50"",IF(O56&gt;=0.5,""#FFA500"",""#F44336""))})"),"")</f>
        <v/>
      </c>
      <c r="S56" s="40"/>
      <c r="T56" s="40"/>
      <c r="U56" s="40"/>
      <c r="V56" s="40"/>
      <c r="W56" s="40"/>
      <c r="X56" s="40"/>
      <c r="Y56" s="40"/>
      <c r="Z56" s="40"/>
      <c r="AA56" s="40"/>
    </row>
    <row r="57" ht="22.5" customHeight="1">
      <c r="A57" s="56" t="s">
        <v>136</v>
      </c>
      <c r="B57" s="56" t="s">
        <v>72</v>
      </c>
      <c r="C57" s="59" t="s">
        <v>171</v>
      </c>
      <c r="D57" s="57">
        <v>4.7</v>
      </c>
      <c r="E57" s="43">
        <v>46112.0</v>
      </c>
      <c r="F57" s="44" t="str">
        <f>IFERROR(__xludf.DUMMYFUNCTION("""COMPUTED_VALUE"""),"Fabricación")</f>
        <v>Fabricación</v>
      </c>
      <c r="G57" s="44" t="str">
        <f>IFERROR(__xludf.DUMMYFUNCTION("""COMPUTED_VALUE"""),"Embalaje/carga/descarga material")</f>
        <v>Embalaje/carga/descarga material</v>
      </c>
      <c r="H57" s="45">
        <f>IFERROR(__xludf.DUMMYFUNCTION("(IFERROR(FILTER(BBDD!$J:$J,BBDD!$G:$G=C57,BBDD!$H:$H=F57,BBDD!$I:$I=G57),""NO TIENE PROCESO""))*D57"),0.705)</f>
        <v>0.705</v>
      </c>
      <c r="I57" s="46">
        <f t="shared" si="1"/>
        <v>0.5</v>
      </c>
      <c r="J57" s="46">
        <f>SUMIFS('👷horas'!$J:$J,'👷horas'!$D:$D,A57,'👷horas'!$E:$E,B57,'👷horas'!$F:$F,F57,'👷horas'!$G:$G,G57)</f>
        <v>0.5</v>
      </c>
      <c r="K57" s="47">
        <f>SUMIFS('👷horas'!$K:$K,'👷horas'!$D:$D,A57,'👷horas'!$E:$E,B57,'👷horas'!$F:$F,F57,'👷horas'!$G:$G,G57)</f>
        <v>0</v>
      </c>
      <c r="L57" s="48">
        <f t="shared" si="2"/>
        <v>0.1063829787</v>
      </c>
      <c r="M57" s="49">
        <f t="shared" si="3"/>
        <v>0</v>
      </c>
      <c r="N57" s="50">
        <f t="shared" si="4"/>
        <v>0.2907801418</v>
      </c>
      <c r="O57" s="50">
        <f t="shared" si="5"/>
        <v>1</v>
      </c>
      <c r="P57" s="51" t="s">
        <v>193</v>
      </c>
      <c r="Q57" s="52" t="str">
        <f t="shared" si="6"/>
        <v>Terminado</v>
      </c>
      <c r="R57" s="52" t="str">
        <f>IFERROR(__xludf.DUMMYFUNCTION("SPARKLINE(O57,{""charttype"",""bar"";""max"",1;""color1"",IF(P57=""Terminado"",""#4CAF50"",IF(O57&gt;=0.5,""#FFA500"",""#F44336""))})"),"")</f>
        <v/>
      </c>
      <c r="S57" s="40"/>
      <c r="T57" s="40"/>
      <c r="U57" s="40"/>
      <c r="V57" s="40"/>
      <c r="W57" s="40"/>
      <c r="X57" s="40"/>
      <c r="Y57" s="40"/>
      <c r="Z57" s="40"/>
      <c r="AA57" s="40"/>
    </row>
    <row r="58" ht="22.5" customHeight="1">
      <c r="A58" s="56" t="s">
        <v>136</v>
      </c>
      <c r="B58" s="56" t="s">
        <v>72</v>
      </c>
      <c r="C58" s="59" t="s">
        <v>171</v>
      </c>
      <c r="D58" s="57">
        <v>4.7</v>
      </c>
      <c r="E58" s="43">
        <v>46112.0</v>
      </c>
      <c r="F58" s="44" t="str">
        <f>IFERROR(__xludf.DUMMYFUNCTION("""COMPUTED_VALUE"""),"Pintura")</f>
        <v>Pintura</v>
      </c>
      <c r="G58" s="44" t="str">
        <f>IFERROR(__xludf.DUMMYFUNCTION("""COMPUTED_VALUE"""),"Lijado y/o Masillado")</f>
        <v>Lijado y/o Masillado</v>
      </c>
      <c r="H58" s="45">
        <f>IFERROR(__xludf.DUMMYFUNCTION("(IFERROR(FILTER(BBDD!$J:$J,BBDD!$G:$G=C58,BBDD!$H:$H=F58,BBDD!$I:$I=G58),""NO TIENE PROCESO""))*D58"),2.82)</f>
        <v>2.82</v>
      </c>
      <c r="I58" s="46">
        <f t="shared" si="1"/>
        <v>9.5</v>
      </c>
      <c r="J58" s="46">
        <f>SUMIFS('👷horas'!$J:$J,'👷horas'!$D:$D,A58,'👷horas'!$E:$E,B58,'👷horas'!$F:$F,F58,'👷horas'!$G:$G,G58)</f>
        <v>9</v>
      </c>
      <c r="K58" s="47">
        <f>SUMIFS('👷horas'!$K:$K,'👷horas'!$D:$D,A58,'👷horas'!$E:$E,B58,'👷horas'!$F:$F,F58,'👷horas'!$G:$G,G58)</f>
        <v>0.5</v>
      </c>
      <c r="L58" s="48">
        <f t="shared" si="2"/>
        <v>2.021276596</v>
      </c>
      <c r="M58" s="49">
        <f t="shared" si="3"/>
        <v>0</v>
      </c>
      <c r="N58" s="50">
        <f t="shared" si="4"/>
        <v>-2.368794326</v>
      </c>
      <c r="O58" s="50">
        <f t="shared" si="5"/>
        <v>1</v>
      </c>
      <c r="P58" s="51" t="s">
        <v>193</v>
      </c>
      <c r="Q58" s="52" t="str">
        <f t="shared" si="6"/>
        <v>Terminado</v>
      </c>
      <c r="R58" s="52" t="str">
        <f>IFERROR(__xludf.DUMMYFUNCTION("SPARKLINE(O58,{""charttype"",""bar"";""max"",1;""color1"",IF(P58=""Terminado"",""#4CAF50"",IF(O58&gt;=0.5,""#FFA500"",""#F44336""))})"),"")</f>
        <v/>
      </c>
      <c r="S58" s="40"/>
      <c r="T58" s="40"/>
      <c r="U58" s="40"/>
      <c r="V58" s="40"/>
      <c r="W58" s="40"/>
      <c r="X58" s="40"/>
      <c r="Y58" s="40"/>
      <c r="Z58" s="40"/>
      <c r="AA58" s="40"/>
    </row>
    <row r="59" ht="22.5" customHeight="1">
      <c r="A59" s="56" t="s">
        <v>136</v>
      </c>
      <c r="B59" s="56" t="s">
        <v>72</v>
      </c>
      <c r="C59" s="59" t="s">
        <v>171</v>
      </c>
      <c r="D59" s="57">
        <v>4.7</v>
      </c>
      <c r="E59" s="43">
        <v>46112.0</v>
      </c>
      <c r="F59" s="44" t="str">
        <f>IFERROR(__xludf.DUMMYFUNCTION("""COMPUTED_VALUE"""),"Pintura")</f>
        <v>Pintura</v>
      </c>
      <c r="G59" s="44" t="str">
        <f>IFERROR(__xludf.DUMMYFUNCTION("""COMPUTED_VALUE"""),"Imprimación/Pintura")</f>
        <v>Imprimación/Pintura</v>
      </c>
      <c r="H59" s="63">
        <f>IFERROR(__xludf.DUMMYFUNCTION("(IFERROR(FILTER(BBDD!$J:$J,BBDD!$G:$G=C59,BBDD!$H:$H=F59,BBDD!$I:$I=G59),""NO TIENE PROCESO""))*D59"),1.8800000000000001)</f>
        <v>1.88</v>
      </c>
      <c r="I59" s="46">
        <f t="shared" si="1"/>
        <v>3</v>
      </c>
      <c r="J59" s="46">
        <f>SUMIFS('👷horas'!$J:$J,'👷horas'!$D:$D,A59,'👷horas'!$E:$E,B59,'👷horas'!$F:$F,F59,'👷horas'!$G:$G,G59)</f>
        <v>2</v>
      </c>
      <c r="K59" s="47">
        <f>SUMIFS('👷horas'!$K:$K,'👷horas'!$D:$D,A59,'👷horas'!$E:$E,B59,'👷horas'!$F:$F,F59,'👷horas'!$G:$G,G59)</f>
        <v>1</v>
      </c>
      <c r="L59" s="64">
        <f t="shared" si="2"/>
        <v>0.6382978723</v>
      </c>
      <c r="M59" s="65">
        <f t="shared" si="3"/>
        <v>0</v>
      </c>
      <c r="N59" s="50">
        <f t="shared" si="4"/>
        <v>-0.5957446809</v>
      </c>
      <c r="O59" s="66">
        <f t="shared" si="5"/>
        <v>1</v>
      </c>
      <c r="P59" s="51" t="s">
        <v>193</v>
      </c>
      <c r="Q59" s="67" t="str">
        <f t="shared" si="6"/>
        <v>Terminado</v>
      </c>
      <c r="R59" s="67" t="str">
        <f>IFERROR(__xludf.DUMMYFUNCTION("SPARKLINE(O59,{""charttype"",""bar"";""max"",1;""color1"",IF(P59=""Terminado"",""#4CAF50"",IF(O59&gt;=0.5,""#FFA500"",""#F44336""))})"),"")</f>
        <v/>
      </c>
      <c r="S59" s="40"/>
      <c r="T59" s="40"/>
      <c r="U59" s="40"/>
      <c r="V59" s="40"/>
      <c r="W59" s="40"/>
      <c r="X59" s="40"/>
      <c r="Y59" s="40"/>
      <c r="Z59" s="40"/>
      <c r="AA59" s="40"/>
    </row>
    <row r="60" ht="22.5" customHeight="1">
      <c r="A60" s="56" t="s">
        <v>136</v>
      </c>
      <c r="B60" s="60" t="s">
        <v>145</v>
      </c>
      <c r="C60" s="60" t="s">
        <v>173</v>
      </c>
      <c r="D60" s="61">
        <v>18.0</v>
      </c>
      <c r="E60" s="43">
        <v>46112.0</v>
      </c>
      <c r="F60" s="54" t="str">
        <f>IFERROR(__xludf.DUMMYFUNCTION("FILTER(BBDD!H:H,BBDD!G:G=C60)"),"Fabricación")</f>
        <v>Fabricación</v>
      </c>
      <c r="G60" s="54" t="str">
        <f>IFERROR(__xludf.DUMMYFUNCTION("FILTER(BBDD!I:I,BBDD!G:G=C60)"),"Ensamblaje")</f>
        <v>Ensamblaje</v>
      </c>
      <c r="H60" s="63">
        <f>IFERROR(__xludf.DUMMYFUNCTION("(IFERROR(FILTER(BBDD!$J:$J,BBDD!$G:$G=C60,BBDD!$H:$H=F60,BBDD!$I:$I=G60),""NO TIENE PROCESO""))*D60"),23.94)</f>
        <v>23.94</v>
      </c>
      <c r="I60" s="46">
        <f t="shared" si="1"/>
        <v>78</v>
      </c>
      <c r="J60" s="46">
        <f>SUMIFS('👷horas'!$J:$J,'👷horas'!$D:$D,A60,'👷horas'!$E:$E,B60,'👷horas'!$F:$F,F60,'👷horas'!$G:$G,G60)</f>
        <v>58</v>
      </c>
      <c r="K60" s="47">
        <f>SUMIFS('👷horas'!$K:$K,'👷horas'!$D:$D,A60,'👷horas'!$E:$E,B60,'👷horas'!$F:$F,F60,'👷horas'!$G:$G,G60)</f>
        <v>20</v>
      </c>
      <c r="L60" s="64">
        <f t="shared" si="2"/>
        <v>4.333333333</v>
      </c>
      <c r="M60" s="65">
        <f t="shared" si="3"/>
        <v>0</v>
      </c>
      <c r="N60" s="66">
        <f t="shared" si="4"/>
        <v>-2.258145363</v>
      </c>
      <c r="O60" s="66">
        <f t="shared" si="5"/>
        <v>1</v>
      </c>
      <c r="P60" s="69" t="s">
        <v>193</v>
      </c>
      <c r="Q60" s="67" t="str">
        <f t="shared" si="6"/>
        <v>Terminado</v>
      </c>
      <c r="R60" s="67" t="str">
        <f>IFERROR(__xludf.DUMMYFUNCTION("SPARKLINE(O60,{""charttype"",""bar"";""max"",1;""color1"",IF(P60=""Terminado"",""#4CAF50"",IF(O60&gt;=0.5,""#FFA500"",""#F44336""))})"),"")</f>
        <v/>
      </c>
      <c r="S60" s="40"/>
      <c r="T60" s="40"/>
      <c r="U60" s="40"/>
      <c r="V60" s="40"/>
      <c r="W60" s="40"/>
      <c r="X60" s="40"/>
      <c r="Y60" s="40"/>
      <c r="Z60" s="40"/>
      <c r="AA60" s="40"/>
    </row>
    <row r="61" ht="22.5" customHeight="1">
      <c r="A61" s="56" t="s">
        <v>136</v>
      </c>
      <c r="B61" s="60" t="s">
        <v>145</v>
      </c>
      <c r="C61" s="60" t="s">
        <v>173</v>
      </c>
      <c r="D61" s="61">
        <v>18.0</v>
      </c>
      <c r="E61" s="43">
        <v>46112.0</v>
      </c>
      <c r="F61" s="68" t="str">
        <f>IFERROR(__xludf.DUMMYFUNCTION("""COMPUTED_VALUE"""),"Fabricación")</f>
        <v>Fabricación</v>
      </c>
      <c r="G61" s="68" t="str">
        <f>IFERROR(__xludf.DUMMYFUNCTION("""COMPUTED_VALUE"""),"Colocación de perfiles")</f>
        <v>Colocación de perfiles</v>
      </c>
      <c r="H61" s="63">
        <f>IFERROR(__xludf.DUMMYFUNCTION("(IFERROR(FILTER(BBDD!$J:$J,BBDD!$G:$G=C61,BBDD!$H:$H=F61,BBDD!$I:$I=G61),""NO TIENE PROCESO""))*D61"),29.88)</f>
        <v>29.88</v>
      </c>
      <c r="I61" s="46">
        <f t="shared" si="1"/>
        <v>25.25</v>
      </c>
      <c r="J61" s="46">
        <f>SUMIFS('👷horas'!$J:$J,'👷horas'!$D:$D,A61,'👷horas'!$E:$E,B61,'👷horas'!$F:$F,F61,'👷horas'!$G:$G,G61)</f>
        <v>8.5</v>
      </c>
      <c r="K61" s="47">
        <f>SUMIFS('👷horas'!$K:$K,'👷horas'!$D:$D,A61,'👷horas'!$E:$E,B61,'👷horas'!$F:$F,F61,'👷horas'!$G:$G,G61)</f>
        <v>16.75</v>
      </c>
      <c r="L61" s="64">
        <f t="shared" si="2"/>
        <v>1.402777778</v>
      </c>
      <c r="M61" s="65">
        <f t="shared" si="3"/>
        <v>0</v>
      </c>
      <c r="N61" s="66">
        <f t="shared" si="4"/>
        <v>0.1549531459</v>
      </c>
      <c r="O61" s="66">
        <f t="shared" si="5"/>
        <v>1</v>
      </c>
      <c r="P61" s="69" t="s">
        <v>193</v>
      </c>
      <c r="Q61" s="67" t="str">
        <f t="shared" si="6"/>
        <v>Terminado</v>
      </c>
      <c r="R61" s="67" t="str">
        <f>IFERROR(__xludf.DUMMYFUNCTION("SPARKLINE(O61,{""charttype"",""bar"";""max"",1;""color1"",IF(P61=""Terminado"",""#4CAF50"",IF(O61&gt;=0.5,""#FFA500"",""#F44336""))})"),"")</f>
        <v/>
      </c>
      <c r="S61" s="40"/>
      <c r="T61" s="40"/>
      <c r="U61" s="40"/>
      <c r="V61" s="40"/>
      <c r="W61" s="40"/>
      <c r="X61" s="40"/>
      <c r="Y61" s="40"/>
      <c r="Z61" s="40"/>
      <c r="AA61" s="40"/>
    </row>
    <row r="62" ht="22.5" customHeight="1">
      <c r="A62" s="56" t="s">
        <v>136</v>
      </c>
      <c r="B62" s="60" t="s">
        <v>150</v>
      </c>
      <c r="C62" s="60" t="s">
        <v>176</v>
      </c>
      <c r="D62" s="61">
        <v>1.0</v>
      </c>
      <c r="E62" s="43">
        <v>46112.0</v>
      </c>
      <c r="F62" s="68" t="s">
        <v>20</v>
      </c>
      <c r="G62" s="70" t="s">
        <v>21</v>
      </c>
      <c r="H62" s="71">
        <v>6.0</v>
      </c>
      <c r="I62" s="46">
        <f t="shared" si="1"/>
        <v>7</v>
      </c>
      <c r="J62" s="46">
        <f>SUMIFS('👷horas'!$J:$J,'👷horas'!$D:$D,A62,'👷horas'!$E:$E,B62,'👷horas'!$F:$F,F62,'👷horas'!$G:$G,G62)</f>
        <v>7</v>
      </c>
      <c r="K62" s="47">
        <f>SUMIFS('👷horas'!$K:$K,'👷horas'!$D:$D,A62,'👷horas'!$E:$E,B62,'👷horas'!$F:$F,F62,'👷horas'!$G:$G,G62)</f>
        <v>0</v>
      </c>
      <c r="L62" s="64">
        <f t="shared" si="2"/>
        <v>7</v>
      </c>
      <c r="M62" s="65">
        <f t="shared" si="3"/>
        <v>0</v>
      </c>
      <c r="N62" s="50">
        <f t="shared" si="4"/>
        <v>-0.1666666667</v>
      </c>
      <c r="O62" s="66">
        <f t="shared" si="5"/>
        <v>1</v>
      </c>
      <c r="P62" s="51" t="s">
        <v>193</v>
      </c>
      <c r="Q62" s="67" t="str">
        <f t="shared" si="6"/>
        <v>Terminado</v>
      </c>
      <c r="R62" s="67" t="str">
        <f>IFERROR(__xludf.DUMMYFUNCTION("SPARKLINE(O62,{""charttype"",""bar"";""max"",1;""color1"",IF(P62=""Terminado"",""#4CAF50"",IF(O62&gt;=0.5,""#FFA500"",""#F44336""))})"),"")</f>
        <v/>
      </c>
      <c r="S62" s="40"/>
      <c r="T62" s="40"/>
      <c r="U62" s="40"/>
      <c r="V62" s="40"/>
      <c r="W62" s="40"/>
      <c r="X62" s="40"/>
      <c r="Y62" s="40"/>
      <c r="Z62" s="40"/>
      <c r="AA62" s="40"/>
    </row>
    <row r="63" ht="22.5" customHeight="1">
      <c r="A63" s="56" t="s">
        <v>136</v>
      </c>
      <c r="B63" s="60" t="s">
        <v>150</v>
      </c>
      <c r="C63" s="60" t="s">
        <v>176</v>
      </c>
      <c r="D63" s="61">
        <v>1.0</v>
      </c>
      <c r="E63" s="43">
        <v>46112.0</v>
      </c>
      <c r="F63" s="68" t="s">
        <v>20</v>
      </c>
      <c r="G63" s="70" t="s">
        <v>63</v>
      </c>
      <c r="H63" s="71">
        <v>1.0</v>
      </c>
      <c r="I63" s="46">
        <f t="shared" si="1"/>
        <v>5.5</v>
      </c>
      <c r="J63" s="46">
        <f>SUMIFS('👷horas'!$J:$J,'👷horas'!$D:$D,A63,'👷horas'!$E:$E,B63,'👷horas'!$F:$F,F63,'👷horas'!$G:$G,G63)</f>
        <v>5.5</v>
      </c>
      <c r="K63" s="47">
        <f>SUMIFS('👷horas'!$K:$K,'👷horas'!$D:$D,A63,'👷horas'!$E:$E,B63,'👷horas'!$F:$F,F63,'👷horas'!$G:$G,G63)</f>
        <v>0</v>
      </c>
      <c r="L63" s="64">
        <f t="shared" si="2"/>
        <v>5.5</v>
      </c>
      <c r="M63" s="65">
        <f t="shared" si="3"/>
        <v>0</v>
      </c>
      <c r="N63" s="50">
        <f t="shared" si="4"/>
        <v>-4.5</v>
      </c>
      <c r="O63" s="66">
        <f t="shared" si="5"/>
        <v>1</v>
      </c>
      <c r="P63" s="51" t="s">
        <v>193</v>
      </c>
      <c r="Q63" s="67" t="str">
        <f t="shared" si="6"/>
        <v>Terminado</v>
      </c>
      <c r="R63" s="67" t="str">
        <f>IFERROR(__xludf.DUMMYFUNCTION("SPARKLINE(O63,{""charttype"",""bar"";""max"",1;""color1"",IF(P63=""Terminado"",""#4CAF50"",IF(O63&gt;=0.5,""#FFA500"",""#F44336""))})"),"")</f>
        <v/>
      </c>
      <c r="S63" s="40"/>
      <c r="T63" s="40"/>
      <c r="U63" s="40"/>
      <c r="V63" s="40"/>
      <c r="W63" s="40"/>
      <c r="X63" s="40"/>
      <c r="Y63" s="40"/>
      <c r="Z63" s="40"/>
      <c r="AA63" s="40"/>
    </row>
    <row r="64" ht="22.5" customHeight="1">
      <c r="A64" s="59" t="s">
        <v>98</v>
      </c>
      <c r="B64" s="60" t="s">
        <v>11</v>
      </c>
      <c r="C64" s="41" t="s">
        <v>14</v>
      </c>
      <c r="D64" s="61">
        <v>13.8</v>
      </c>
      <c r="E64" s="62">
        <v>46113.0</v>
      </c>
      <c r="F64" s="72" t="str">
        <f>IFERROR(__xludf.DUMMYFUNCTION("FILTER(BBDD!H:H,BBDD!G:G=C64)"),"CNC")</f>
        <v>CNC</v>
      </c>
      <c r="G64" s="72" t="str">
        <f>IFERROR(__xludf.DUMMYFUNCTION("FILTER(BBDD!I:I,BBDD!G:G=C64)"),"CNC")</f>
        <v>CNC</v>
      </c>
      <c r="H64" s="63">
        <f>IFERROR(__xludf.DUMMYFUNCTION("(IFERROR(FILTER(BBDD!$J:$J,BBDD!$G:$G=C64,BBDD!$H:$H=F64,BBDD!$I:$I=G64),""NO TIENE PROCESO""))*D64"),2.7600000000000002)</f>
        <v>2.76</v>
      </c>
      <c r="I64" s="46">
        <f t="shared" si="1"/>
        <v>1.7388</v>
      </c>
      <c r="J64" s="46">
        <f>SUMIFS('👷horas'!$J:$J,'👷horas'!$D:$D,A64,'👷horas'!$E:$E,B64,'👷horas'!$F:$F,F64,'👷horas'!$G:$G,G64)</f>
        <v>1.7388</v>
      </c>
      <c r="K64" s="47">
        <f>SUMIFS('👷horas'!$K:$K,'👷horas'!$D:$D,A64,'👷horas'!$E:$E,B64,'👷horas'!$F:$F,F64,'👷horas'!$G:$G,G64)</f>
        <v>0</v>
      </c>
      <c r="L64" s="64">
        <f t="shared" si="2"/>
        <v>0.126</v>
      </c>
      <c r="M64" s="65">
        <f t="shared" si="3"/>
        <v>0</v>
      </c>
      <c r="N64" s="50">
        <f t="shared" si="4"/>
        <v>0.37</v>
      </c>
      <c r="O64" s="66">
        <f t="shared" si="5"/>
        <v>1</v>
      </c>
      <c r="P64" s="51" t="s">
        <v>193</v>
      </c>
      <c r="Q64" s="67" t="str">
        <f t="shared" si="6"/>
        <v>Terminado</v>
      </c>
      <c r="R64" s="67" t="str">
        <f>IFERROR(__xludf.DUMMYFUNCTION("SPARKLINE(O64,{""charttype"",""bar"";""max"",1;""color1"",IF(P64=""Terminado"",""#4CAF50"",IF(O64&gt;=0.5,""#FFA500"",""#F44336""))})"),"")</f>
        <v/>
      </c>
      <c r="S64" s="40"/>
      <c r="T64" s="40"/>
      <c r="U64" s="40"/>
      <c r="V64" s="40"/>
      <c r="W64" s="40"/>
      <c r="X64" s="40"/>
      <c r="Y64" s="40"/>
      <c r="Z64" s="40"/>
      <c r="AA64" s="40"/>
    </row>
    <row r="65" ht="22.5" customHeight="1">
      <c r="A65" s="59" t="s">
        <v>98</v>
      </c>
      <c r="B65" s="60" t="s">
        <v>11</v>
      </c>
      <c r="C65" s="41" t="s">
        <v>14</v>
      </c>
      <c r="D65" s="61">
        <v>13.8</v>
      </c>
      <c r="E65" s="62">
        <v>46113.0</v>
      </c>
      <c r="F65" s="72" t="str">
        <f>IFERROR(__xludf.DUMMYFUNCTION("""COMPUTED_VALUE"""),"Fabricación")</f>
        <v>Fabricación</v>
      </c>
      <c r="G65" s="72" t="str">
        <f>IFERROR(__xludf.DUMMYFUNCTION("""COMPUTED_VALUE"""),"Ensamblaje")</f>
        <v>Ensamblaje</v>
      </c>
      <c r="H65" s="63">
        <f>IFERROR(__xludf.DUMMYFUNCTION("(IFERROR(FILTER(BBDD!$J:$J,BBDD!$G:$G=C65,BBDD!$H:$H=F65,BBDD!$I:$I=G65),""NO TIENE PROCESO""))*D65"),8.556000000000001)</f>
        <v>8.556</v>
      </c>
      <c r="I65" s="46">
        <f t="shared" si="1"/>
        <v>8</v>
      </c>
      <c r="J65" s="46">
        <f>SUMIFS('👷horas'!$J:$J,'👷horas'!$D:$D,A65,'👷horas'!$E:$E,B65,'👷horas'!$F:$F,F65,'👷horas'!$G:$G,G65)</f>
        <v>8</v>
      </c>
      <c r="K65" s="47">
        <f>SUMIFS('👷horas'!$K:$K,'👷horas'!$D:$D,A65,'👷horas'!$E:$E,B65,'👷horas'!$F:$F,F65,'👷horas'!$G:$G,G65)</f>
        <v>0</v>
      </c>
      <c r="L65" s="64">
        <f t="shared" si="2"/>
        <v>0.5797101449</v>
      </c>
      <c r="M65" s="65">
        <f t="shared" si="3"/>
        <v>0</v>
      </c>
      <c r="N65" s="50">
        <f t="shared" si="4"/>
        <v>0.06498363721</v>
      </c>
      <c r="O65" s="66">
        <f t="shared" si="5"/>
        <v>1</v>
      </c>
      <c r="P65" s="51" t="s">
        <v>193</v>
      </c>
      <c r="Q65" s="67" t="str">
        <f t="shared" si="6"/>
        <v>Terminado</v>
      </c>
      <c r="R65" s="67" t="str">
        <f>IFERROR(__xludf.DUMMYFUNCTION("SPARKLINE(O65,{""charttype"",""bar"";""max"",1;""color1"",IF(P65=""Terminado"",""#4CAF50"",IF(O65&gt;=0.5,""#FFA500"",""#F44336""))})"),"")</f>
        <v/>
      </c>
      <c r="S65" s="40"/>
      <c r="T65" s="40"/>
      <c r="U65" s="40"/>
      <c r="V65" s="40"/>
      <c r="W65" s="40"/>
      <c r="X65" s="40"/>
      <c r="Y65" s="40"/>
      <c r="Z65" s="40"/>
      <c r="AA65" s="40"/>
    </row>
    <row r="66" ht="22.5" customHeight="1">
      <c r="A66" s="59" t="s">
        <v>98</v>
      </c>
      <c r="B66" s="60" t="s">
        <v>11</v>
      </c>
      <c r="C66" s="41" t="s">
        <v>14</v>
      </c>
      <c r="D66" s="61">
        <v>13.8</v>
      </c>
      <c r="E66" s="62">
        <v>46113.0</v>
      </c>
      <c r="F66" s="72" t="str">
        <f>IFERROR(__xludf.DUMMYFUNCTION("""COMPUTED_VALUE"""),"Fabricación")</f>
        <v>Fabricación</v>
      </c>
      <c r="G66" s="72" t="str">
        <f>IFERROR(__xludf.DUMMYFUNCTION("""COMPUTED_VALUE"""),"Colocación de perfiles")</f>
        <v>Colocación de perfiles</v>
      </c>
      <c r="H66" s="63">
        <f>IFERROR(__xludf.DUMMYFUNCTION("(IFERROR(FILTER(BBDD!$J:$J,BBDD!$G:$G=C66,BBDD!$H:$H=F66,BBDD!$I:$I=G66),""NO TIENE PROCESO""))*D66"),2.7600000000000002)</f>
        <v>2.76</v>
      </c>
      <c r="I66" s="46">
        <f t="shared" si="1"/>
        <v>3</v>
      </c>
      <c r="J66" s="46">
        <f>SUMIFS('👷horas'!$J:$J,'👷horas'!$D:$D,A66,'👷horas'!$E:$E,B66,'👷horas'!$F:$F,F66,'👷horas'!$G:$G,G66)</f>
        <v>3</v>
      </c>
      <c r="K66" s="47">
        <f>SUMIFS('👷horas'!$K:$K,'👷horas'!$D:$D,A66,'👷horas'!$E:$E,B66,'👷horas'!$F:$F,F66,'👷horas'!$G:$G,G66)</f>
        <v>0</v>
      </c>
      <c r="L66" s="64">
        <f t="shared" si="2"/>
        <v>0.2173913043</v>
      </c>
      <c r="M66" s="65">
        <f t="shared" si="3"/>
        <v>0</v>
      </c>
      <c r="N66" s="50">
        <f t="shared" si="4"/>
        <v>-0.08695652174</v>
      </c>
      <c r="O66" s="66">
        <f t="shared" si="5"/>
        <v>1</v>
      </c>
      <c r="P66" s="51" t="s">
        <v>193</v>
      </c>
      <c r="Q66" s="67" t="str">
        <f t="shared" si="6"/>
        <v>Terminado</v>
      </c>
      <c r="R66" s="67" t="str">
        <f>IFERROR(__xludf.DUMMYFUNCTION("SPARKLINE(O66,{""charttype"",""bar"";""max"",1;""color1"",IF(P66=""Terminado"",""#4CAF50"",IF(O66&gt;=0.5,""#FFA500"",""#F44336""))})"),"")</f>
        <v/>
      </c>
      <c r="S66" s="40"/>
      <c r="T66" s="40"/>
      <c r="U66" s="40"/>
      <c r="V66" s="40"/>
      <c r="W66" s="40"/>
      <c r="X66" s="40"/>
      <c r="Y66" s="40"/>
      <c r="Z66" s="40"/>
      <c r="AA66" s="40"/>
    </row>
    <row r="67" ht="22.5" customHeight="1">
      <c r="A67" s="59" t="s">
        <v>98</v>
      </c>
      <c r="B67" s="60" t="s">
        <v>11</v>
      </c>
      <c r="C67" s="41" t="s">
        <v>14</v>
      </c>
      <c r="D67" s="61">
        <v>13.8</v>
      </c>
      <c r="E67" s="62">
        <v>46113.0</v>
      </c>
      <c r="F67" s="72" t="str">
        <f>IFERROR(__xludf.DUMMYFUNCTION("""COMPUTED_VALUE"""),"Fabricación")</f>
        <v>Fabricación</v>
      </c>
      <c r="G67" s="72" t="str">
        <f>IFERROR(__xludf.DUMMYFUNCTION("""COMPUTED_VALUE"""),"Embalaje/carga/descarga material")</f>
        <v>Embalaje/carga/descarga material</v>
      </c>
      <c r="H67" s="63">
        <f>IFERROR(__xludf.DUMMYFUNCTION("(IFERROR(FILTER(BBDD!$J:$J,BBDD!$G:$G=C67,BBDD!$H:$H=F67,BBDD!$I:$I=G67),""NO TIENE PROCESO""))*D67"),2.07)</f>
        <v>2.07</v>
      </c>
      <c r="I67" s="46">
        <f t="shared" si="1"/>
        <v>1.5</v>
      </c>
      <c r="J67" s="46">
        <f>SUMIFS('👷horas'!$J:$J,'👷horas'!$D:$D,A67,'👷horas'!$E:$E,B67,'👷horas'!$F:$F,F67,'👷horas'!$G:$G,G67)</f>
        <v>1.5</v>
      </c>
      <c r="K67" s="47">
        <f>SUMIFS('👷horas'!$K:$K,'👷horas'!$D:$D,A67,'👷horas'!$E:$E,B67,'👷horas'!$F:$F,F67,'👷horas'!$G:$G,G67)</f>
        <v>0</v>
      </c>
      <c r="L67" s="64">
        <f t="shared" si="2"/>
        <v>0.1086956522</v>
      </c>
      <c r="M67" s="65">
        <f t="shared" si="3"/>
        <v>0</v>
      </c>
      <c r="N67" s="50">
        <f t="shared" si="4"/>
        <v>0.2753623188</v>
      </c>
      <c r="O67" s="66">
        <f t="shared" si="5"/>
        <v>1</v>
      </c>
      <c r="P67" s="51" t="s">
        <v>193</v>
      </c>
      <c r="Q67" s="67" t="str">
        <f t="shared" si="6"/>
        <v>Terminado</v>
      </c>
      <c r="R67" s="67" t="str">
        <f>IFERROR(__xludf.DUMMYFUNCTION("SPARKLINE(O67,{""charttype"",""bar"";""max"",1;""color1"",IF(P67=""Terminado"",""#4CAF50"",IF(O67&gt;=0.5,""#FFA500"",""#F44336""))})"),"")</f>
        <v/>
      </c>
      <c r="S67" s="40"/>
      <c r="T67" s="40"/>
      <c r="U67" s="40"/>
      <c r="V67" s="40"/>
      <c r="W67" s="40"/>
      <c r="X67" s="40"/>
      <c r="Y67" s="40"/>
      <c r="Z67" s="40"/>
      <c r="AA67" s="40"/>
    </row>
    <row r="68" ht="22.5" customHeight="1">
      <c r="A68" s="59" t="s">
        <v>98</v>
      </c>
      <c r="B68" s="60" t="s">
        <v>11</v>
      </c>
      <c r="C68" s="41" t="s">
        <v>14</v>
      </c>
      <c r="D68" s="61">
        <v>13.8</v>
      </c>
      <c r="E68" s="62">
        <v>46113.0</v>
      </c>
      <c r="F68" s="68" t="str">
        <f>IFERROR(__xludf.DUMMYFUNCTION("""COMPUTED_VALUE"""),"Pintura")</f>
        <v>Pintura</v>
      </c>
      <c r="G68" s="68" t="str">
        <f>IFERROR(__xludf.DUMMYFUNCTION("""COMPUTED_VALUE"""),"Lijado y/o Masillado")</f>
        <v>Lijado y/o Masillado</v>
      </c>
      <c r="H68" s="63">
        <f>IFERROR(__xludf.DUMMYFUNCTION("(IFERROR(FILTER(BBDD!$J:$J,BBDD!$G:$G=C68,BBDD!$H:$H=F68,BBDD!$I:$I=G68),""NO TIENE PROCESO""))*D68"),6.9)</f>
        <v>6.9</v>
      </c>
      <c r="I68" s="46">
        <f t="shared" si="1"/>
        <v>11.5</v>
      </c>
      <c r="J68" s="46">
        <f>SUMIFS('👷horas'!$J:$J,'👷horas'!$D:$D,A68,'👷horas'!$E:$E,B68,'👷horas'!$F:$F,F68,'👷horas'!$G:$G,G68)</f>
        <v>9.5</v>
      </c>
      <c r="K68" s="47">
        <f>SUMIFS('👷horas'!$K:$K,'👷horas'!$D:$D,A68,'👷horas'!$E:$E,B68,'👷horas'!$F:$F,F68,'👷horas'!$G:$G,G68)</f>
        <v>2</v>
      </c>
      <c r="L68" s="64">
        <f t="shared" si="2"/>
        <v>0.8333333333</v>
      </c>
      <c r="M68" s="65">
        <f t="shared" si="3"/>
        <v>0</v>
      </c>
      <c r="N68" s="50">
        <f t="shared" si="4"/>
        <v>-0.6666666667</v>
      </c>
      <c r="O68" s="66">
        <f t="shared" si="5"/>
        <v>1</v>
      </c>
      <c r="P68" s="51" t="s">
        <v>193</v>
      </c>
      <c r="Q68" s="67" t="str">
        <f t="shared" si="6"/>
        <v>Terminado</v>
      </c>
      <c r="R68" s="67" t="str">
        <f>IFERROR(__xludf.DUMMYFUNCTION("SPARKLINE(O68,{""charttype"",""bar"";""max"",1;""color1"",IF(P68=""Terminado"",""#4CAF50"",IF(O68&gt;=0.5,""#FFA500"",""#F44336""))})"),"")</f>
        <v/>
      </c>
      <c r="S68" s="40"/>
      <c r="T68" s="40"/>
      <c r="U68" s="40"/>
      <c r="V68" s="40"/>
      <c r="W68" s="40"/>
      <c r="X68" s="40"/>
      <c r="Y68" s="40"/>
      <c r="Z68" s="40"/>
      <c r="AA68" s="40"/>
    </row>
    <row r="69" ht="22.5" customHeight="1">
      <c r="A69" s="59" t="s">
        <v>98</v>
      </c>
      <c r="B69" s="60" t="s">
        <v>11</v>
      </c>
      <c r="C69" s="41" t="s">
        <v>14</v>
      </c>
      <c r="D69" s="61">
        <v>13.8</v>
      </c>
      <c r="E69" s="62">
        <v>46113.0</v>
      </c>
      <c r="F69" s="72" t="str">
        <f>IFERROR(__xludf.DUMMYFUNCTION("""COMPUTED_VALUE"""),"Pintura")</f>
        <v>Pintura</v>
      </c>
      <c r="G69" s="72" t="str">
        <f>IFERROR(__xludf.DUMMYFUNCTION("""COMPUTED_VALUE"""),"Imprimación/Pintura")</f>
        <v>Imprimación/Pintura</v>
      </c>
      <c r="H69" s="63">
        <f>IFERROR(__xludf.DUMMYFUNCTION("(IFERROR(FILTER(BBDD!$J:$J,BBDD!$G:$G=C69,BBDD!$H:$H=F69,BBDD!$I:$I=G69),""NO TIENE PROCESO""))*D69"),5.5200000000000005)</f>
        <v>5.52</v>
      </c>
      <c r="I69" s="46">
        <f t="shared" si="1"/>
        <v>4.5</v>
      </c>
      <c r="J69" s="46">
        <f>SUMIFS('👷horas'!$J:$J,'👷horas'!$D:$D,A69,'👷horas'!$E:$E,B69,'👷horas'!$F:$F,F69,'👷horas'!$G:$G,G69)</f>
        <v>4.5</v>
      </c>
      <c r="K69" s="47">
        <f>SUMIFS('👷horas'!$K:$K,'👷horas'!$D:$D,A69,'👷horas'!$E:$E,B69,'👷horas'!$F:$F,F69,'👷horas'!$G:$G,G69)</f>
        <v>0</v>
      </c>
      <c r="L69" s="64">
        <f t="shared" si="2"/>
        <v>0.3260869565</v>
      </c>
      <c r="M69" s="65">
        <f t="shared" si="3"/>
        <v>0</v>
      </c>
      <c r="N69" s="50">
        <f t="shared" si="4"/>
        <v>0.1847826087</v>
      </c>
      <c r="O69" s="66">
        <f t="shared" si="5"/>
        <v>1</v>
      </c>
      <c r="P69" s="51" t="s">
        <v>193</v>
      </c>
      <c r="Q69" s="67" t="str">
        <f t="shared" si="6"/>
        <v>Terminado</v>
      </c>
      <c r="R69" s="67" t="str">
        <f>IFERROR(__xludf.DUMMYFUNCTION("SPARKLINE(O69,{""charttype"",""bar"";""max"",1;""color1"",IF(P69=""Terminado"",""#4CAF50"",IF(O69&gt;=0.5,""#FFA500"",""#F44336""))})"),"")</f>
        <v/>
      </c>
      <c r="S69" s="40"/>
      <c r="T69" s="40"/>
      <c r="U69" s="40"/>
      <c r="V69" s="40"/>
      <c r="W69" s="40"/>
      <c r="X69" s="40"/>
      <c r="Y69" s="40"/>
      <c r="Z69" s="40"/>
      <c r="AA69" s="40"/>
    </row>
    <row r="70" ht="22.5" customHeight="1">
      <c r="A70" s="59" t="s">
        <v>98</v>
      </c>
      <c r="B70" s="60" t="s">
        <v>153</v>
      </c>
      <c r="C70" s="60" t="s">
        <v>163</v>
      </c>
      <c r="D70" s="61">
        <v>10.03</v>
      </c>
      <c r="E70" s="62">
        <v>46113.0</v>
      </c>
      <c r="F70" s="72" t="str">
        <f>IFERROR(__xludf.DUMMYFUNCTION("FILTER(BBDD!H:H,BBDD!G:G=C70)"),"Fabricación")</f>
        <v>Fabricación</v>
      </c>
      <c r="G70" s="72" t="str">
        <f>IFERROR(__xludf.DUMMYFUNCTION("FILTER(BBDD!I:I,BBDD!G:G=C70)"),"Ensamblaje")</f>
        <v>Ensamblaje</v>
      </c>
      <c r="H70" s="63">
        <f>IFERROR(__xludf.DUMMYFUNCTION("(IFERROR(FILTER(BBDD!$J:$J,BBDD!$G:$G=C70,BBDD!$H:$H=F70,BBDD!$I:$I=G70),""NO TIENE PROCESO""))*D70"),25.075)</f>
        <v>25.075</v>
      </c>
      <c r="I70" s="46">
        <f t="shared" si="1"/>
        <v>17</v>
      </c>
      <c r="J70" s="46">
        <f>SUMIFS('👷horas'!$J:$J,'👷horas'!$D:$D,A70,'👷horas'!$E:$E,B70,'👷horas'!$F:$F,F70,'👷horas'!$G:$G,G70)</f>
        <v>14.5</v>
      </c>
      <c r="K70" s="47">
        <f>SUMIFS('👷horas'!$K:$K,'👷horas'!$D:$D,A70,'👷horas'!$E:$E,B70,'👷horas'!$F:$F,F70,'👷horas'!$G:$G,G70)</f>
        <v>2.5</v>
      </c>
      <c r="L70" s="64">
        <f t="shared" si="2"/>
        <v>1.694915254</v>
      </c>
      <c r="M70" s="65">
        <f t="shared" si="3"/>
        <v>0</v>
      </c>
      <c r="N70" s="50">
        <f t="shared" si="4"/>
        <v>0.3220338983</v>
      </c>
      <c r="O70" s="66">
        <f t="shared" si="5"/>
        <v>1</v>
      </c>
      <c r="P70" s="51" t="s">
        <v>193</v>
      </c>
      <c r="Q70" s="67" t="str">
        <f t="shared" si="6"/>
        <v>Terminado</v>
      </c>
      <c r="R70" s="67" t="str">
        <f>IFERROR(__xludf.DUMMYFUNCTION("SPARKLINE(O70,{""charttype"",""bar"";""max"",1;""color1"",IF(P70=""Terminado"",""#4CAF50"",IF(O70&gt;=0.5,""#FFA500"",""#F44336""))})"),"")</f>
        <v/>
      </c>
      <c r="S70" s="40"/>
      <c r="T70" s="40"/>
      <c r="U70" s="40"/>
      <c r="V70" s="40"/>
      <c r="W70" s="40"/>
      <c r="X70" s="40"/>
      <c r="Y70" s="40"/>
      <c r="Z70" s="40"/>
      <c r="AA70" s="40"/>
    </row>
    <row r="71" ht="22.5" customHeight="1">
      <c r="A71" s="59" t="s">
        <v>98</v>
      </c>
      <c r="B71" s="60" t="s">
        <v>153</v>
      </c>
      <c r="C71" s="60" t="s">
        <v>163</v>
      </c>
      <c r="D71" s="61">
        <v>10.03</v>
      </c>
      <c r="E71" s="62">
        <v>46113.0</v>
      </c>
      <c r="F71" s="72" t="str">
        <f>IFERROR(__xludf.DUMMYFUNCTION("""COMPUTED_VALUE"""),"Fabricación")</f>
        <v>Fabricación</v>
      </c>
      <c r="G71" s="72" t="str">
        <f>IFERROR(__xludf.DUMMYFUNCTION("""COMPUTED_VALUE"""),"Embalaje/carga/descarga material")</f>
        <v>Embalaje/carga/descarga material</v>
      </c>
      <c r="H71" s="63">
        <f>IFERROR(__xludf.DUMMYFUNCTION("(IFERROR(FILTER(BBDD!$J:$J,BBDD!$G:$G=C71,BBDD!$H:$H=F71,BBDD!$I:$I=G71),""NO TIENE PROCESO""))*D71"),1.3039)</f>
        <v>1.3039</v>
      </c>
      <c r="I71" s="46">
        <f t="shared" si="1"/>
        <v>1</v>
      </c>
      <c r="J71" s="46">
        <f>SUMIFS('👷horas'!$J:$J,'👷horas'!$D:$D,A71,'👷horas'!$E:$E,B71,'👷horas'!$F:$F,F71,'👷horas'!$G:$G,G71)</f>
        <v>1</v>
      </c>
      <c r="K71" s="47">
        <f>SUMIFS('👷horas'!$K:$K,'👷horas'!$D:$D,A71,'👷horas'!$E:$E,B71,'👷horas'!$F:$F,F71,'👷horas'!$G:$G,G71)</f>
        <v>0</v>
      </c>
      <c r="L71" s="64">
        <f t="shared" si="2"/>
        <v>0.09970089731</v>
      </c>
      <c r="M71" s="65">
        <f t="shared" si="3"/>
        <v>0</v>
      </c>
      <c r="N71" s="50">
        <f t="shared" si="4"/>
        <v>0.2330700207</v>
      </c>
      <c r="O71" s="66">
        <f t="shared" si="5"/>
        <v>1</v>
      </c>
      <c r="P71" s="51" t="s">
        <v>193</v>
      </c>
      <c r="Q71" s="67" t="str">
        <f t="shared" si="6"/>
        <v>Terminado</v>
      </c>
      <c r="R71" s="67" t="str">
        <f>IFERROR(__xludf.DUMMYFUNCTION("SPARKLINE(O71,{""charttype"",""bar"";""max"",1;""color1"",IF(P71=""Terminado"",""#4CAF50"",IF(O71&gt;=0.5,""#FFA500"",""#F44336""))})"),"")</f>
        <v/>
      </c>
      <c r="S71" s="40"/>
      <c r="T71" s="40"/>
      <c r="U71" s="40"/>
      <c r="V71" s="40"/>
      <c r="W71" s="40"/>
      <c r="X71" s="40"/>
      <c r="Y71" s="40"/>
      <c r="Z71" s="40"/>
      <c r="AA71" s="40"/>
    </row>
    <row r="72" ht="22.5" customHeight="1">
      <c r="A72" s="59" t="s">
        <v>60</v>
      </c>
      <c r="B72" s="60" t="s">
        <v>28</v>
      </c>
      <c r="C72" s="41" t="s">
        <v>67</v>
      </c>
      <c r="D72" s="61">
        <v>25.1</v>
      </c>
      <c r="E72" s="62">
        <v>46113.0</v>
      </c>
      <c r="F72" s="72" t="str">
        <f>IFERROR(__xludf.DUMMYFUNCTION("FILTER(BBDD!H:H,BBDD!G:G=C72)"),"CNC")</f>
        <v>CNC</v>
      </c>
      <c r="G72" s="72" t="str">
        <f>IFERROR(__xludf.DUMMYFUNCTION("FILTER(BBDD!I:I,BBDD!G:G=C72)"),"CNC")</f>
        <v>CNC</v>
      </c>
      <c r="H72" s="63">
        <f>IFERROR(__xludf.DUMMYFUNCTION("(IFERROR(FILTER(BBDD!$J:$J,BBDD!$G:$G=C72,BBDD!$H:$H=F72,BBDD!$I:$I=G72),""NO TIENE PROCESO""))*D72"),5.0200000000000005)</f>
        <v>5.02</v>
      </c>
      <c r="I72" s="46">
        <f t="shared" si="1"/>
        <v>2.0621</v>
      </c>
      <c r="J72" s="46">
        <f>SUMIFS('👷horas'!$J:$J,'👷horas'!$D:$D,A72,'👷horas'!$E:$E,B72,'👷horas'!$F:$F,F72,'👷horas'!$G:$G,G72)</f>
        <v>2.0621</v>
      </c>
      <c r="K72" s="47">
        <f>SUMIFS('👷horas'!$K:$K,'👷horas'!$D:$D,A72,'👷horas'!$E:$E,B72,'👷horas'!$F:$F,F72,'👷horas'!$G:$G,G72)</f>
        <v>0</v>
      </c>
      <c r="L72" s="64">
        <f t="shared" si="2"/>
        <v>0.08215537849</v>
      </c>
      <c r="M72" s="65">
        <f t="shared" si="3"/>
        <v>0</v>
      </c>
      <c r="N72" s="50">
        <f t="shared" si="4"/>
        <v>0.5892231076</v>
      </c>
      <c r="O72" s="66">
        <f t="shared" si="5"/>
        <v>1</v>
      </c>
      <c r="P72" s="51" t="s">
        <v>193</v>
      </c>
      <c r="Q72" s="67" t="str">
        <f t="shared" si="6"/>
        <v>Terminado</v>
      </c>
      <c r="R72" s="67" t="str">
        <f>IFERROR(__xludf.DUMMYFUNCTION("SPARKLINE(O72,{""charttype"",""bar"";""max"",1;""color1"",IF(P72=""Terminado"",""#4CAF50"",IF(O72&gt;=0.5,""#FFA500"",""#F44336""))})"),"")</f>
        <v/>
      </c>
      <c r="S72" s="40"/>
      <c r="T72" s="40"/>
      <c r="U72" s="40"/>
      <c r="V72" s="40"/>
      <c r="W72" s="40"/>
      <c r="X72" s="40"/>
      <c r="Y72" s="40"/>
      <c r="Z72" s="40"/>
      <c r="AA72" s="40"/>
    </row>
    <row r="73" ht="22.5" customHeight="1">
      <c r="A73" s="59" t="s">
        <v>60</v>
      </c>
      <c r="B73" s="60" t="s">
        <v>28</v>
      </c>
      <c r="C73" s="41" t="s">
        <v>67</v>
      </c>
      <c r="D73" s="61">
        <v>25.1</v>
      </c>
      <c r="E73" s="62">
        <v>46113.0</v>
      </c>
      <c r="F73" s="72" t="str">
        <f>IFERROR(__xludf.DUMMYFUNCTION("""COMPUTED_VALUE"""),"Fabricación")</f>
        <v>Fabricación</v>
      </c>
      <c r="G73" s="72" t="str">
        <f>IFERROR(__xludf.DUMMYFUNCTION("""COMPUTED_VALUE"""),"Ensamblaje")</f>
        <v>Ensamblaje</v>
      </c>
      <c r="H73" s="63">
        <f>IFERROR(__xludf.DUMMYFUNCTION("(IFERROR(FILTER(BBDD!$J:$J,BBDD!$G:$G=C73,BBDD!$H:$H=F73,BBDD!$I:$I=G73),""NO TIENE PROCESO""))*D73"),19.829)</f>
        <v>19.829</v>
      </c>
      <c r="I73" s="46">
        <f t="shared" si="1"/>
        <v>16.5</v>
      </c>
      <c r="J73" s="46">
        <f>SUMIFS('👷horas'!$J:$J,'👷horas'!$D:$D,A73,'👷horas'!$E:$E,B73,'👷horas'!$F:$F,F73,'👷horas'!$G:$G,G73)</f>
        <v>15.5</v>
      </c>
      <c r="K73" s="47">
        <f>SUMIFS('👷horas'!$K:$K,'👷horas'!$D:$D,A73,'👷horas'!$E:$E,B73,'👷horas'!$F:$F,F73,'👷horas'!$G:$G,G73)</f>
        <v>1</v>
      </c>
      <c r="L73" s="64">
        <f t="shared" si="2"/>
        <v>0.6573705179</v>
      </c>
      <c r="M73" s="65">
        <f t="shared" si="3"/>
        <v>0</v>
      </c>
      <c r="N73" s="50">
        <f t="shared" si="4"/>
        <v>0.1678854203</v>
      </c>
      <c r="O73" s="66">
        <f t="shared" si="5"/>
        <v>1</v>
      </c>
      <c r="P73" s="51" t="s">
        <v>193</v>
      </c>
      <c r="Q73" s="67" t="str">
        <f t="shared" si="6"/>
        <v>Terminado</v>
      </c>
      <c r="R73" s="67" t="str">
        <f>IFERROR(__xludf.DUMMYFUNCTION("SPARKLINE(O73,{""charttype"",""bar"";""max"",1;""color1"",IF(P73=""Terminado"",""#4CAF50"",IF(O73&gt;=0.5,""#FFA500"",""#F44336""))})"),"")</f>
        <v/>
      </c>
      <c r="S73" s="40"/>
      <c r="T73" s="40"/>
      <c r="U73" s="40"/>
      <c r="V73" s="40"/>
      <c r="W73" s="40"/>
      <c r="X73" s="40"/>
      <c r="Y73" s="40"/>
      <c r="Z73" s="40"/>
      <c r="AA73" s="40"/>
    </row>
    <row r="74" ht="22.5" customHeight="1">
      <c r="A74" s="59" t="s">
        <v>60</v>
      </c>
      <c r="B74" s="60" t="s">
        <v>28</v>
      </c>
      <c r="C74" s="41" t="s">
        <v>67</v>
      </c>
      <c r="D74" s="61">
        <v>25.1</v>
      </c>
      <c r="E74" s="62">
        <v>46113.0</v>
      </c>
      <c r="F74" s="72" t="str">
        <f>IFERROR(__xludf.DUMMYFUNCTION("""COMPUTED_VALUE"""),"Fabricación")</f>
        <v>Fabricación</v>
      </c>
      <c r="G74" s="72" t="str">
        <f>IFERROR(__xludf.DUMMYFUNCTION("""COMPUTED_VALUE"""),"Colocación de perfiles")</f>
        <v>Colocación de perfiles</v>
      </c>
      <c r="H74" s="63">
        <f>IFERROR(__xludf.DUMMYFUNCTION("(IFERROR(FILTER(BBDD!$J:$J,BBDD!$G:$G=C74,BBDD!$H:$H=F74,BBDD!$I:$I=G74),""NO TIENE PROCESO""))*D74"),5.0200000000000005)</f>
        <v>5.02</v>
      </c>
      <c r="I74" s="46">
        <f t="shared" si="1"/>
        <v>2</v>
      </c>
      <c r="J74" s="46">
        <f>SUMIFS('👷horas'!$J:$J,'👷horas'!$D:$D,A74,'👷horas'!$E:$E,B74,'👷horas'!$F:$F,F74,'👷horas'!$G:$G,G74)</f>
        <v>2</v>
      </c>
      <c r="K74" s="47">
        <f>SUMIFS('👷horas'!$K:$K,'👷horas'!$D:$D,A74,'👷horas'!$E:$E,B74,'👷horas'!$F:$F,F74,'👷horas'!$G:$G,G74)</f>
        <v>0</v>
      </c>
      <c r="L74" s="64">
        <f t="shared" si="2"/>
        <v>0.0796812749</v>
      </c>
      <c r="M74" s="65">
        <f t="shared" si="3"/>
        <v>0</v>
      </c>
      <c r="N74" s="50">
        <f t="shared" si="4"/>
        <v>0.6015936255</v>
      </c>
      <c r="O74" s="66">
        <f t="shared" si="5"/>
        <v>1</v>
      </c>
      <c r="P74" s="51" t="s">
        <v>193</v>
      </c>
      <c r="Q74" s="67" t="str">
        <f t="shared" si="6"/>
        <v>Terminado</v>
      </c>
      <c r="R74" s="67" t="str">
        <f>IFERROR(__xludf.DUMMYFUNCTION("SPARKLINE(O74,{""charttype"",""bar"";""max"",1;""color1"",IF(P74=""Terminado"",""#4CAF50"",IF(O74&gt;=0.5,""#FFA500"",""#F44336""))})"),"")</f>
        <v/>
      </c>
      <c r="S74" s="40"/>
      <c r="T74" s="40"/>
      <c r="U74" s="40"/>
      <c r="V74" s="40"/>
      <c r="W74" s="40"/>
      <c r="X74" s="40"/>
      <c r="Y74" s="40"/>
      <c r="Z74" s="40"/>
      <c r="AA74" s="40"/>
    </row>
    <row r="75" ht="22.5" customHeight="1">
      <c r="A75" s="59" t="s">
        <v>60</v>
      </c>
      <c r="B75" s="60" t="s">
        <v>28</v>
      </c>
      <c r="C75" s="41" t="s">
        <v>67</v>
      </c>
      <c r="D75" s="61">
        <v>25.1</v>
      </c>
      <c r="E75" s="62">
        <v>46113.0</v>
      </c>
      <c r="F75" s="72" t="str">
        <f>IFERROR(__xludf.DUMMYFUNCTION("""COMPUTED_VALUE"""),"Fabricación")</f>
        <v>Fabricación</v>
      </c>
      <c r="G75" s="72" t="str">
        <f>IFERROR(__xludf.DUMMYFUNCTION("""COMPUTED_VALUE"""),"Embalaje/carga/descarga material")</f>
        <v>Embalaje/carga/descarga material</v>
      </c>
      <c r="H75" s="63">
        <f>IFERROR(__xludf.DUMMYFUNCTION("(IFERROR(FILTER(BBDD!$J:$J,BBDD!$G:$G=C75,BBDD!$H:$H=F75,BBDD!$I:$I=G75),""NO TIENE PROCESO""))*D75"),3.765)</f>
        <v>3.765</v>
      </c>
      <c r="I75" s="46">
        <f t="shared" si="1"/>
        <v>3.5</v>
      </c>
      <c r="J75" s="46">
        <f>SUMIFS('👷horas'!$J:$J,'👷horas'!$D:$D,A75,'👷horas'!$E:$E,B75,'👷horas'!$F:$F,F75,'👷horas'!$G:$G,G75)</f>
        <v>3.5</v>
      </c>
      <c r="K75" s="47">
        <f>SUMIFS('👷horas'!$K:$K,'👷horas'!$D:$D,A75,'👷horas'!$E:$E,B75,'👷horas'!$F:$F,F75,'👷horas'!$G:$G,G75)</f>
        <v>0</v>
      </c>
      <c r="L75" s="64">
        <f t="shared" si="2"/>
        <v>0.1394422311</v>
      </c>
      <c r="M75" s="65">
        <f t="shared" si="3"/>
        <v>0</v>
      </c>
      <c r="N75" s="50">
        <f t="shared" si="4"/>
        <v>0.07038512616</v>
      </c>
      <c r="O75" s="66">
        <f t="shared" si="5"/>
        <v>1</v>
      </c>
      <c r="P75" s="51" t="s">
        <v>193</v>
      </c>
      <c r="Q75" s="67" t="str">
        <f t="shared" si="6"/>
        <v>Terminado</v>
      </c>
      <c r="R75" s="67" t="str">
        <f>IFERROR(__xludf.DUMMYFUNCTION("SPARKLINE(O75,{""charttype"",""bar"";""max"",1;""color1"",IF(P75=""Terminado"",""#4CAF50"",IF(O75&gt;=0.5,""#FFA500"",""#F44336""))})"),"")</f>
        <v/>
      </c>
      <c r="S75" s="73"/>
      <c r="T75" s="73"/>
      <c r="U75" s="73"/>
      <c r="V75" s="73"/>
      <c r="W75" s="73"/>
      <c r="X75" s="73"/>
      <c r="Y75" s="73"/>
      <c r="Z75" s="73"/>
      <c r="AA75" s="40"/>
    </row>
    <row r="76" ht="22.5" customHeight="1">
      <c r="A76" s="59" t="s">
        <v>60</v>
      </c>
      <c r="B76" s="60" t="s">
        <v>28</v>
      </c>
      <c r="C76" s="41" t="s">
        <v>67</v>
      </c>
      <c r="D76" s="61">
        <v>25.1</v>
      </c>
      <c r="E76" s="62">
        <v>46113.0</v>
      </c>
      <c r="F76" s="55" t="str">
        <f>IFERROR(__xludf.DUMMYFUNCTION("""COMPUTED_VALUE"""),"Pintura")</f>
        <v>Pintura</v>
      </c>
      <c r="G76" s="55" t="str">
        <f>IFERROR(__xludf.DUMMYFUNCTION("""COMPUTED_VALUE"""),"Lijado y/o Masillado")</f>
        <v>Lijado y/o Masillado</v>
      </c>
      <c r="H76" s="63">
        <f>IFERROR(__xludf.DUMMYFUNCTION("(IFERROR(FILTER(BBDD!$J:$J,BBDD!$G:$G=C76,BBDD!$H:$H=F76,BBDD!$I:$I=G76),""NO TIENE PROCESO""))*D76"),15.06)</f>
        <v>15.06</v>
      </c>
      <c r="I76" s="46">
        <f t="shared" si="1"/>
        <v>29</v>
      </c>
      <c r="J76" s="46">
        <f>SUMIFS('👷horas'!$J:$J,'👷horas'!$D:$D,A76,'👷horas'!$E:$E,B76,'👷horas'!$F:$F,F76,'👷horas'!$G:$G,G76)</f>
        <v>25.75</v>
      </c>
      <c r="K76" s="47">
        <f>SUMIFS('👷horas'!$K:$K,'👷horas'!$D:$D,A76,'👷horas'!$E:$E,B76,'👷horas'!$F:$F,F76,'👷horas'!$G:$G,G76)</f>
        <v>3.25</v>
      </c>
      <c r="L76" s="64">
        <f t="shared" si="2"/>
        <v>1.155378486</v>
      </c>
      <c r="M76" s="65">
        <f t="shared" si="3"/>
        <v>0</v>
      </c>
      <c r="N76" s="50">
        <f t="shared" si="4"/>
        <v>-0.9256308101</v>
      </c>
      <c r="O76" s="66">
        <f t="shared" si="5"/>
        <v>1</v>
      </c>
      <c r="P76" s="51" t="s">
        <v>193</v>
      </c>
      <c r="Q76" s="67" t="str">
        <f t="shared" si="6"/>
        <v>Terminado</v>
      </c>
      <c r="R76" s="67" t="str">
        <f>IFERROR(__xludf.DUMMYFUNCTION("SPARKLINE(O76,{""charttype"",""bar"";""max"",1;""color1"",IF(P76=""Terminado"",""#4CAF50"",IF(O76&gt;=0.5,""#FFA500"",""#F44336""))})"),"")</f>
        <v/>
      </c>
      <c r="S76" s="73"/>
      <c r="T76" s="73"/>
      <c r="U76" s="73"/>
      <c r="V76" s="73"/>
      <c r="W76" s="73"/>
      <c r="X76" s="73"/>
      <c r="Y76" s="73"/>
      <c r="Z76" s="73"/>
      <c r="AA76" s="40"/>
    </row>
    <row r="77" ht="22.5" customHeight="1">
      <c r="A77" s="59" t="s">
        <v>60</v>
      </c>
      <c r="B77" s="60" t="s">
        <v>28</v>
      </c>
      <c r="C77" s="41" t="s">
        <v>67</v>
      </c>
      <c r="D77" s="61">
        <v>25.1</v>
      </c>
      <c r="E77" s="62">
        <v>46113.0</v>
      </c>
      <c r="F77" s="72" t="str">
        <f>IFERROR(__xludf.DUMMYFUNCTION("""COMPUTED_VALUE"""),"Pintura")</f>
        <v>Pintura</v>
      </c>
      <c r="G77" s="72" t="str">
        <f>IFERROR(__xludf.DUMMYFUNCTION("""COMPUTED_VALUE"""),"Imprimación/Pintura")</f>
        <v>Imprimación/Pintura</v>
      </c>
      <c r="H77" s="63">
        <f>IFERROR(__xludf.DUMMYFUNCTION("(IFERROR(FILTER(BBDD!$J:$J,BBDD!$G:$G=C77,BBDD!$H:$H=F77,BBDD!$I:$I=G77),""NO TIENE PROCESO""))*D77"),10.040000000000001)</f>
        <v>10.04</v>
      </c>
      <c r="I77" s="46">
        <f t="shared" si="1"/>
        <v>7</v>
      </c>
      <c r="J77" s="46">
        <f>SUMIFS('👷horas'!$J:$J,'👷horas'!$D:$D,A77,'👷horas'!$E:$E,B77,'👷horas'!$F:$F,F77,'👷horas'!$G:$G,G77)</f>
        <v>4</v>
      </c>
      <c r="K77" s="47">
        <f>SUMIFS('👷horas'!$K:$K,'👷horas'!$D:$D,A77,'👷horas'!$E:$E,B77,'👷horas'!$F:$F,F77,'👷horas'!$G:$G,G77)</f>
        <v>3</v>
      </c>
      <c r="L77" s="64">
        <f t="shared" si="2"/>
        <v>0.2788844622</v>
      </c>
      <c r="M77" s="65">
        <f t="shared" si="3"/>
        <v>0</v>
      </c>
      <c r="N77" s="50">
        <f t="shared" si="4"/>
        <v>0.3027888446</v>
      </c>
      <c r="O77" s="66">
        <f t="shared" si="5"/>
        <v>1</v>
      </c>
      <c r="P77" s="51" t="s">
        <v>193</v>
      </c>
      <c r="Q77" s="67" t="str">
        <f t="shared" si="6"/>
        <v>Terminado</v>
      </c>
      <c r="R77" s="67" t="str">
        <f>IFERROR(__xludf.DUMMYFUNCTION("SPARKLINE(O77,{""charttype"",""bar"";""max"",1;""color1"",IF(P77=""Terminado"",""#4CAF50"",IF(O77&gt;=0.5,""#FFA500"",""#F44336""))})"),"")</f>
        <v/>
      </c>
      <c r="S77" s="40"/>
      <c r="T77" s="40"/>
      <c r="U77" s="40"/>
      <c r="V77" s="40"/>
      <c r="W77" s="40"/>
      <c r="X77" s="40"/>
      <c r="Y77" s="40"/>
      <c r="Z77" s="40"/>
      <c r="AA77" s="40"/>
    </row>
    <row r="78" ht="22.5" customHeight="1">
      <c r="A78" s="41" t="s">
        <v>89</v>
      </c>
      <c r="B78" s="41" t="s">
        <v>28</v>
      </c>
      <c r="C78" s="41" t="s">
        <v>67</v>
      </c>
      <c r="D78" s="42">
        <v>9.85</v>
      </c>
      <c r="E78" s="43">
        <v>46113.0</v>
      </c>
      <c r="F78" s="44" t="str">
        <f>IFERROR(__xludf.DUMMYFUNCTION("FILTER(BBDD!H:H,BBDD!G:G=C78)"),"CNC")</f>
        <v>CNC</v>
      </c>
      <c r="G78" s="44" t="str">
        <f>IFERROR(__xludf.DUMMYFUNCTION("FILTER(BBDD!I:I,BBDD!G:G=C78)"),"CNC")</f>
        <v>CNC</v>
      </c>
      <c r="H78" s="45">
        <f>IFERROR(__xludf.DUMMYFUNCTION("(IFERROR(FILTER(BBDD!$J:$J,BBDD!$G:$G=C78,BBDD!$H:$H=F78,BBDD!$I:$I=G78),""NO TIENE PROCESO""))*D78"),1.97)</f>
        <v>1.97</v>
      </c>
      <c r="I78" s="46">
        <f t="shared" si="1"/>
        <v>1.093333333</v>
      </c>
      <c r="J78" s="46">
        <f>SUMIFS('👷horas'!$J:$J,'👷horas'!$D:$D,A78,'👷horas'!$E:$E,B78,'👷horas'!$F:$F,F78,'👷horas'!$G:$G,G78)</f>
        <v>1.093333333</v>
      </c>
      <c r="K78" s="47">
        <f>SUMIFS('👷horas'!$K:$K,'👷horas'!$D:$D,A78,'👷horas'!$E:$E,B78,'👷horas'!$F:$F,F78,'👷horas'!$G:$G,G78)</f>
        <v>0</v>
      </c>
      <c r="L78" s="48">
        <f t="shared" si="2"/>
        <v>0.110998308</v>
      </c>
      <c r="M78" s="49">
        <f t="shared" si="3"/>
        <v>0</v>
      </c>
      <c r="N78" s="50">
        <f t="shared" si="4"/>
        <v>0.4450084602</v>
      </c>
      <c r="O78" s="50">
        <f t="shared" si="5"/>
        <v>1</v>
      </c>
      <c r="P78" s="51" t="s">
        <v>193</v>
      </c>
      <c r="Q78" s="52" t="str">
        <f t="shared" si="6"/>
        <v>Terminado</v>
      </c>
      <c r="R78" s="52" t="str">
        <f>IFERROR(__xludf.DUMMYFUNCTION("SPARKLINE(O78,{""charttype"",""bar"";""max"",1;""color1"",IF(P78=""Terminado"",""#4CAF50"",IF(O78&gt;=0.5,""#FFA500"",""#F44336""))})"),"")</f>
        <v/>
      </c>
      <c r="S78" s="40"/>
      <c r="T78" s="40"/>
      <c r="U78" s="40"/>
      <c r="V78" s="40"/>
      <c r="W78" s="40"/>
      <c r="X78" s="40"/>
      <c r="Y78" s="40"/>
      <c r="Z78" s="40"/>
      <c r="AA78" s="40"/>
    </row>
    <row r="79" ht="22.5" customHeight="1">
      <c r="A79" s="41" t="s">
        <v>89</v>
      </c>
      <c r="B79" s="41" t="s">
        <v>28</v>
      </c>
      <c r="C79" s="41" t="s">
        <v>67</v>
      </c>
      <c r="D79" s="42">
        <v>9.85</v>
      </c>
      <c r="E79" s="43">
        <v>46113.0</v>
      </c>
      <c r="F79" s="54" t="str">
        <f>IFERROR(__xludf.DUMMYFUNCTION("""COMPUTED_VALUE"""),"Fabricación")</f>
        <v>Fabricación</v>
      </c>
      <c r="G79" s="54" t="str">
        <f>IFERROR(__xludf.DUMMYFUNCTION("""COMPUTED_VALUE"""),"Ensamblaje")</f>
        <v>Ensamblaje</v>
      </c>
      <c r="H79" s="45">
        <f>IFERROR(__xludf.DUMMYFUNCTION("(IFERROR(FILTER(BBDD!$J:$J,BBDD!$G:$G=C79,BBDD!$H:$H=F79,BBDD!$I:$I=G79),""NO TIENE PROCESO""))*D79"),7.7815)</f>
        <v>7.7815</v>
      </c>
      <c r="I79" s="46">
        <f t="shared" si="1"/>
        <v>7</v>
      </c>
      <c r="J79" s="46">
        <f>SUMIFS('👷horas'!$J:$J,'👷horas'!$D:$D,A79,'👷horas'!$E:$E,B79,'👷horas'!$F:$F,F79,'👷horas'!$G:$G,G79)</f>
        <v>5</v>
      </c>
      <c r="K79" s="47">
        <f>SUMIFS('👷horas'!$K:$K,'👷horas'!$D:$D,A79,'👷horas'!$E:$E,B79,'👷horas'!$F:$F,F79,'👷horas'!$G:$G,G79)</f>
        <v>2</v>
      </c>
      <c r="L79" s="48">
        <f t="shared" si="2"/>
        <v>0.7106598985</v>
      </c>
      <c r="M79" s="49">
        <f t="shared" si="3"/>
        <v>0</v>
      </c>
      <c r="N79" s="50">
        <f t="shared" si="4"/>
        <v>0.1004305083</v>
      </c>
      <c r="O79" s="50">
        <f t="shared" si="5"/>
        <v>1</v>
      </c>
      <c r="P79" s="51" t="s">
        <v>193</v>
      </c>
      <c r="Q79" s="52" t="str">
        <f t="shared" si="6"/>
        <v>Terminado</v>
      </c>
      <c r="R79" s="52" t="str">
        <f>IFERROR(__xludf.DUMMYFUNCTION("SPARKLINE(O79,{""charttype"",""bar"";""max"",1;""color1"",IF(P79=""Terminado"",""#4CAF50"",IF(O79&gt;=0.5,""#FFA500"",""#F44336""))})"),"")</f>
        <v/>
      </c>
      <c r="S79" s="40"/>
      <c r="T79" s="40"/>
      <c r="U79" s="40"/>
      <c r="V79" s="40"/>
      <c r="W79" s="40"/>
      <c r="X79" s="40"/>
      <c r="Y79" s="40"/>
      <c r="Z79" s="40"/>
      <c r="AA79" s="40"/>
    </row>
    <row r="80" ht="22.5" customHeight="1">
      <c r="A80" s="41" t="s">
        <v>89</v>
      </c>
      <c r="B80" s="41" t="s">
        <v>28</v>
      </c>
      <c r="C80" s="41" t="s">
        <v>67</v>
      </c>
      <c r="D80" s="42">
        <v>9.85</v>
      </c>
      <c r="E80" s="43">
        <v>46113.0</v>
      </c>
      <c r="F80" s="54" t="str">
        <f>IFERROR(__xludf.DUMMYFUNCTION("""COMPUTED_VALUE"""),"Fabricación")</f>
        <v>Fabricación</v>
      </c>
      <c r="G80" s="54" t="str">
        <f>IFERROR(__xludf.DUMMYFUNCTION("""COMPUTED_VALUE"""),"Colocación de perfiles")</f>
        <v>Colocación de perfiles</v>
      </c>
      <c r="H80" s="45">
        <f>IFERROR(__xludf.DUMMYFUNCTION("(IFERROR(FILTER(BBDD!$J:$J,BBDD!$G:$G=C80,BBDD!$H:$H=F80,BBDD!$I:$I=G80),""NO TIENE PROCESO""))*D80"),1.97)</f>
        <v>1.97</v>
      </c>
      <c r="I80" s="46">
        <f t="shared" si="1"/>
        <v>2.5</v>
      </c>
      <c r="J80" s="46">
        <f>SUMIFS('👷horas'!$J:$J,'👷horas'!$D:$D,A80,'👷horas'!$E:$E,B80,'👷horas'!$F:$F,F80,'👷horas'!$G:$G,G80)</f>
        <v>2.5</v>
      </c>
      <c r="K80" s="47">
        <f>SUMIFS('👷horas'!$K:$K,'👷horas'!$D:$D,A80,'👷horas'!$E:$E,B80,'👷horas'!$F:$F,F80,'👷horas'!$G:$G,G80)</f>
        <v>0</v>
      </c>
      <c r="L80" s="48">
        <f t="shared" si="2"/>
        <v>0.2538071066</v>
      </c>
      <c r="M80" s="49">
        <f t="shared" si="3"/>
        <v>0</v>
      </c>
      <c r="N80" s="50">
        <f t="shared" si="4"/>
        <v>-0.269035533</v>
      </c>
      <c r="O80" s="50">
        <f t="shared" si="5"/>
        <v>1</v>
      </c>
      <c r="P80" s="51" t="s">
        <v>193</v>
      </c>
      <c r="Q80" s="52" t="str">
        <f t="shared" si="6"/>
        <v>Terminado</v>
      </c>
      <c r="R80" s="52" t="str">
        <f>IFERROR(__xludf.DUMMYFUNCTION("SPARKLINE(O80,{""charttype"",""bar"";""max"",1;""color1"",IF(P80=""Terminado"",""#4CAF50"",IF(O80&gt;=0.5,""#FFA500"",""#F44336""))})"),"")</f>
        <v/>
      </c>
      <c r="S80" s="40"/>
      <c r="T80" s="40"/>
      <c r="U80" s="40"/>
      <c r="V80" s="40"/>
      <c r="W80" s="40"/>
      <c r="X80" s="40"/>
      <c r="Y80" s="40"/>
      <c r="Z80" s="40"/>
      <c r="AA80" s="40"/>
    </row>
    <row r="81" ht="22.5" customHeight="1">
      <c r="A81" s="41" t="s">
        <v>89</v>
      </c>
      <c r="B81" s="41" t="s">
        <v>28</v>
      </c>
      <c r="C81" s="41" t="s">
        <v>67</v>
      </c>
      <c r="D81" s="42">
        <v>9.85</v>
      </c>
      <c r="E81" s="43">
        <v>46113.0</v>
      </c>
      <c r="F81" s="54" t="str">
        <f>IFERROR(__xludf.DUMMYFUNCTION("""COMPUTED_VALUE"""),"Fabricación")</f>
        <v>Fabricación</v>
      </c>
      <c r="G81" s="54" t="str">
        <f>IFERROR(__xludf.DUMMYFUNCTION("""COMPUTED_VALUE"""),"Embalaje/carga/descarga material")</f>
        <v>Embalaje/carga/descarga material</v>
      </c>
      <c r="H81" s="45">
        <f>IFERROR(__xludf.DUMMYFUNCTION("(IFERROR(FILTER(BBDD!$J:$J,BBDD!$G:$G=C81,BBDD!$H:$H=F81,BBDD!$I:$I=G81),""NO TIENE PROCESO""))*D81"),1.4774999999999998)</f>
        <v>1.4775</v>
      </c>
      <c r="I81" s="46">
        <f t="shared" si="1"/>
        <v>1</v>
      </c>
      <c r="J81" s="46">
        <f>SUMIFS('👷horas'!$J:$J,'👷horas'!$D:$D,A81,'👷horas'!$E:$E,B81,'👷horas'!$F:$F,F81,'👷horas'!$G:$G,G81)</f>
        <v>1</v>
      </c>
      <c r="K81" s="47">
        <f>SUMIFS('👷horas'!$K:$K,'👷horas'!$D:$D,A81,'👷horas'!$E:$E,B81,'👷horas'!$F:$F,F81,'👷horas'!$G:$G,G81)</f>
        <v>0</v>
      </c>
      <c r="L81" s="48">
        <f t="shared" si="2"/>
        <v>0.1015228426</v>
      </c>
      <c r="M81" s="49">
        <f t="shared" si="3"/>
        <v>0</v>
      </c>
      <c r="N81" s="50">
        <f t="shared" si="4"/>
        <v>0.3231810491</v>
      </c>
      <c r="O81" s="50">
        <f t="shared" si="5"/>
        <v>1</v>
      </c>
      <c r="P81" s="51" t="s">
        <v>193</v>
      </c>
      <c r="Q81" s="52" t="str">
        <f t="shared" si="6"/>
        <v>Terminado</v>
      </c>
      <c r="R81" s="52" t="str">
        <f>IFERROR(__xludf.DUMMYFUNCTION("SPARKLINE(O81,{""charttype"",""bar"";""max"",1;""color1"",IF(P81=""Terminado"",""#4CAF50"",IF(O81&gt;=0.5,""#FFA500"",""#F44336""))})"),"")</f>
        <v/>
      </c>
      <c r="S81" s="40"/>
      <c r="T81" s="40"/>
      <c r="U81" s="40"/>
      <c r="V81" s="40"/>
      <c r="W81" s="40"/>
      <c r="X81" s="40"/>
      <c r="Y81" s="40"/>
      <c r="Z81" s="40"/>
      <c r="AA81" s="40"/>
    </row>
    <row r="82" ht="22.5" customHeight="1">
      <c r="A82" s="41" t="s">
        <v>89</v>
      </c>
      <c r="B82" s="41" t="s">
        <v>28</v>
      </c>
      <c r="C82" s="41" t="s">
        <v>67</v>
      </c>
      <c r="D82" s="42">
        <v>9.85</v>
      </c>
      <c r="E82" s="43">
        <v>46113.0</v>
      </c>
      <c r="F82" s="55" t="str">
        <f>IFERROR(__xludf.DUMMYFUNCTION("""COMPUTED_VALUE"""),"Pintura")</f>
        <v>Pintura</v>
      </c>
      <c r="G82" s="55" t="str">
        <f>IFERROR(__xludf.DUMMYFUNCTION("""COMPUTED_VALUE"""),"Lijado y/o Masillado")</f>
        <v>Lijado y/o Masillado</v>
      </c>
      <c r="H82" s="45">
        <f>IFERROR(__xludf.DUMMYFUNCTION("(IFERROR(FILTER(BBDD!$J:$J,BBDD!$G:$G=C82,BBDD!$H:$H=F82,BBDD!$I:$I=G82),""NO TIENE PROCESO""))*D82"),5.909999999999999)</f>
        <v>5.91</v>
      </c>
      <c r="I82" s="46">
        <f t="shared" si="1"/>
        <v>5</v>
      </c>
      <c r="J82" s="46">
        <f>SUMIFS('👷horas'!$J:$J,'👷horas'!$D:$D,A82,'👷horas'!$E:$E,B82,'👷horas'!$F:$F,F82,'👷horas'!$G:$G,G82)</f>
        <v>3.5</v>
      </c>
      <c r="K82" s="47">
        <f>SUMIFS('👷horas'!$K:$K,'👷horas'!$D:$D,A82,'👷horas'!$E:$E,B82,'👷horas'!$F:$F,F82,'👷horas'!$G:$G,G82)</f>
        <v>1.5</v>
      </c>
      <c r="L82" s="48">
        <f t="shared" si="2"/>
        <v>0.5076142132</v>
      </c>
      <c r="M82" s="49">
        <f t="shared" si="3"/>
        <v>0</v>
      </c>
      <c r="N82" s="50">
        <f t="shared" si="4"/>
        <v>0.1539763113</v>
      </c>
      <c r="O82" s="50">
        <f t="shared" si="5"/>
        <v>1</v>
      </c>
      <c r="P82" s="51" t="s">
        <v>193</v>
      </c>
      <c r="Q82" s="52" t="str">
        <f t="shared" si="6"/>
        <v>Terminado</v>
      </c>
      <c r="R82" s="52" t="str">
        <f>IFERROR(__xludf.DUMMYFUNCTION("SPARKLINE(O82,{""charttype"",""bar"";""max"",1;""color1"",IF(P82=""Terminado"",""#4CAF50"",IF(O82&gt;=0.5,""#FFA500"",""#F44336""))})"),"")</f>
        <v/>
      </c>
      <c r="S82" s="40"/>
      <c r="T82" s="40"/>
      <c r="U82" s="40"/>
      <c r="V82" s="40"/>
      <c r="W82" s="40"/>
      <c r="X82" s="40"/>
      <c r="Y82" s="40"/>
      <c r="Z82" s="40"/>
      <c r="AA82" s="40"/>
    </row>
    <row r="83" ht="22.5" customHeight="1">
      <c r="A83" s="41" t="s">
        <v>89</v>
      </c>
      <c r="B83" s="41" t="s">
        <v>28</v>
      </c>
      <c r="C83" s="41" t="s">
        <v>67</v>
      </c>
      <c r="D83" s="42">
        <v>9.85</v>
      </c>
      <c r="E83" s="43">
        <v>46113.0</v>
      </c>
      <c r="F83" s="54" t="str">
        <f>IFERROR(__xludf.DUMMYFUNCTION("""COMPUTED_VALUE"""),"Pintura")</f>
        <v>Pintura</v>
      </c>
      <c r="G83" s="54" t="str">
        <f>IFERROR(__xludf.DUMMYFUNCTION("""COMPUTED_VALUE"""),"Imprimación/Pintura")</f>
        <v>Imprimación/Pintura</v>
      </c>
      <c r="H83" s="45">
        <f>IFERROR(__xludf.DUMMYFUNCTION("(IFERROR(FILTER(BBDD!$J:$J,BBDD!$G:$G=C83,BBDD!$H:$H=F83,BBDD!$I:$I=G83),""NO TIENE PROCESO""))*D83"),3.94)</f>
        <v>3.94</v>
      </c>
      <c r="I83" s="46">
        <f t="shared" si="1"/>
        <v>3.647</v>
      </c>
      <c r="J83" s="46">
        <f>SUMIFS('👷horas'!$J:$J,'👷horas'!$D:$D,A83,'👷horas'!$E:$E,B83,'👷horas'!$F:$F,F83,'👷horas'!$G:$G,G83)</f>
        <v>3.647</v>
      </c>
      <c r="K83" s="47">
        <f>SUMIFS('👷horas'!$K:$K,'👷horas'!$D:$D,A83,'👷horas'!$E:$E,B83,'👷horas'!$F:$F,F83,'👷horas'!$G:$G,G83)</f>
        <v>0</v>
      </c>
      <c r="L83" s="48">
        <f t="shared" si="2"/>
        <v>0.3702538071</v>
      </c>
      <c r="M83" s="49">
        <f t="shared" si="3"/>
        <v>0</v>
      </c>
      <c r="N83" s="50">
        <f t="shared" si="4"/>
        <v>0.07436548223</v>
      </c>
      <c r="O83" s="50">
        <f t="shared" si="5"/>
        <v>1</v>
      </c>
      <c r="P83" s="51" t="s">
        <v>193</v>
      </c>
      <c r="Q83" s="52" t="str">
        <f t="shared" si="6"/>
        <v>Terminado</v>
      </c>
      <c r="R83" s="52" t="str">
        <f>IFERROR(__xludf.DUMMYFUNCTION("SPARKLINE(O83,{""charttype"",""bar"";""max"",1;""color1"",IF(P83=""Terminado"",""#4CAF50"",IF(O83&gt;=0.5,""#FFA500"",""#F44336""))})"),"")</f>
        <v/>
      </c>
      <c r="S83" s="40"/>
      <c r="T83" s="40"/>
      <c r="U83" s="40"/>
      <c r="V83" s="40"/>
      <c r="W83" s="40"/>
      <c r="X83" s="40"/>
      <c r="Y83" s="40"/>
      <c r="Z83" s="40"/>
      <c r="AA83" s="40"/>
    </row>
    <row r="84" ht="22.5" customHeight="1">
      <c r="A84" s="41" t="s">
        <v>89</v>
      </c>
      <c r="B84" s="41" t="s">
        <v>62</v>
      </c>
      <c r="C84" s="41" t="s">
        <v>162</v>
      </c>
      <c r="D84" s="42">
        <v>46.8</v>
      </c>
      <c r="E84" s="43">
        <v>46113.0</v>
      </c>
      <c r="F84" s="44" t="str">
        <f>IFERROR(__xludf.DUMMYFUNCTION("FILTER(BBDD!H:H,BBDD!G:G=C84)"),"Fabricación")</f>
        <v>Fabricación</v>
      </c>
      <c r="G84" s="44" t="str">
        <f>IFERROR(__xludf.DUMMYFUNCTION("FILTER(BBDD!I:I,BBDD!G:G=C84)"),"Ensamblaje")</f>
        <v>Ensamblaje</v>
      </c>
      <c r="H84" s="45">
        <f>IFERROR(__xludf.DUMMYFUNCTION("(IFERROR(FILTER(BBDD!$J:$J,BBDD!$G:$G=C84,BBDD!$H:$H=F84,BBDD!$I:$I=G84),""NO TIENE PROCESO""))*D84"),42.11999999999999)</f>
        <v>42.12</v>
      </c>
      <c r="I84" s="46">
        <f t="shared" si="1"/>
        <v>42.77</v>
      </c>
      <c r="J84" s="46">
        <f>SUMIFS('👷horas'!$J:$J,'👷horas'!$D:$D,A84,'👷horas'!$E:$E,B84,'👷horas'!$F:$F,F84,'👷horas'!$G:$G,G84)</f>
        <v>31.77</v>
      </c>
      <c r="K84" s="47">
        <f>SUMIFS('👷horas'!$K:$K,'👷horas'!$D:$D,A84,'👷horas'!$E:$E,B84,'👷horas'!$F:$F,F84,'👷horas'!$G:$G,G84)</f>
        <v>11</v>
      </c>
      <c r="L84" s="48">
        <f t="shared" si="2"/>
        <v>0.9138888889</v>
      </c>
      <c r="M84" s="49">
        <f t="shared" si="3"/>
        <v>0</v>
      </c>
      <c r="N84" s="50">
        <f t="shared" si="4"/>
        <v>-0.01543209877</v>
      </c>
      <c r="O84" s="50">
        <f t="shared" si="5"/>
        <v>1</v>
      </c>
      <c r="P84" s="51" t="s">
        <v>193</v>
      </c>
      <c r="Q84" s="52" t="str">
        <f t="shared" si="6"/>
        <v>Terminado</v>
      </c>
      <c r="R84" s="52" t="str">
        <f>IFERROR(__xludf.DUMMYFUNCTION("SPARKLINE(O84,{""charttype"",""bar"";""max"",1;""color1"",IF(P84=""Terminado"",""#4CAF50"",IF(O84&gt;=0.5,""#FFA500"",""#F44336""))})"),"")</f>
        <v/>
      </c>
      <c r="S84" s="40"/>
      <c r="T84" s="40"/>
      <c r="U84" s="40"/>
      <c r="V84" s="40"/>
      <c r="W84" s="40"/>
      <c r="X84" s="40"/>
      <c r="Y84" s="40"/>
      <c r="Z84" s="40"/>
      <c r="AA84" s="40"/>
    </row>
    <row r="85" ht="22.5" customHeight="1">
      <c r="A85" s="41" t="s">
        <v>89</v>
      </c>
      <c r="B85" s="41" t="s">
        <v>62</v>
      </c>
      <c r="C85" s="41" t="s">
        <v>162</v>
      </c>
      <c r="D85" s="42">
        <v>46.8</v>
      </c>
      <c r="E85" s="43">
        <v>46113.0</v>
      </c>
      <c r="F85" s="54" t="str">
        <f>IFERROR(__xludf.DUMMYFUNCTION("""COMPUTED_VALUE"""),"Fabricación")</f>
        <v>Fabricación</v>
      </c>
      <c r="G85" s="54" t="str">
        <f>IFERROR(__xludf.DUMMYFUNCTION("""COMPUTED_VALUE"""),"Embalaje/carga/descarga material")</f>
        <v>Embalaje/carga/descarga material</v>
      </c>
      <c r="H85" s="45">
        <f>IFERROR(__xludf.DUMMYFUNCTION("(IFERROR(FILTER(BBDD!$J:$J,BBDD!$G:$G=C85,BBDD!$H:$H=F85,BBDD!$I:$I=G85),""NO TIENE PROCESO""))*D85"),7.956)</f>
        <v>7.956</v>
      </c>
      <c r="I85" s="46">
        <f t="shared" si="1"/>
        <v>8.073529412</v>
      </c>
      <c r="J85" s="46">
        <f>SUMIFS('👷horas'!$J:$J,'👷horas'!$D:$D,A85,'👷horas'!$E:$E,B85,'👷horas'!$F:$F,F85,'👷horas'!$G:$G,G85)</f>
        <v>7.5</v>
      </c>
      <c r="K85" s="47">
        <f>SUMIFS('👷horas'!$K:$K,'👷horas'!$D:$D,A85,'👷horas'!$E:$E,B85,'👷horas'!$F:$F,F85,'👷horas'!$G:$G,G85)</f>
        <v>0.5735294118</v>
      </c>
      <c r="L85" s="48">
        <f t="shared" si="2"/>
        <v>0.1725113122</v>
      </c>
      <c r="M85" s="49">
        <f t="shared" si="3"/>
        <v>0</v>
      </c>
      <c r="N85" s="50">
        <f t="shared" si="4"/>
        <v>-0.01477242481</v>
      </c>
      <c r="O85" s="50">
        <f t="shared" si="5"/>
        <v>1</v>
      </c>
      <c r="P85" s="51" t="s">
        <v>193</v>
      </c>
      <c r="Q85" s="52" t="str">
        <f t="shared" si="6"/>
        <v>Terminado</v>
      </c>
      <c r="R85" s="52" t="str">
        <f>IFERROR(__xludf.DUMMYFUNCTION("SPARKLINE(O85,{""charttype"",""bar"";""max"",1;""color1"",IF(P85=""Terminado"",""#4CAF50"",IF(O85&gt;=0.5,""#FFA500"",""#F44336""))})"),"")</f>
        <v/>
      </c>
      <c r="S85" s="40"/>
      <c r="T85" s="40"/>
      <c r="U85" s="40"/>
      <c r="V85" s="40"/>
      <c r="W85" s="40"/>
      <c r="X85" s="40"/>
      <c r="Y85" s="40"/>
      <c r="Z85" s="40"/>
      <c r="AA85" s="40"/>
    </row>
    <row r="86" ht="22.5" customHeight="1">
      <c r="A86" s="41" t="s">
        <v>89</v>
      </c>
      <c r="B86" s="41" t="s">
        <v>11</v>
      </c>
      <c r="C86" s="41" t="s">
        <v>14</v>
      </c>
      <c r="D86" s="42">
        <f t="shared" ref="D86:D91" si="7">9.84*2</f>
        <v>19.68</v>
      </c>
      <c r="E86" s="43">
        <v>46113.0</v>
      </c>
      <c r="F86" s="44" t="str">
        <f>IFERROR(__xludf.DUMMYFUNCTION("FILTER(BBDD!H:H,BBDD!G:G=C86)"),"CNC")</f>
        <v>CNC</v>
      </c>
      <c r="G86" s="44" t="str">
        <f>IFERROR(__xludf.DUMMYFUNCTION("FILTER(BBDD!I:I,BBDD!G:G=C86)"),"CNC")</f>
        <v>CNC</v>
      </c>
      <c r="H86" s="45">
        <f>IFERROR(__xludf.DUMMYFUNCTION("(IFERROR(FILTER(BBDD!$J:$J,BBDD!$G:$G=C86,BBDD!$H:$H=F86,BBDD!$I:$I=G86),""NO TIENE PROCESO""))*D86"),3.936)</f>
        <v>3.936</v>
      </c>
      <c r="I86" s="46">
        <f t="shared" si="1"/>
        <v>0.85</v>
      </c>
      <c r="J86" s="46">
        <f>SUMIFS('👷horas'!$J:$J,'👷horas'!$D:$D,A86,'👷horas'!$E:$E,B86,'👷horas'!$F:$F,F86,'👷horas'!$G:$G,G86)</f>
        <v>0.85</v>
      </c>
      <c r="K86" s="47">
        <f>SUMIFS('👷horas'!$K:$K,'👷horas'!$D:$D,A86,'👷horas'!$E:$E,B86,'👷horas'!$F:$F,F86,'👷horas'!$G:$G,G86)</f>
        <v>0</v>
      </c>
      <c r="L86" s="48">
        <f t="shared" si="2"/>
        <v>0.04319105691</v>
      </c>
      <c r="M86" s="49">
        <f t="shared" si="3"/>
        <v>0</v>
      </c>
      <c r="N86" s="50">
        <f t="shared" si="4"/>
        <v>0.7840447154</v>
      </c>
      <c r="O86" s="50">
        <f t="shared" si="5"/>
        <v>1</v>
      </c>
      <c r="P86" s="51" t="s">
        <v>193</v>
      </c>
      <c r="Q86" s="52" t="str">
        <f t="shared" si="6"/>
        <v>Terminado</v>
      </c>
      <c r="R86" s="52" t="str">
        <f>IFERROR(__xludf.DUMMYFUNCTION("SPARKLINE(O86,{""charttype"",""bar"";""max"",1;""color1"",IF(P86=""Terminado"",""#4CAF50"",IF(O86&gt;=0.5,""#FFA500"",""#F44336""))})"),"")</f>
        <v/>
      </c>
      <c r="S86" s="40"/>
      <c r="T86" s="40"/>
      <c r="U86" s="40"/>
      <c r="V86" s="40"/>
      <c r="W86" s="40"/>
      <c r="X86" s="40"/>
      <c r="Y86" s="40"/>
      <c r="Z86" s="40"/>
      <c r="AA86" s="40"/>
    </row>
    <row r="87" ht="22.5" customHeight="1">
      <c r="A87" s="41" t="s">
        <v>89</v>
      </c>
      <c r="B87" s="41" t="s">
        <v>11</v>
      </c>
      <c r="C87" s="41" t="s">
        <v>14</v>
      </c>
      <c r="D87" s="42">
        <f t="shared" si="7"/>
        <v>19.68</v>
      </c>
      <c r="E87" s="43">
        <v>46113.0</v>
      </c>
      <c r="F87" s="54" t="str">
        <f>IFERROR(__xludf.DUMMYFUNCTION("""COMPUTED_VALUE"""),"Fabricación")</f>
        <v>Fabricación</v>
      </c>
      <c r="G87" s="54" t="str">
        <f>IFERROR(__xludf.DUMMYFUNCTION("""COMPUTED_VALUE"""),"Ensamblaje")</f>
        <v>Ensamblaje</v>
      </c>
      <c r="H87" s="45">
        <f>IFERROR(__xludf.DUMMYFUNCTION("(IFERROR(FILTER(BBDD!$J:$J,BBDD!$G:$G=C87,BBDD!$H:$H=F87,BBDD!$I:$I=G87),""NO TIENE PROCESO""))*D87"),12.2016)</f>
        <v>12.2016</v>
      </c>
      <c r="I87" s="46">
        <f t="shared" si="1"/>
        <v>9.58</v>
      </c>
      <c r="J87" s="46">
        <f>SUMIFS('👷horas'!$J:$J,'👷horas'!$D:$D,A87,'👷horas'!$E:$E,B87,'👷horas'!$F:$F,F87,'👷horas'!$G:$G,G87)</f>
        <v>3.58</v>
      </c>
      <c r="K87" s="47">
        <f>SUMIFS('👷horas'!$K:$K,'👷horas'!$D:$D,A87,'👷horas'!$E:$E,B87,'👷horas'!$F:$F,F87,'👷horas'!$G:$G,G87)</f>
        <v>6</v>
      </c>
      <c r="L87" s="48">
        <f t="shared" si="2"/>
        <v>0.4867886179</v>
      </c>
      <c r="M87" s="49">
        <f t="shared" si="3"/>
        <v>0</v>
      </c>
      <c r="N87" s="50">
        <f t="shared" si="4"/>
        <v>0.2148570679</v>
      </c>
      <c r="O87" s="50">
        <f t="shared" si="5"/>
        <v>1</v>
      </c>
      <c r="P87" s="51" t="s">
        <v>193</v>
      </c>
      <c r="Q87" s="52" t="str">
        <f t="shared" si="6"/>
        <v>Terminado</v>
      </c>
      <c r="R87" s="52" t="str">
        <f>IFERROR(__xludf.DUMMYFUNCTION("SPARKLINE(O87,{""charttype"",""bar"";""max"",1;""color1"",IF(P87=""Terminado"",""#4CAF50"",IF(O87&gt;=0.5,""#FFA500"",""#F44336""))})"),"")</f>
        <v/>
      </c>
      <c r="S87" s="40"/>
      <c r="T87" s="40"/>
      <c r="U87" s="40"/>
      <c r="V87" s="40"/>
      <c r="W87" s="40"/>
      <c r="X87" s="40"/>
      <c r="Y87" s="40"/>
      <c r="Z87" s="40"/>
      <c r="AA87" s="40"/>
    </row>
    <row r="88" ht="22.5" customHeight="1">
      <c r="A88" s="41" t="s">
        <v>89</v>
      </c>
      <c r="B88" s="41" t="s">
        <v>11</v>
      </c>
      <c r="C88" s="41" t="s">
        <v>14</v>
      </c>
      <c r="D88" s="42">
        <f t="shared" si="7"/>
        <v>19.68</v>
      </c>
      <c r="E88" s="43">
        <v>46113.0</v>
      </c>
      <c r="F88" s="54" t="str">
        <f>IFERROR(__xludf.DUMMYFUNCTION("""COMPUTED_VALUE"""),"Fabricación")</f>
        <v>Fabricación</v>
      </c>
      <c r="G88" s="54" t="str">
        <f>IFERROR(__xludf.DUMMYFUNCTION("""COMPUTED_VALUE"""),"Colocación de perfiles")</f>
        <v>Colocación de perfiles</v>
      </c>
      <c r="H88" s="45">
        <f>IFERROR(__xludf.DUMMYFUNCTION("(IFERROR(FILTER(BBDD!$J:$J,BBDD!$G:$G=C88,BBDD!$H:$H=F88,BBDD!$I:$I=G88),""NO TIENE PROCESO""))*D88"),3.936)</f>
        <v>3.936</v>
      </c>
      <c r="I88" s="46">
        <f t="shared" si="1"/>
        <v>3</v>
      </c>
      <c r="J88" s="46">
        <f>SUMIFS('👷horas'!$J:$J,'👷horas'!$D:$D,A88,'👷horas'!$E:$E,B88,'👷horas'!$F:$F,F88,'👷horas'!$G:$G,G88)</f>
        <v>2</v>
      </c>
      <c r="K88" s="47">
        <f>SUMIFS('👷horas'!$K:$K,'👷horas'!$D:$D,A88,'👷horas'!$E:$E,B88,'👷horas'!$F:$F,F88,'👷horas'!$G:$G,G88)</f>
        <v>1</v>
      </c>
      <c r="L88" s="48">
        <f t="shared" si="2"/>
        <v>0.1524390244</v>
      </c>
      <c r="M88" s="49">
        <f t="shared" si="3"/>
        <v>0</v>
      </c>
      <c r="N88" s="50">
        <f t="shared" si="4"/>
        <v>0.237804878</v>
      </c>
      <c r="O88" s="50">
        <f t="shared" si="5"/>
        <v>1</v>
      </c>
      <c r="P88" s="51" t="s">
        <v>193</v>
      </c>
      <c r="Q88" s="52" t="str">
        <f t="shared" si="6"/>
        <v>Terminado</v>
      </c>
      <c r="R88" s="52" t="str">
        <f>IFERROR(__xludf.DUMMYFUNCTION("SPARKLINE(O88,{""charttype"",""bar"";""max"",1;""color1"",IF(P88=""Terminado"",""#4CAF50"",IF(O88&gt;=0.5,""#FFA500"",""#F44336""))})"),"")</f>
        <v/>
      </c>
      <c r="S88" s="40"/>
      <c r="T88" s="40"/>
      <c r="U88" s="40"/>
      <c r="V88" s="40"/>
      <c r="W88" s="40"/>
      <c r="X88" s="40"/>
      <c r="Y88" s="40"/>
      <c r="Z88" s="40"/>
      <c r="AA88" s="40"/>
    </row>
    <row r="89" ht="22.5" customHeight="1">
      <c r="A89" s="41" t="s">
        <v>89</v>
      </c>
      <c r="B89" s="41" t="s">
        <v>11</v>
      </c>
      <c r="C89" s="41" t="s">
        <v>14</v>
      </c>
      <c r="D89" s="42">
        <f t="shared" si="7"/>
        <v>19.68</v>
      </c>
      <c r="E89" s="43">
        <v>46113.0</v>
      </c>
      <c r="F89" s="54" t="str">
        <f>IFERROR(__xludf.DUMMYFUNCTION("""COMPUTED_VALUE"""),"Fabricación")</f>
        <v>Fabricación</v>
      </c>
      <c r="G89" s="54" t="str">
        <f>IFERROR(__xludf.DUMMYFUNCTION("""COMPUTED_VALUE"""),"Embalaje/carga/descarga material")</f>
        <v>Embalaje/carga/descarga material</v>
      </c>
      <c r="H89" s="45">
        <f>IFERROR(__xludf.DUMMYFUNCTION("(IFERROR(FILTER(BBDD!$J:$J,BBDD!$G:$G=C89,BBDD!$H:$H=F89,BBDD!$I:$I=G89),""NO TIENE PROCESO""))*D89"),2.952)</f>
        <v>2.952</v>
      </c>
      <c r="I89" s="46">
        <f t="shared" si="1"/>
        <v>1.176470588</v>
      </c>
      <c r="J89" s="46">
        <f>SUMIFS('👷horas'!$J:$J,'👷horas'!$D:$D,A89,'👷horas'!$E:$E,B89,'👷horas'!$F:$F,F89,'👷horas'!$G:$G,G89)</f>
        <v>1</v>
      </c>
      <c r="K89" s="47">
        <f>SUMIFS('👷horas'!$K:$K,'👷horas'!$D:$D,A89,'👷horas'!$E:$E,B89,'👷horas'!$F:$F,F89,'👷horas'!$G:$G,G89)</f>
        <v>0.1764705882</v>
      </c>
      <c r="L89" s="48">
        <f t="shared" si="2"/>
        <v>0.05978000956</v>
      </c>
      <c r="M89" s="49">
        <f t="shared" si="3"/>
        <v>0</v>
      </c>
      <c r="N89" s="50">
        <f t="shared" si="4"/>
        <v>0.6014666029</v>
      </c>
      <c r="O89" s="50">
        <f t="shared" si="5"/>
        <v>1</v>
      </c>
      <c r="P89" s="51" t="s">
        <v>193</v>
      </c>
      <c r="Q89" s="52" t="str">
        <f t="shared" si="6"/>
        <v>Terminado</v>
      </c>
      <c r="R89" s="52" t="str">
        <f>IFERROR(__xludf.DUMMYFUNCTION("SPARKLINE(O89,{""charttype"",""bar"";""max"",1;""color1"",IF(P89=""Terminado"",""#4CAF50"",IF(O89&gt;=0.5,""#FFA500"",""#F44336""))})"),"")</f>
        <v/>
      </c>
      <c r="S89" s="40"/>
      <c r="T89" s="40"/>
      <c r="U89" s="40"/>
      <c r="V89" s="40"/>
      <c r="W89" s="40"/>
      <c r="X89" s="40"/>
      <c r="Y89" s="40"/>
      <c r="Z89" s="40"/>
      <c r="AA89" s="40"/>
    </row>
    <row r="90" ht="22.5" customHeight="1">
      <c r="A90" s="41" t="s">
        <v>89</v>
      </c>
      <c r="B90" s="41" t="s">
        <v>11</v>
      </c>
      <c r="C90" s="41" t="s">
        <v>14</v>
      </c>
      <c r="D90" s="42">
        <f t="shared" si="7"/>
        <v>19.68</v>
      </c>
      <c r="E90" s="43">
        <v>46113.0</v>
      </c>
      <c r="F90" s="68" t="str">
        <f>IFERROR(__xludf.DUMMYFUNCTION("""COMPUTED_VALUE"""),"Pintura")</f>
        <v>Pintura</v>
      </c>
      <c r="G90" s="68" t="str">
        <f>IFERROR(__xludf.DUMMYFUNCTION("""COMPUTED_VALUE"""),"Lijado y/o Masillado")</f>
        <v>Lijado y/o Masillado</v>
      </c>
      <c r="H90" s="45">
        <f>IFERROR(__xludf.DUMMYFUNCTION("(IFERROR(FILTER(BBDD!$J:$J,BBDD!$G:$G=C90,BBDD!$H:$H=F90,BBDD!$I:$I=G90),""NO TIENE PROCESO""))*D90"),9.84)</f>
        <v>9.84</v>
      </c>
      <c r="I90" s="46">
        <f t="shared" si="1"/>
        <v>12.0579</v>
      </c>
      <c r="J90" s="46">
        <f>SUMIFS('👷horas'!$J:$J,'👷horas'!$D:$D,A90,'👷horas'!$E:$E,B90,'👷horas'!$F:$F,F90,'👷horas'!$G:$G,G90)</f>
        <v>8.0579</v>
      </c>
      <c r="K90" s="47">
        <f>SUMIFS('👷horas'!$K:$K,'👷horas'!$D:$D,A90,'👷horas'!$E:$E,B90,'👷horas'!$F:$F,F90,'👷horas'!$G:$G,G90)</f>
        <v>4</v>
      </c>
      <c r="L90" s="48">
        <f t="shared" si="2"/>
        <v>0.6126981707</v>
      </c>
      <c r="M90" s="49">
        <f t="shared" si="3"/>
        <v>0</v>
      </c>
      <c r="N90" s="50">
        <f t="shared" si="4"/>
        <v>-0.2253963415</v>
      </c>
      <c r="O90" s="50">
        <f t="shared" si="5"/>
        <v>1</v>
      </c>
      <c r="P90" s="51" t="s">
        <v>193</v>
      </c>
      <c r="Q90" s="52" t="str">
        <f t="shared" si="6"/>
        <v>Terminado</v>
      </c>
      <c r="R90" s="52" t="str">
        <f>IFERROR(__xludf.DUMMYFUNCTION("SPARKLINE(O90,{""charttype"",""bar"";""max"",1;""color1"",IF(P90=""Terminado"",""#4CAF50"",IF(O90&gt;=0.5,""#FFA500"",""#F44336""))})"),"")</f>
        <v/>
      </c>
      <c r="S90" s="40"/>
      <c r="T90" s="40"/>
      <c r="U90" s="40"/>
      <c r="V90" s="40"/>
      <c r="W90" s="40"/>
      <c r="X90" s="40"/>
      <c r="Y90" s="40"/>
      <c r="Z90" s="40"/>
      <c r="AA90" s="40"/>
    </row>
    <row r="91" ht="22.5" customHeight="1">
      <c r="A91" s="41" t="s">
        <v>89</v>
      </c>
      <c r="B91" s="41" t="s">
        <v>11</v>
      </c>
      <c r="C91" s="41" t="s">
        <v>14</v>
      </c>
      <c r="D91" s="42">
        <f t="shared" si="7"/>
        <v>19.68</v>
      </c>
      <c r="E91" s="43">
        <v>46113.0</v>
      </c>
      <c r="F91" s="54" t="str">
        <f>IFERROR(__xludf.DUMMYFUNCTION("""COMPUTED_VALUE"""),"Pintura")</f>
        <v>Pintura</v>
      </c>
      <c r="G91" s="54" t="str">
        <f>IFERROR(__xludf.DUMMYFUNCTION("""COMPUTED_VALUE"""),"Imprimación/Pintura")</f>
        <v>Imprimación/Pintura</v>
      </c>
      <c r="H91" s="45">
        <f>IFERROR(__xludf.DUMMYFUNCTION("(IFERROR(FILTER(BBDD!$J:$J,BBDD!$G:$G=C91,BBDD!$H:$H=F91,BBDD!$I:$I=G91),""NO TIENE PROCESO""))*D91"),7.872)</f>
        <v>7.872</v>
      </c>
      <c r="I91" s="46">
        <f t="shared" si="1"/>
        <v>6.295</v>
      </c>
      <c r="J91" s="46">
        <f>SUMIFS('👷horas'!$J:$J,'👷horas'!$D:$D,A91,'👷horas'!$E:$E,B91,'👷horas'!$F:$F,F91,'👷horas'!$G:$G,G91)</f>
        <v>6.295</v>
      </c>
      <c r="K91" s="47">
        <f>SUMIFS('👷horas'!$K:$K,'👷horas'!$D:$D,A91,'👷horas'!$E:$E,B91,'👷horas'!$F:$F,F91,'👷horas'!$G:$G,G91)</f>
        <v>0</v>
      </c>
      <c r="L91" s="48">
        <f t="shared" si="2"/>
        <v>0.3198678862</v>
      </c>
      <c r="M91" s="49">
        <f t="shared" si="3"/>
        <v>0</v>
      </c>
      <c r="N91" s="50">
        <f t="shared" si="4"/>
        <v>0.2003302846</v>
      </c>
      <c r="O91" s="50">
        <f t="shared" si="5"/>
        <v>1</v>
      </c>
      <c r="P91" s="51" t="s">
        <v>193</v>
      </c>
      <c r="Q91" s="52" t="str">
        <f t="shared" si="6"/>
        <v>Terminado</v>
      </c>
      <c r="R91" s="52" t="str">
        <f>IFERROR(__xludf.DUMMYFUNCTION("SPARKLINE(O91,{""charttype"",""bar"";""max"",1;""color1"",IF(P91=""Terminado"",""#4CAF50"",IF(O91&gt;=0.5,""#FFA500"",""#F44336""))})"),"")</f>
        <v/>
      </c>
      <c r="S91" s="40"/>
      <c r="T91" s="40"/>
      <c r="U91" s="40"/>
      <c r="V91" s="40"/>
      <c r="W91" s="40"/>
      <c r="X91" s="40"/>
      <c r="Y91" s="40"/>
      <c r="Z91" s="40"/>
      <c r="AA91" s="40"/>
    </row>
    <row r="92" ht="22.5" customHeight="1">
      <c r="A92" s="41" t="s">
        <v>89</v>
      </c>
      <c r="B92" s="41" t="s">
        <v>19</v>
      </c>
      <c r="C92" s="41" t="s">
        <v>67</v>
      </c>
      <c r="D92" s="42">
        <v>33.04</v>
      </c>
      <c r="E92" s="43">
        <v>46113.0</v>
      </c>
      <c r="F92" s="44" t="str">
        <f>IFERROR(__xludf.DUMMYFUNCTION("FILTER(BBDD!H:H,BBDD!G:G=C92)"),"CNC")</f>
        <v>CNC</v>
      </c>
      <c r="G92" s="44" t="str">
        <f>IFERROR(__xludf.DUMMYFUNCTION("FILTER(BBDD!I:I,BBDD!G:G=C92)"),"CNC")</f>
        <v>CNC</v>
      </c>
      <c r="H92" s="45">
        <f>IFERROR(__xludf.DUMMYFUNCTION("(IFERROR(FILTER(BBDD!$J:$J,BBDD!$G:$G=C92,BBDD!$H:$H=F92,BBDD!$I:$I=G92),""NO TIENE PROCESO""))*D92"),6.6080000000000005)</f>
        <v>6.608</v>
      </c>
      <c r="I92" s="46">
        <f t="shared" si="1"/>
        <v>2</v>
      </c>
      <c r="J92" s="46">
        <f>SUMIFS('👷horas'!$J:$J,'👷horas'!$D:$D,A92,'👷horas'!$E:$E,B92,'👷horas'!$F:$F,F92,'👷horas'!$G:$G,G92)</f>
        <v>2</v>
      </c>
      <c r="K92" s="47">
        <f>SUMIFS('👷horas'!$K:$K,'👷horas'!$D:$D,A92,'👷horas'!$E:$E,B92,'👷horas'!$F:$F,F92,'👷horas'!$G:$G,G92)</f>
        <v>0</v>
      </c>
      <c r="L92" s="48">
        <f t="shared" si="2"/>
        <v>0.06053268765</v>
      </c>
      <c r="M92" s="49">
        <f t="shared" si="3"/>
        <v>0</v>
      </c>
      <c r="N92" s="50">
        <f t="shared" si="4"/>
        <v>0.6973365617</v>
      </c>
      <c r="O92" s="50">
        <f t="shared" si="5"/>
        <v>1</v>
      </c>
      <c r="P92" s="51" t="s">
        <v>193</v>
      </c>
      <c r="Q92" s="52" t="str">
        <f t="shared" si="6"/>
        <v>Terminado</v>
      </c>
      <c r="R92" s="52" t="str">
        <f>IFERROR(__xludf.DUMMYFUNCTION("SPARKLINE(O92,{""charttype"",""bar"";""max"",1;""color1"",IF(P92=""Terminado"",""#4CAF50"",IF(O92&gt;=0.5,""#FFA500"",""#F44336""))})"),"")</f>
        <v/>
      </c>
      <c r="S92" s="40"/>
      <c r="T92" s="40"/>
      <c r="U92" s="40"/>
      <c r="V92" s="40"/>
      <c r="W92" s="40"/>
      <c r="X92" s="40"/>
      <c r="Y92" s="40"/>
      <c r="Z92" s="40"/>
      <c r="AA92" s="40"/>
    </row>
    <row r="93" ht="21.0" customHeight="1">
      <c r="A93" s="41" t="s">
        <v>89</v>
      </c>
      <c r="B93" s="41" t="s">
        <v>19</v>
      </c>
      <c r="C93" s="41" t="s">
        <v>67</v>
      </c>
      <c r="D93" s="42">
        <v>33.04</v>
      </c>
      <c r="E93" s="43">
        <v>46113.0</v>
      </c>
      <c r="F93" s="54" t="str">
        <f>IFERROR(__xludf.DUMMYFUNCTION("""COMPUTED_VALUE"""),"Fabricación")</f>
        <v>Fabricación</v>
      </c>
      <c r="G93" s="54" t="str">
        <f>IFERROR(__xludf.DUMMYFUNCTION("""COMPUTED_VALUE"""),"Ensamblaje")</f>
        <v>Ensamblaje</v>
      </c>
      <c r="H93" s="45">
        <f>IFERROR(__xludf.DUMMYFUNCTION("(IFERROR(FILTER(BBDD!$J:$J,BBDD!$G:$G=C93,BBDD!$H:$H=F93,BBDD!$I:$I=G93),""NO TIENE PROCESO""))*D93"),26.1016)</f>
        <v>26.1016</v>
      </c>
      <c r="I93" s="46">
        <f t="shared" si="1"/>
        <v>29.17</v>
      </c>
      <c r="J93" s="46">
        <f>SUMIFS('👷horas'!$J:$J,'👷horas'!$D:$D,A93,'👷horas'!$E:$E,B93,'👷horas'!$F:$F,F93,'👷horas'!$G:$G,G93)</f>
        <v>20.17</v>
      </c>
      <c r="K93" s="47">
        <f>SUMIFS('👷horas'!$K:$K,'👷horas'!$D:$D,A93,'👷horas'!$E:$E,B93,'👷horas'!$F:$F,F93,'👷horas'!$G:$G,G93)</f>
        <v>9</v>
      </c>
      <c r="L93" s="48">
        <f t="shared" si="2"/>
        <v>0.8828692494</v>
      </c>
      <c r="M93" s="49">
        <f t="shared" si="3"/>
        <v>0</v>
      </c>
      <c r="N93" s="50">
        <f t="shared" si="4"/>
        <v>-0.1175560119</v>
      </c>
      <c r="O93" s="50">
        <f t="shared" si="5"/>
        <v>1</v>
      </c>
      <c r="P93" s="51" t="s">
        <v>193</v>
      </c>
      <c r="Q93" s="52" t="str">
        <f t="shared" si="6"/>
        <v>Terminado</v>
      </c>
      <c r="R93" s="52" t="str">
        <f>IFERROR(__xludf.DUMMYFUNCTION("SPARKLINE(O93,{""charttype"",""bar"";""max"",1;""color1"",IF(P93=""Terminado"",""#4CAF50"",IF(O93&gt;=0.5,""#FFA500"",""#F44336""))})"),"")</f>
        <v/>
      </c>
      <c r="S93" s="40"/>
      <c r="T93" s="40"/>
      <c r="U93" s="40"/>
      <c r="V93" s="40"/>
      <c r="W93" s="40"/>
      <c r="X93" s="40"/>
      <c r="Y93" s="40"/>
      <c r="Z93" s="40"/>
      <c r="AA93" s="40"/>
    </row>
    <row r="94" ht="22.5" customHeight="1">
      <c r="A94" s="41" t="s">
        <v>89</v>
      </c>
      <c r="B94" s="41" t="s">
        <v>19</v>
      </c>
      <c r="C94" s="41" t="s">
        <v>67</v>
      </c>
      <c r="D94" s="42">
        <v>33.04</v>
      </c>
      <c r="E94" s="43">
        <v>46113.0</v>
      </c>
      <c r="F94" s="54" t="str">
        <f>IFERROR(__xludf.DUMMYFUNCTION("""COMPUTED_VALUE"""),"Fabricación")</f>
        <v>Fabricación</v>
      </c>
      <c r="G94" s="54" t="str">
        <f>IFERROR(__xludf.DUMMYFUNCTION("""COMPUTED_VALUE"""),"Colocación de perfiles")</f>
        <v>Colocación de perfiles</v>
      </c>
      <c r="H94" s="45">
        <f>IFERROR(__xludf.DUMMYFUNCTION("(IFERROR(FILTER(BBDD!$J:$J,BBDD!$G:$G=C94,BBDD!$H:$H=F94,BBDD!$I:$I=G94),""NO TIENE PROCESO""))*D94"),6.6080000000000005)</f>
        <v>6.608</v>
      </c>
      <c r="I94" s="46">
        <f t="shared" si="1"/>
        <v>8</v>
      </c>
      <c r="J94" s="46">
        <f>SUMIFS('👷horas'!$J:$J,'👷horas'!$D:$D,A94,'👷horas'!$E:$E,B94,'👷horas'!$F:$F,F94,'👷horas'!$G:$G,G94)</f>
        <v>8</v>
      </c>
      <c r="K94" s="47">
        <f>SUMIFS('👷horas'!$K:$K,'👷horas'!$D:$D,A94,'👷horas'!$E:$E,B94,'👷horas'!$F:$F,F94,'👷horas'!$G:$G,G94)</f>
        <v>0</v>
      </c>
      <c r="L94" s="48">
        <f t="shared" si="2"/>
        <v>0.2421307506</v>
      </c>
      <c r="M94" s="49">
        <f t="shared" si="3"/>
        <v>0</v>
      </c>
      <c r="N94" s="50">
        <f t="shared" si="4"/>
        <v>-0.210653753</v>
      </c>
      <c r="O94" s="50">
        <f t="shared" si="5"/>
        <v>1</v>
      </c>
      <c r="P94" s="51" t="s">
        <v>193</v>
      </c>
      <c r="Q94" s="52" t="str">
        <f t="shared" si="6"/>
        <v>Terminado</v>
      </c>
      <c r="R94" s="52" t="str">
        <f>IFERROR(__xludf.DUMMYFUNCTION("SPARKLINE(O94,{""charttype"",""bar"";""max"",1;""color1"",IF(P94=""Terminado"",""#4CAF50"",IF(O94&gt;=0.5,""#FFA500"",""#F44336""))})"),"")</f>
        <v/>
      </c>
      <c r="S94" s="40"/>
      <c r="T94" s="40"/>
      <c r="U94" s="40"/>
      <c r="V94" s="40"/>
      <c r="W94" s="40"/>
      <c r="X94" s="40"/>
      <c r="Y94" s="40"/>
      <c r="Z94" s="40"/>
      <c r="AA94" s="40"/>
    </row>
    <row r="95" ht="22.5" customHeight="1">
      <c r="A95" s="41" t="s">
        <v>89</v>
      </c>
      <c r="B95" s="41" t="s">
        <v>19</v>
      </c>
      <c r="C95" s="41" t="s">
        <v>67</v>
      </c>
      <c r="D95" s="42">
        <v>33.04</v>
      </c>
      <c r="E95" s="43">
        <v>46113.0</v>
      </c>
      <c r="F95" s="54" t="str">
        <f>IFERROR(__xludf.DUMMYFUNCTION("""COMPUTED_VALUE"""),"Fabricación")</f>
        <v>Fabricación</v>
      </c>
      <c r="G95" s="54" t="str">
        <f>IFERROR(__xludf.DUMMYFUNCTION("""COMPUTED_VALUE"""),"Embalaje/carga/descarga material")</f>
        <v>Embalaje/carga/descarga material</v>
      </c>
      <c r="H95" s="45">
        <f>IFERROR(__xludf.DUMMYFUNCTION("(IFERROR(FILTER(BBDD!$J:$J,BBDD!$G:$G=C95,BBDD!$H:$H=F95,BBDD!$I:$I=G95),""NO TIENE PROCESO""))*D95"),4.9559999999999995)</f>
        <v>4.956</v>
      </c>
      <c r="I95" s="46">
        <f t="shared" si="1"/>
        <v>4.852941176</v>
      </c>
      <c r="J95" s="46">
        <f>SUMIFS('👷horas'!$J:$J,'👷horas'!$D:$D,A95,'👷horas'!$E:$E,B95,'👷horas'!$F:$F,F95,'👷horas'!$G:$G,G95)</f>
        <v>4.5</v>
      </c>
      <c r="K95" s="47">
        <f>SUMIFS('👷horas'!$K:$K,'👷horas'!$D:$D,A95,'👷horas'!$E:$E,B95,'👷horas'!$F:$F,F95,'👷horas'!$G:$G,G95)</f>
        <v>0.3529411765</v>
      </c>
      <c r="L95" s="48">
        <f t="shared" si="2"/>
        <v>0.1468807862</v>
      </c>
      <c r="M95" s="49">
        <f t="shared" si="3"/>
        <v>0</v>
      </c>
      <c r="N95" s="50">
        <f t="shared" si="4"/>
        <v>0.02079475858</v>
      </c>
      <c r="O95" s="50">
        <f t="shared" si="5"/>
        <v>1</v>
      </c>
      <c r="P95" s="51" t="s">
        <v>193</v>
      </c>
      <c r="Q95" s="52" t="str">
        <f t="shared" si="6"/>
        <v>Terminado</v>
      </c>
      <c r="R95" s="52" t="str">
        <f>IFERROR(__xludf.DUMMYFUNCTION("SPARKLINE(O95,{""charttype"",""bar"";""max"",1;""color1"",IF(P95=""Terminado"",""#4CAF50"",IF(O95&gt;=0.5,""#FFA500"",""#F44336""))})"),"")</f>
        <v/>
      </c>
      <c r="S95" s="40"/>
      <c r="T95" s="40"/>
      <c r="U95" s="40"/>
      <c r="V95" s="40"/>
      <c r="W95" s="40"/>
      <c r="X95" s="40"/>
      <c r="Y95" s="40"/>
      <c r="Z95" s="40"/>
      <c r="AA95" s="40"/>
    </row>
    <row r="96" ht="22.5" customHeight="1">
      <c r="A96" s="41" t="s">
        <v>89</v>
      </c>
      <c r="B96" s="41" t="s">
        <v>19</v>
      </c>
      <c r="C96" s="41" t="s">
        <v>67</v>
      </c>
      <c r="D96" s="42">
        <v>33.04</v>
      </c>
      <c r="E96" s="43">
        <v>46113.0</v>
      </c>
      <c r="F96" s="55" t="str">
        <f>IFERROR(__xludf.DUMMYFUNCTION("""COMPUTED_VALUE"""),"Pintura")</f>
        <v>Pintura</v>
      </c>
      <c r="G96" s="55" t="str">
        <f>IFERROR(__xludf.DUMMYFUNCTION("""COMPUTED_VALUE"""),"Lijado y/o Masillado")</f>
        <v>Lijado y/o Masillado</v>
      </c>
      <c r="H96" s="45">
        <f>IFERROR(__xludf.DUMMYFUNCTION("(IFERROR(FILTER(BBDD!$J:$J,BBDD!$G:$G=C96,BBDD!$H:$H=F96,BBDD!$I:$I=G96),""NO TIENE PROCESO""))*D96"),19.823999999999998)</f>
        <v>19.824</v>
      </c>
      <c r="I96" s="46">
        <f t="shared" si="1"/>
        <v>20.4421</v>
      </c>
      <c r="J96" s="46">
        <f>SUMIFS('👷horas'!$J:$J,'👷horas'!$D:$D,A96,'👷horas'!$E:$E,B96,'👷horas'!$F:$F,F96,'👷horas'!$G:$G,G96)</f>
        <v>10.9421</v>
      </c>
      <c r="K96" s="47">
        <f>SUMIFS('👷horas'!$K:$K,'👷horas'!$D:$D,A96,'👷horas'!$E:$E,B96,'👷horas'!$F:$F,F96,'👷horas'!$G:$G,G96)</f>
        <v>9.5</v>
      </c>
      <c r="L96" s="48">
        <f t="shared" si="2"/>
        <v>0.6187076271</v>
      </c>
      <c r="M96" s="49">
        <f t="shared" si="3"/>
        <v>0</v>
      </c>
      <c r="N96" s="50">
        <f t="shared" si="4"/>
        <v>-0.03117937853</v>
      </c>
      <c r="O96" s="50">
        <f t="shared" si="5"/>
        <v>1</v>
      </c>
      <c r="P96" s="51" t="s">
        <v>193</v>
      </c>
      <c r="Q96" s="52" t="str">
        <f t="shared" si="6"/>
        <v>Terminado</v>
      </c>
      <c r="R96" s="52" t="str">
        <f>IFERROR(__xludf.DUMMYFUNCTION("SPARKLINE(O96,{""charttype"",""bar"";""max"",1;""color1"",IF(P96=""Terminado"",""#4CAF50"",IF(O96&gt;=0.5,""#FFA500"",""#F44336""))})"),"")</f>
        <v/>
      </c>
      <c r="S96" s="40"/>
      <c r="T96" s="40"/>
      <c r="U96" s="40"/>
      <c r="V96" s="40"/>
      <c r="W96" s="40"/>
      <c r="X96" s="40"/>
      <c r="Y96" s="40"/>
      <c r="Z96" s="40"/>
      <c r="AA96" s="40"/>
    </row>
    <row r="97" ht="22.5" customHeight="1">
      <c r="A97" s="41" t="s">
        <v>89</v>
      </c>
      <c r="B97" s="41" t="s">
        <v>19</v>
      </c>
      <c r="C97" s="41" t="s">
        <v>67</v>
      </c>
      <c r="D97" s="42">
        <v>33.04</v>
      </c>
      <c r="E97" s="43">
        <v>46113.0</v>
      </c>
      <c r="F97" s="54" t="str">
        <f>IFERROR(__xludf.DUMMYFUNCTION("""COMPUTED_VALUE"""),"Pintura")</f>
        <v>Pintura</v>
      </c>
      <c r="G97" s="54" t="str">
        <f>IFERROR(__xludf.DUMMYFUNCTION("""COMPUTED_VALUE"""),"Imprimación/Pintura")</f>
        <v>Imprimación/Pintura</v>
      </c>
      <c r="H97" s="45">
        <f>IFERROR(__xludf.DUMMYFUNCTION("(IFERROR(FILTER(BBDD!$J:$J,BBDD!$G:$G=C97,BBDD!$H:$H=F97,BBDD!$I:$I=G97),""NO TIENE PROCESO""))*D97"),13.216000000000001)</f>
        <v>13.216</v>
      </c>
      <c r="I97" s="46">
        <f t="shared" si="1"/>
        <v>7.267</v>
      </c>
      <c r="J97" s="46">
        <f>SUMIFS('👷horas'!$J:$J,'👷horas'!$D:$D,A97,'👷horas'!$E:$E,B97,'👷horas'!$F:$F,F97,'👷horas'!$G:$G,G97)</f>
        <v>4.767</v>
      </c>
      <c r="K97" s="47">
        <f>SUMIFS('👷horas'!$K:$K,'👷horas'!$D:$D,A97,'👷horas'!$E:$E,B97,'👷horas'!$F:$F,F97,'👷horas'!$G:$G,G97)</f>
        <v>2.5</v>
      </c>
      <c r="L97" s="48">
        <f t="shared" si="2"/>
        <v>0.2199455206</v>
      </c>
      <c r="M97" s="49">
        <f t="shared" si="3"/>
        <v>0</v>
      </c>
      <c r="N97" s="50">
        <f t="shared" si="4"/>
        <v>0.4501361985</v>
      </c>
      <c r="O97" s="50">
        <f t="shared" si="5"/>
        <v>1</v>
      </c>
      <c r="P97" s="51" t="s">
        <v>193</v>
      </c>
      <c r="Q97" s="52" t="str">
        <f t="shared" si="6"/>
        <v>Terminado</v>
      </c>
      <c r="R97" s="52" t="str">
        <f>IFERROR(__xludf.DUMMYFUNCTION("SPARKLINE(O97,{""charttype"",""bar"";""max"",1;""color1"",IF(P97=""Terminado"",""#4CAF50"",IF(O97&gt;=0.5,""#FFA500"",""#F44336""))})"),"")</f>
        <v/>
      </c>
      <c r="S97" s="40"/>
      <c r="T97" s="40"/>
      <c r="U97" s="40"/>
      <c r="V97" s="40"/>
      <c r="W97" s="40"/>
      <c r="X97" s="40"/>
      <c r="Y97" s="40"/>
      <c r="Z97" s="40"/>
      <c r="AA97" s="40"/>
    </row>
    <row r="98" ht="22.5" customHeight="1">
      <c r="A98" s="41" t="s">
        <v>89</v>
      </c>
      <c r="B98" s="41" t="s">
        <v>39</v>
      </c>
      <c r="C98" s="41" t="s">
        <v>135</v>
      </c>
      <c r="D98" s="42">
        <v>14.96</v>
      </c>
      <c r="E98" s="43">
        <v>46113.0</v>
      </c>
      <c r="F98" s="44" t="str">
        <f>IFERROR(__xludf.DUMMYFUNCTION("FILTER(BBDD!H:H,BBDD!G:G=C98)"),"Fabricación")</f>
        <v>Fabricación</v>
      </c>
      <c r="G98" s="54" t="str">
        <f>IFERROR(__xludf.DUMMYFUNCTION("FILTER(BBDD!I:I,BBDD!G:G=C98)"),"Pegado de composite/chapa")</f>
        <v>Pegado de composite/chapa</v>
      </c>
      <c r="H98" s="45">
        <f>IFERROR(__xludf.DUMMYFUNCTION("(IFERROR(FILTER(BBDD!$J:$J,BBDD!$G:$G=C98,BBDD!$H:$H=F98,BBDD!$I:$I=G98),""NO TIENE PROCESO""))*D98"),7.7792)</f>
        <v>7.7792</v>
      </c>
      <c r="I98" s="46">
        <f t="shared" si="1"/>
        <v>6.5</v>
      </c>
      <c r="J98" s="46">
        <f>SUMIFS('👷horas'!$J:$J,'👷horas'!$D:$D,A98,'👷horas'!$E:$E,B98,'👷horas'!$F:$F,F98,'👷horas'!$G:$G,G98)</f>
        <v>4.5</v>
      </c>
      <c r="K98" s="47">
        <f>SUMIFS('👷horas'!$K:$K,'👷horas'!$D:$D,A98,'👷horas'!$E:$E,B98,'👷horas'!$F:$F,F98,'👷horas'!$G:$G,G98)</f>
        <v>2</v>
      </c>
      <c r="L98" s="48">
        <f t="shared" si="2"/>
        <v>0.4344919786</v>
      </c>
      <c r="M98" s="49">
        <f t="shared" si="3"/>
        <v>0</v>
      </c>
      <c r="N98" s="50">
        <f t="shared" si="4"/>
        <v>0.1644385027</v>
      </c>
      <c r="O98" s="50">
        <f t="shared" si="5"/>
        <v>1</v>
      </c>
      <c r="P98" s="51" t="s">
        <v>193</v>
      </c>
      <c r="Q98" s="52" t="str">
        <f t="shared" si="6"/>
        <v>Terminado</v>
      </c>
      <c r="R98" s="52" t="str">
        <f>IFERROR(__xludf.DUMMYFUNCTION("SPARKLINE(O98,{""charttype"",""bar"";""max"",1;""color1"",IF(P98=""Terminado"",""#4CAF50"",IF(O98&gt;=0.5,""#FFA500"",""#F44336""))})"),"")</f>
        <v/>
      </c>
      <c r="S98" s="40"/>
      <c r="T98" s="40"/>
      <c r="U98" s="40"/>
      <c r="V98" s="40"/>
      <c r="W98" s="40"/>
      <c r="X98" s="40"/>
      <c r="Y98" s="40"/>
      <c r="Z98" s="40"/>
      <c r="AA98" s="40"/>
    </row>
    <row r="99" ht="22.5" customHeight="1">
      <c r="A99" s="41" t="s">
        <v>89</v>
      </c>
      <c r="B99" s="41" t="s">
        <v>39</v>
      </c>
      <c r="C99" s="41" t="s">
        <v>135</v>
      </c>
      <c r="D99" s="42">
        <v>14.96</v>
      </c>
      <c r="E99" s="43">
        <v>46113.0</v>
      </c>
      <c r="F99" s="54" t="str">
        <f>IFERROR(__xludf.DUMMYFUNCTION("""COMPUTED_VALUE"""),"Fabricación")</f>
        <v>Fabricación</v>
      </c>
      <c r="G99" s="54" t="str">
        <f>IFERROR(__xludf.DUMMYFUNCTION("""COMPUTED_VALUE"""),"Embalaje/carga/descarga material")</f>
        <v>Embalaje/carga/descarga material</v>
      </c>
      <c r="H99" s="45">
        <f>IFERROR(__xludf.DUMMYFUNCTION("(IFERROR(FILTER(BBDD!$J:$J,BBDD!$G:$G=C99,BBDD!$H:$H=F99,BBDD!$I:$I=G99),""NO TIENE PROCESO""))*D99"),6.8816)</f>
        <v>6.8816</v>
      </c>
      <c r="I99" s="46">
        <f t="shared" si="1"/>
        <v>1.397058824</v>
      </c>
      <c r="J99" s="46">
        <f>SUMIFS('👷horas'!$J:$J,'👷horas'!$D:$D,A99,'👷horas'!$E:$E,B99,'👷horas'!$F:$F,F99,'👷horas'!$G:$G,G99)</f>
        <v>1</v>
      </c>
      <c r="K99" s="47">
        <f>SUMIFS('👷horas'!$K:$K,'👷horas'!$D:$D,A99,'👷horas'!$E:$E,B99,'👷horas'!$F:$F,F99,'👷horas'!$G:$G,G99)</f>
        <v>0.3970588235</v>
      </c>
      <c r="L99" s="48">
        <f t="shared" si="2"/>
        <v>0.093386285</v>
      </c>
      <c r="M99" s="49">
        <f t="shared" si="3"/>
        <v>0</v>
      </c>
      <c r="N99" s="50">
        <f t="shared" si="4"/>
        <v>0.796986337</v>
      </c>
      <c r="O99" s="50">
        <f t="shared" si="5"/>
        <v>1</v>
      </c>
      <c r="P99" s="51" t="s">
        <v>193</v>
      </c>
      <c r="Q99" s="52" t="str">
        <f t="shared" si="6"/>
        <v>Terminado</v>
      </c>
      <c r="R99" s="52" t="str">
        <f>IFERROR(__xludf.DUMMYFUNCTION("SPARKLINE(O99,{""charttype"",""bar"";""max"",1;""color1"",IF(P99=""Terminado"",""#4CAF50"",IF(O99&gt;=0.5,""#FFA500"",""#F44336""))})"),"")</f>
        <v/>
      </c>
      <c r="S99" s="40"/>
      <c r="T99" s="40"/>
      <c r="U99" s="40"/>
      <c r="V99" s="40"/>
      <c r="W99" s="40"/>
      <c r="X99" s="40"/>
      <c r="Y99" s="40"/>
      <c r="Z99" s="40"/>
      <c r="AA99" s="40"/>
    </row>
    <row r="100" ht="22.5" customHeight="1">
      <c r="A100" s="41" t="s">
        <v>89</v>
      </c>
      <c r="B100" s="41" t="s">
        <v>39</v>
      </c>
      <c r="C100" s="41" t="s">
        <v>135</v>
      </c>
      <c r="D100" s="42">
        <v>14.96</v>
      </c>
      <c r="E100" s="43">
        <v>46113.0</v>
      </c>
      <c r="F100" s="54" t="str">
        <f>IFERROR(__xludf.DUMMYFUNCTION("""COMPUTED_VALUE"""),"CNC")</f>
        <v>CNC</v>
      </c>
      <c r="G100" s="54" t="str">
        <f>IFERROR(__xludf.DUMMYFUNCTION("""COMPUTED_VALUE"""),"CNC")</f>
        <v>CNC</v>
      </c>
      <c r="H100" s="45">
        <f>IFERROR(__xludf.DUMMYFUNCTION("(IFERROR(FILTER(BBDD!$J:$J,BBDD!$G:$G=C100,BBDD!$H:$H=F100,BBDD!$I:$I=G100),""NO TIENE PROCESO""))*D100"),5.535200000000001)</f>
        <v>5.5352</v>
      </c>
      <c r="I100" s="46">
        <f t="shared" si="1"/>
        <v>2.458333333</v>
      </c>
      <c r="J100" s="46">
        <f>SUMIFS('👷horas'!$J:$J,'👷horas'!$D:$D,A100,'👷horas'!$E:$E,B100,'👷horas'!$F:$F,F100,'👷horas'!$G:$G,G100)</f>
        <v>2.458333333</v>
      </c>
      <c r="K100" s="47">
        <f>SUMIFS('👷horas'!$K:$K,'👷horas'!$D:$D,A100,'👷horas'!$E:$E,B100,'👷horas'!$F:$F,F100,'👷horas'!$G:$G,G100)</f>
        <v>0</v>
      </c>
      <c r="L100" s="48">
        <f t="shared" si="2"/>
        <v>0.1643270945</v>
      </c>
      <c r="M100" s="49">
        <f t="shared" si="3"/>
        <v>0</v>
      </c>
      <c r="N100" s="50">
        <f t="shared" si="4"/>
        <v>0.5558727176</v>
      </c>
      <c r="O100" s="50">
        <f t="shared" si="5"/>
        <v>1</v>
      </c>
      <c r="P100" s="51" t="s">
        <v>193</v>
      </c>
      <c r="Q100" s="52" t="str">
        <f t="shared" si="6"/>
        <v>Terminado</v>
      </c>
      <c r="R100" s="52" t="str">
        <f>IFERROR(__xludf.DUMMYFUNCTION("SPARKLINE(O100,{""charttype"",""bar"";""max"",1;""color1"",IF(P100=""Terminado"",""#4CAF50"",IF(O100&gt;=0.5,""#FFA500"",""#F44336""))})"),"")</f>
        <v/>
      </c>
      <c r="S100" s="40"/>
      <c r="T100" s="40"/>
      <c r="U100" s="40"/>
      <c r="V100" s="40"/>
      <c r="W100" s="40"/>
      <c r="X100" s="40"/>
      <c r="Y100" s="40"/>
      <c r="Z100" s="40"/>
      <c r="AA100" s="40"/>
    </row>
    <row r="101" ht="22.5" customHeight="1">
      <c r="A101" s="41" t="s">
        <v>89</v>
      </c>
      <c r="B101" s="41" t="s">
        <v>39</v>
      </c>
      <c r="C101" s="41" t="s">
        <v>135</v>
      </c>
      <c r="D101" s="42">
        <v>11.0</v>
      </c>
      <c r="E101" s="43">
        <v>46113.0</v>
      </c>
      <c r="F101" s="44" t="str">
        <f>IFERROR(__xludf.DUMMYFUNCTION("""COMPUTED_VALUE"""),"Fabricación")</f>
        <v>Fabricación</v>
      </c>
      <c r="G101" s="44" t="str">
        <f>IFERROR(__xludf.DUMMYFUNCTION("""COMPUTED_VALUE"""),"Ensamblaje")</f>
        <v>Ensamblaje</v>
      </c>
      <c r="H101" s="45">
        <f>IFERROR(__xludf.DUMMYFUNCTION("(IFERROR(FILTER(BBDD!$J:$J,BBDD!$G:$G=C101,BBDD!$H:$H=F101,BBDD!$I:$I=G101),""NO TIENE PROCESO""))*D101"),3.52)</f>
        <v>3.52</v>
      </c>
      <c r="I101" s="46">
        <f t="shared" si="1"/>
        <v>5.3</v>
      </c>
      <c r="J101" s="46">
        <f>SUMIFS('👷horas'!$J:$J,'👷horas'!$D:$D,A101,'👷horas'!$E:$E,B101,'👷horas'!$F:$F,F101,'👷horas'!$G:$G,G101)</f>
        <v>5.3</v>
      </c>
      <c r="K101" s="47">
        <f>SUMIFS('👷horas'!$K:$K,'👷horas'!$D:$D,A101,'👷horas'!$E:$E,B101,'👷horas'!$F:$F,F101,'👷horas'!$G:$G,G101)</f>
        <v>0</v>
      </c>
      <c r="L101" s="48">
        <f t="shared" si="2"/>
        <v>0.4818181818</v>
      </c>
      <c r="M101" s="49">
        <f t="shared" si="3"/>
        <v>0</v>
      </c>
      <c r="N101" s="50">
        <f t="shared" si="4"/>
        <v>-0.5056818182</v>
      </c>
      <c r="O101" s="50">
        <f t="shared" si="5"/>
        <v>1</v>
      </c>
      <c r="P101" s="51" t="s">
        <v>193</v>
      </c>
      <c r="Q101" s="52" t="str">
        <f t="shared" si="6"/>
        <v>Terminado</v>
      </c>
      <c r="R101" s="52" t="str">
        <f>IFERROR(__xludf.DUMMYFUNCTION("SPARKLINE(O101,{""charttype"",""bar"";""max"",1;""color1"",IF(P101=""Terminado"",""#4CAF50"",IF(O101&gt;=0.5,""#FFA500"",""#F44336""))})"),"")</f>
        <v/>
      </c>
      <c r="S101" s="40"/>
      <c r="T101" s="40"/>
      <c r="U101" s="40"/>
      <c r="V101" s="40"/>
      <c r="W101" s="40"/>
      <c r="X101" s="40"/>
      <c r="Y101" s="40"/>
      <c r="Z101" s="40"/>
      <c r="AA101" s="40"/>
    </row>
    <row r="102" ht="22.5" customHeight="1">
      <c r="A102" s="41" t="s">
        <v>89</v>
      </c>
      <c r="B102" s="41" t="s">
        <v>39</v>
      </c>
      <c r="C102" s="41" t="s">
        <v>135</v>
      </c>
      <c r="D102" s="42">
        <v>11.0</v>
      </c>
      <c r="E102" s="43">
        <v>46113.0</v>
      </c>
      <c r="F102" s="54" t="str">
        <f>IFERROR(__xludf.DUMMYFUNCTION("""COMPUTED_VALUE"""),"Fabricación")</f>
        <v>Fabricación</v>
      </c>
      <c r="G102" s="54" t="str">
        <f>IFERROR(__xludf.DUMMYFUNCTION("""COMPUTED_VALUE"""),"Colocación de perfiles")</f>
        <v>Colocación de perfiles</v>
      </c>
      <c r="H102" s="45">
        <f>IFERROR(__xludf.DUMMYFUNCTION("(IFERROR(FILTER(BBDD!$J:$J,BBDD!$G:$G=C102,BBDD!$H:$H=F102,BBDD!$I:$I=G102),""NO TIENE PROCESO""))*D102"),1.65)</f>
        <v>1.65</v>
      </c>
      <c r="I102" s="46">
        <f t="shared" si="1"/>
        <v>5.75</v>
      </c>
      <c r="J102" s="46">
        <f>SUMIFS('👷horas'!$J:$J,'👷horas'!$D:$D,A102,'👷horas'!$E:$E,B102,'👷horas'!$F:$F,F102,'👷horas'!$G:$G,G102)</f>
        <v>5.75</v>
      </c>
      <c r="K102" s="47">
        <f>SUMIFS('👷horas'!$K:$K,'👷horas'!$D:$D,A102,'👷horas'!$E:$E,B102,'👷horas'!$F:$F,F102,'👷horas'!$G:$G,G102)</f>
        <v>0</v>
      </c>
      <c r="L102" s="48">
        <f t="shared" si="2"/>
        <v>0.5227272727</v>
      </c>
      <c r="M102" s="49">
        <f t="shared" si="3"/>
        <v>0</v>
      </c>
      <c r="N102" s="50">
        <f t="shared" si="4"/>
        <v>-2.484848485</v>
      </c>
      <c r="O102" s="50">
        <f t="shared" si="5"/>
        <v>1</v>
      </c>
      <c r="P102" s="51" t="s">
        <v>193</v>
      </c>
      <c r="Q102" s="52" t="str">
        <f t="shared" si="6"/>
        <v>Terminado</v>
      </c>
      <c r="R102" s="52" t="str">
        <f>IFERROR(__xludf.DUMMYFUNCTION("SPARKLINE(O102,{""charttype"",""bar"";""max"",1;""color1"",IF(P102=""Terminado"",""#4CAF50"",IF(O102&gt;=0.5,""#FFA500"",""#F44336""))})"),"")</f>
        <v/>
      </c>
      <c r="S102" s="40"/>
      <c r="T102" s="40"/>
      <c r="U102" s="40"/>
      <c r="V102" s="40"/>
      <c r="W102" s="40"/>
      <c r="X102" s="40"/>
      <c r="Y102" s="40"/>
      <c r="Z102" s="40"/>
      <c r="AA102" s="40"/>
    </row>
    <row r="103" ht="22.5" customHeight="1">
      <c r="A103" s="41" t="s">
        <v>89</v>
      </c>
      <c r="B103" s="41" t="s">
        <v>39</v>
      </c>
      <c r="C103" s="41" t="s">
        <v>135</v>
      </c>
      <c r="D103" s="42">
        <v>11.0</v>
      </c>
      <c r="E103" s="43">
        <v>46113.0</v>
      </c>
      <c r="F103" s="54" t="str">
        <f>IFERROR(__xludf.DUMMYFUNCTION("""COMPUTED_VALUE"""),"Pintura")</f>
        <v>Pintura</v>
      </c>
      <c r="G103" s="54" t="str">
        <f>IFERROR(__xludf.DUMMYFUNCTION("""COMPUTED_VALUE"""),"Imprimación/Pintura")</f>
        <v>Imprimación/Pintura</v>
      </c>
      <c r="H103" s="45">
        <f>IFERROR(__xludf.DUMMYFUNCTION("(IFERROR(FILTER(BBDD!$J:$J,BBDD!$G:$G=C103,BBDD!$H:$H=F103,BBDD!$I:$I=G103),""NO TIENE PROCESO""))*D103"),1.1)</f>
        <v>1.1</v>
      </c>
      <c r="I103" s="46">
        <f t="shared" si="1"/>
        <v>1.1</v>
      </c>
      <c r="J103" s="46">
        <f>SUMIFS('👷horas'!$J:$J,'👷horas'!$D:$D,A103,'👷horas'!$E:$E,B103,'👷horas'!$F:$F,F103,'👷horas'!$G:$G,G103)</f>
        <v>1.1</v>
      </c>
      <c r="K103" s="47">
        <f>SUMIFS('👷horas'!$K:$K,'👷horas'!$D:$D,A103,'👷horas'!$E:$E,B103,'👷horas'!$F:$F,F103,'👷horas'!$G:$G,G103)</f>
        <v>0</v>
      </c>
      <c r="L103" s="48">
        <f t="shared" si="2"/>
        <v>0.1</v>
      </c>
      <c r="M103" s="49">
        <f t="shared" si="3"/>
        <v>0</v>
      </c>
      <c r="N103" s="50">
        <f t="shared" si="4"/>
        <v>0</v>
      </c>
      <c r="O103" s="50">
        <f t="shared" si="5"/>
        <v>1</v>
      </c>
      <c r="P103" s="51" t="s">
        <v>193</v>
      </c>
      <c r="Q103" s="52" t="str">
        <f t="shared" si="6"/>
        <v>Terminado</v>
      </c>
      <c r="R103" s="52" t="str">
        <f>IFERROR(__xludf.DUMMYFUNCTION("SPARKLINE(O103,{""charttype"",""bar"";""max"",1;""color1"",IF(P103=""Terminado"",""#4CAF50"",IF(O103&gt;=0.5,""#FFA500"",""#F44336""))})"),"")</f>
        <v/>
      </c>
      <c r="S103" s="40"/>
      <c r="T103" s="40"/>
      <c r="U103" s="40"/>
      <c r="V103" s="40"/>
      <c r="W103" s="40"/>
      <c r="X103" s="40"/>
      <c r="Y103" s="40"/>
      <c r="Z103" s="40"/>
      <c r="AA103" s="40"/>
    </row>
    <row r="104" ht="22.5" customHeight="1">
      <c r="A104" s="41" t="s">
        <v>89</v>
      </c>
      <c r="B104" s="41" t="s">
        <v>194</v>
      </c>
      <c r="C104" s="41" t="s">
        <v>170</v>
      </c>
      <c r="D104" s="42">
        <v>16.08</v>
      </c>
      <c r="E104" s="43">
        <v>46113.0</v>
      </c>
      <c r="F104" s="44" t="str">
        <f>IFERROR(__xludf.DUMMYFUNCTION("FILTER(BBDD!H:H,BBDD!G:G=C104)"),"Fabricación")</f>
        <v>Fabricación</v>
      </c>
      <c r="G104" s="54" t="str">
        <f>IFERROR(__xludf.DUMMYFUNCTION("FILTER(BBDD!I:I,BBDD!G:G=C104)"),"Ensamblaje")</f>
        <v>Ensamblaje</v>
      </c>
      <c r="H104" s="45">
        <f>IFERROR(__xludf.DUMMYFUNCTION("(IFERROR(FILTER(BBDD!$J:$J,BBDD!$G:$G=C104,BBDD!$H:$H=F104,BBDD!$I:$I=G104),""NO TIENE PROCESO""))*D104"),32.16)</f>
        <v>32.16</v>
      </c>
      <c r="I104" s="46">
        <f t="shared" si="1"/>
        <v>30</v>
      </c>
      <c r="J104" s="46">
        <f>SUMIFS('👷horas'!$J:$J,'👷horas'!$D:$D,A104,'👷horas'!$E:$E,B104,'👷horas'!$F:$F,F104,'👷horas'!$G:$G,G104)</f>
        <v>29</v>
      </c>
      <c r="K104" s="47">
        <f>SUMIFS('👷horas'!$K:$K,'👷horas'!$D:$D,A104,'👷horas'!$E:$E,B104,'👷horas'!$F:$F,F104,'👷horas'!$G:$G,G104)</f>
        <v>1</v>
      </c>
      <c r="L104" s="48">
        <f t="shared" si="2"/>
        <v>1.865671642</v>
      </c>
      <c r="M104" s="49">
        <f t="shared" si="3"/>
        <v>0</v>
      </c>
      <c r="N104" s="50">
        <f t="shared" si="4"/>
        <v>0.0671641791</v>
      </c>
      <c r="O104" s="50">
        <f t="shared" si="5"/>
        <v>1</v>
      </c>
      <c r="P104" s="51" t="s">
        <v>193</v>
      </c>
      <c r="Q104" s="52" t="str">
        <f t="shared" si="6"/>
        <v>Terminado</v>
      </c>
      <c r="R104" s="52" t="str">
        <f>IFERROR(__xludf.DUMMYFUNCTION("SPARKLINE(O104,{""charttype"",""bar"";""max"",1;""color1"",IF(P104=""Terminado"",""#4CAF50"",IF(O104&gt;=0.5,""#FFA500"",""#F44336""))})"),"")</f>
        <v/>
      </c>
      <c r="S104" s="40"/>
      <c r="T104" s="40"/>
      <c r="U104" s="40"/>
      <c r="V104" s="40"/>
      <c r="W104" s="40"/>
      <c r="X104" s="40"/>
      <c r="Y104" s="40"/>
      <c r="Z104" s="40"/>
      <c r="AA104" s="40"/>
    </row>
    <row r="105" ht="22.5" customHeight="1">
      <c r="A105" s="41" t="s">
        <v>89</v>
      </c>
      <c r="B105" s="41" t="s">
        <v>194</v>
      </c>
      <c r="C105" s="41" t="s">
        <v>170</v>
      </c>
      <c r="D105" s="42">
        <v>16.08</v>
      </c>
      <c r="E105" s="43">
        <v>46113.0</v>
      </c>
      <c r="F105" s="54" t="str">
        <f>IFERROR(__xludf.DUMMYFUNCTION("""COMPUTED_VALUE"""),"Fabricación")</f>
        <v>Fabricación</v>
      </c>
      <c r="G105" s="54" t="str">
        <f>IFERROR(__xludf.DUMMYFUNCTION("""COMPUTED_VALUE"""),"Embalaje/carga/descarga material")</f>
        <v>Embalaje/carga/descarga material</v>
      </c>
      <c r="H105" s="45">
        <f>IFERROR(__xludf.DUMMYFUNCTION("(IFERROR(FILTER(BBDD!$J:$J,BBDD!$G:$G=C105,BBDD!$H:$H=F105,BBDD!$I:$I=G105),""NO TIENE PROCESO""))*D105"),0.8039999999999999)</f>
        <v>0.804</v>
      </c>
      <c r="I105" s="46">
        <f t="shared" si="1"/>
        <v>0</v>
      </c>
      <c r="J105" s="46">
        <f>SUMIFS('👷horas'!$J:$J,'👷horas'!$D:$D,A105,'👷horas'!$E:$E,B105,'👷horas'!$F:$F,F105,'👷horas'!$G:$G,G105)</f>
        <v>0</v>
      </c>
      <c r="K105" s="47">
        <f>SUMIFS('👷horas'!$K:$K,'👷horas'!$D:$D,A105,'👷horas'!$E:$E,B105,'👷horas'!$F:$F,F105,'👷horas'!$G:$G,G105)</f>
        <v>0</v>
      </c>
      <c r="L105" s="48">
        <f t="shared" si="2"/>
        <v>0</v>
      </c>
      <c r="M105" s="49">
        <f t="shared" si="3"/>
        <v>0</v>
      </c>
      <c r="N105" s="50">
        <f t="shared" si="4"/>
        <v>1</v>
      </c>
      <c r="O105" s="50">
        <f t="shared" si="5"/>
        <v>1</v>
      </c>
      <c r="P105" s="51" t="s">
        <v>193</v>
      </c>
      <c r="Q105" s="52" t="str">
        <f t="shared" si="6"/>
        <v>Terminado</v>
      </c>
      <c r="R105" s="52" t="str">
        <f>IFERROR(__xludf.DUMMYFUNCTION("SPARKLINE(O105,{""charttype"",""bar"";""max"",1;""color1"",IF(P105=""Terminado"",""#4CAF50"",IF(O105&gt;=0.5,""#FFA500"",""#F44336""))})"),"")</f>
        <v/>
      </c>
      <c r="S105" s="40"/>
      <c r="T105" s="40"/>
      <c r="U105" s="40"/>
      <c r="V105" s="40"/>
      <c r="W105" s="40"/>
      <c r="X105" s="40"/>
      <c r="Y105" s="40"/>
      <c r="Z105" s="40"/>
      <c r="AA105" s="40"/>
    </row>
    <row r="106" ht="22.5" customHeight="1">
      <c r="A106" s="41" t="s">
        <v>89</v>
      </c>
      <c r="B106" s="41" t="s">
        <v>80</v>
      </c>
      <c r="C106" s="41" t="s">
        <v>172</v>
      </c>
      <c r="D106" s="42">
        <f>24+85+40</f>
        <v>149</v>
      </c>
      <c r="E106" s="43">
        <v>46113.0</v>
      </c>
      <c r="F106" s="44" t="str">
        <f>IFERROR(__xludf.DUMMYFUNCTION("FILTER(BBDD!H:H,BBDD!G:G=C106)"),"Fabricación")</f>
        <v>Fabricación</v>
      </c>
      <c r="G106" s="44" t="str">
        <f>IFERROR(__xludf.DUMMYFUNCTION("FILTER(BBDD!I:I,BBDD!G:G=C106)"),"Embalaje/carga/descarga material")</f>
        <v>Embalaje/carga/descarga material</v>
      </c>
      <c r="H106" s="45">
        <f>IFERROR(__xludf.DUMMYFUNCTION("(IFERROR(FILTER(BBDD!$J:$J,BBDD!$G:$G=C106,BBDD!$H:$H=F106,BBDD!$I:$I=G106),""NO TIENE PROCESO""))*D106"),3.725)</f>
        <v>3.725</v>
      </c>
      <c r="I106" s="46">
        <f t="shared" si="1"/>
        <v>3</v>
      </c>
      <c r="J106" s="46">
        <f>SUMIFS('👷horas'!$J:$J,'👷horas'!$D:$D,A106,'👷horas'!$E:$E,B106,'👷horas'!$F:$F,F106,'👷horas'!$G:$G,G106)</f>
        <v>3</v>
      </c>
      <c r="K106" s="47">
        <f>SUMIFS('👷horas'!$K:$K,'👷horas'!$D:$D,A106,'👷horas'!$E:$E,B106,'👷horas'!$F:$F,F106,'👷horas'!$G:$G,G106)</f>
        <v>0</v>
      </c>
      <c r="L106" s="48">
        <f t="shared" si="2"/>
        <v>0.02013422819</v>
      </c>
      <c r="M106" s="49">
        <f t="shared" si="3"/>
        <v>0</v>
      </c>
      <c r="N106" s="50">
        <f t="shared" si="4"/>
        <v>0.1946308725</v>
      </c>
      <c r="O106" s="50">
        <f t="shared" si="5"/>
        <v>1</v>
      </c>
      <c r="P106" s="51" t="s">
        <v>193</v>
      </c>
      <c r="Q106" s="52" t="str">
        <f t="shared" si="6"/>
        <v>Terminado</v>
      </c>
      <c r="R106" s="52" t="str">
        <f>IFERROR(__xludf.DUMMYFUNCTION("SPARKLINE(O106,{""charttype"",""bar"";""max"",1;""color1"",IF(P106=""Terminado"",""#4CAF50"",IF(O106&gt;=0.5,""#FFA500"",""#F44336""))})"),"")</f>
        <v/>
      </c>
      <c r="S106" s="40"/>
      <c r="T106" s="40"/>
      <c r="U106" s="40"/>
      <c r="V106" s="40"/>
      <c r="W106" s="40"/>
      <c r="X106" s="40"/>
      <c r="Y106" s="40"/>
      <c r="Z106" s="40"/>
      <c r="AA106" s="40"/>
    </row>
    <row r="107" ht="22.5" customHeight="1">
      <c r="A107" s="60" t="s">
        <v>89</v>
      </c>
      <c r="B107" s="60" t="s">
        <v>146</v>
      </c>
      <c r="C107" s="60" t="s">
        <v>168</v>
      </c>
      <c r="D107" s="61">
        <v>0.42</v>
      </c>
      <c r="E107" s="43">
        <v>46113.0</v>
      </c>
      <c r="F107" s="68" t="str">
        <f>IFERROR(__xludf.DUMMYFUNCTION("FILTER(BBDD!H:H,BBDD!G:G=C107)"),"Fabricación")</f>
        <v>Fabricación</v>
      </c>
      <c r="G107" s="68" t="str">
        <f>IFERROR(__xludf.DUMMYFUNCTION("FILTER(BBDD!I:I,BBDD!G:G=C107)"),"Ensamblaje")</f>
        <v>Ensamblaje</v>
      </c>
      <c r="H107" s="63">
        <f>IFERROR(__xludf.DUMMYFUNCTION("(IFERROR(FILTER(BBDD!$J:$J,BBDD!$G:$G=C107,BBDD!$H:$H=F107,BBDD!$I:$I=G107),""NO TIENE PROCESO""))*D107"),0.294)</f>
        <v>0.294</v>
      </c>
      <c r="I107" s="46">
        <f t="shared" si="1"/>
        <v>2</v>
      </c>
      <c r="J107" s="46">
        <f>SUMIFS('👷horas'!$J:$J,'👷horas'!$D:$D,A107,'👷horas'!$E:$E,B107,'👷horas'!$F:$F,F107,'👷horas'!$G:$G,G107)</f>
        <v>2</v>
      </c>
      <c r="K107" s="47">
        <f>SUMIFS('👷horas'!$K:$K,'👷horas'!$D:$D,A107,'👷horas'!$E:$E,B107,'👷horas'!$F:$F,F107,'👷horas'!$G:$G,G107)</f>
        <v>0</v>
      </c>
      <c r="L107" s="64">
        <f t="shared" si="2"/>
        <v>4.761904762</v>
      </c>
      <c r="M107" s="65">
        <f t="shared" si="3"/>
        <v>0</v>
      </c>
      <c r="N107" s="66">
        <f t="shared" si="4"/>
        <v>-5.802721088</v>
      </c>
      <c r="O107" s="66">
        <f t="shared" si="5"/>
        <v>1</v>
      </c>
      <c r="P107" s="69" t="s">
        <v>193</v>
      </c>
      <c r="Q107" s="67" t="str">
        <f t="shared" si="6"/>
        <v>Terminado</v>
      </c>
      <c r="R107" s="67" t="str">
        <f>IFERROR(__xludf.DUMMYFUNCTION("SPARKLINE(O107,{""charttype"",""bar"";""max"",1;""color1"",IF(P107=""Terminado"",""#4CAF50"",IF(O107&gt;=0.5,""#FFA500"",""#F44336""))})"),"")</f>
        <v/>
      </c>
      <c r="S107" s="40"/>
      <c r="T107" s="40"/>
      <c r="U107" s="40"/>
      <c r="V107" s="40"/>
      <c r="W107" s="40"/>
      <c r="X107" s="40"/>
      <c r="Y107" s="40"/>
      <c r="Z107" s="40"/>
      <c r="AA107" s="40"/>
    </row>
    <row r="108" ht="22.5" customHeight="1">
      <c r="A108" s="60" t="s">
        <v>89</v>
      </c>
      <c r="B108" s="60" t="s">
        <v>146</v>
      </c>
      <c r="C108" s="60" t="s">
        <v>168</v>
      </c>
      <c r="D108" s="61">
        <v>0.42</v>
      </c>
      <c r="E108" s="43">
        <v>46113.0</v>
      </c>
      <c r="F108" s="68" t="str">
        <f>IFERROR(__xludf.DUMMYFUNCTION("""COMPUTED_VALUE"""),"Fabricación")</f>
        <v>Fabricación</v>
      </c>
      <c r="G108" s="68" t="str">
        <f>IFERROR(__xludf.DUMMYFUNCTION("""COMPUTED_VALUE"""),"Embalaje/carga/descarga material")</f>
        <v>Embalaje/carga/descarga material</v>
      </c>
      <c r="H108" s="63">
        <f>IFERROR(__xludf.DUMMYFUNCTION("(IFERROR(FILTER(BBDD!$J:$J,BBDD!$G:$G=C108,BBDD!$H:$H=F108,BBDD!$I:$I=G108),""NO TIENE PROCESO""))*D108"),0.021)</f>
        <v>0.021</v>
      </c>
      <c r="I108" s="46">
        <f t="shared" si="1"/>
        <v>0</v>
      </c>
      <c r="J108" s="46">
        <f>SUMIFS('👷horas'!$J:$J,'👷horas'!$D:$D,A108,'👷horas'!$E:$E,B108,'👷horas'!$F:$F,F108,'👷horas'!$G:$G,G108)</f>
        <v>0</v>
      </c>
      <c r="K108" s="47">
        <f>SUMIFS('👷horas'!$K:$K,'👷horas'!$D:$D,A108,'👷horas'!$E:$E,B108,'👷horas'!$F:$F,F108,'👷horas'!$G:$G,G108)</f>
        <v>0</v>
      </c>
      <c r="L108" s="64">
        <f t="shared" si="2"/>
        <v>0</v>
      </c>
      <c r="M108" s="65">
        <f t="shared" si="3"/>
        <v>0</v>
      </c>
      <c r="N108" s="66">
        <f t="shared" si="4"/>
        <v>1</v>
      </c>
      <c r="O108" s="66">
        <f t="shared" si="5"/>
        <v>1</v>
      </c>
      <c r="P108" s="51" t="s">
        <v>193</v>
      </c>
      <c r="Q108" s="67" t="str">
        <f t="shared" si="6"/>
        <v>Terminado</v>
      </c>
      <c r="R108" s="67" t="str">
        <f>IFERROR(__xludf.DUMMYFUNCTION("SPARKLINE(O108,{""charttype"",""bar"";""max"",1;""color1"",IF(P108=""Terminado"",""#4CAF50"",IF(O108&gt;=0.5,""#FFA500"",""#F44336""))})"),"")</f>
        <v/>
      </c>
      <c r="S108" s="40"/>
      <c r="T108" s="40"/>
      <c r="U108" s="40"/>
      <c r="V108" s="40"/>
      <c r="W108" s="40"/>
      <c r="X108" s="40"/>
      <c r="Y108" s="40"/>
      <c r="Z108" s="40"/>
      <c r="AA108" s="40"/>
    </row>
    <row r="109" ht="22.5" customHeight="1">
      <c r="A109" s="60" t="s">
        <v>89</v>
      </c>
      <c r="B109" s="60" t="s">
        <v>103</v>
      </c>
      <c r="C109" s="60" t="s">
        <v>122</v>
      </c>
      <c r="D109" s="61">
        <v>2.94</v>
      </c>
      <c r="E109" s="43">
        <v>46113.0</v>
      </c>
      <c r="F109" s="68" t="str">
        <f>IFERROR(__xludf.DUMMYFUNCTION("FILTER(BBDD!H:H,BBDD!G:G=C109)"),"CNC")</f>
        <v>CNC</v>
      </c>
      <c r="G109" s="68" t="str">
        <f>IFERROR(__xludf.DUMMYFUNCTION("FILTER(BBDD!I:I,BBDD!G:G=C109)"),"CNC")</f>
        <v>CNC</v>
      </c>
      <c r="H109" s="63">
        <f>IFERROR(__xludf.DUMMYFUNCTION("(IFERROR(FILTER(BBDD!$J:$J,BBDD!$G:$G=C109,BBDD!$H:$H=F109,BBDD!$I:$I=G109),""NO TIENE PROCESO""))*D109"),0.8525999999999999)</f>
        <v>0.8526</v>
      </c>
      <c r="I109" s="46">
        <f t="shared" si="1"/>
        <v>0.45</v>
      </c>
      <c r="J109" s="46">
        <f>SUMIFS('👷horas'!$J:$J,'👷horas'!$D:$D,A109,'👷horas'!$E:$E,B109,'👷horas'!$F:$F,F109,'👷horas'!$G:$G,G109)</f>
        <v>0.45</v>
      </c>
      <c r="K109" s="47">
        <f>SUMIFS('👷horas'!$K:$K,'👷horas'!$D:$D,A109,'👷horas'!$E:$E,B109,'👷horas'!$F:$F,F109,'👷horas'!$G:$G,G109)</f>
        <v>0</v>
      </c>
      <c r="L109" s="64">
        <f t="shared" si="2"/>
        <v>0.1530612245</v>
      </c>
      <c r="M109" s="65">
        <f t="shared" si="3"/>
        <v>0</v>
      </c>
      <c r="N109" s="66">
        <f t="shared" si="4"/>
        <v>0.4722026742</v>
      </c>
      <c r="O109" s="66">
        <f t="shared" si="5"/>
        <v>1</v>
      </c>
      <c r="P109" s="69" t="s">
        <v>193</v>
      </c>
      <c r="Q109" s="67" t="str">
        <f t="shared" si="6"/>
        <v>Terminado</v>
      </c>
      <c r="R109" s="67" t="str">
        <f>IFERROR(__xludf.DUMMYFUNCTION("SPARKLINE(O109,{""charttype"",""bar"";""max"",1;""color1"",IF(P109=""Terminado"",""#4CAF50"",IF(O109&gt;=0.5,""#FFA500"",""#F44336""))})"),"")</f>
        <v/>
      </c>
      <c r="S109" s="40"/>
      <c r="T109" s="40"/>
      <c r="U109" s="40"/>
      <c r="V109" s="40"/>
      <c r="W109" s="40"/>
      <c r="X109" s="40"/>
      <c r="Y109" s="40"/>
      <c r="Z109" s="40"/>
      <c r="AA109" s="40"/>
    </row>
    <row r="110" ht="22.5" customHeight="1">
      <c r="A110" s="60" t="s">
        <v>89</v>
      </c>
      <c r="B110" s="60" t="s">
        <v>103</v>
      </c>
      <c r="C110" s="60" t="s">
        <v>122</v>
      </c>
      <c r="D110" s="61">
        <v>2.94</v>
      </c>
      <c r="E110" s="43">
        <v>46113.0</v>
      </c>
      <c r="F110" s="68" t="str">
        <f>IFERROR(__xludf.DUMMYFUNCTION("""COMPUTED_VALUE"""),"Fabricación")</f>
        <v>Fabricación</v>
      </c>
      <c r="G110" s="68" t="str">
        <f>IFERROR(__xludf.DUMMYFUNCTION("""COMPUTED_VALUE"""),"Ensamblaje")</f>
        <v>Ensamblaje</v>
      </c>
      <c r="H110" s="63">
        <f>IFERROR(__xludf.DUMMYFUNCTION("(IFERROR(FILTER(BBDD!$J:$J,BBDD!$G:$G=C110,BBDD!$H:$H=F110,BBDD!$I:$I=G110),""NO TIENE PROCESO""))*D110"),2.94)</f>
        <v>2.94</v>
      </c>
      <c r="I110" s="46">
        <f t="shared" si="1"/>
        <v>5</v>
      </c>
      <c r="J110" s="46">
        <f>SUMIFS('👷horas'!$J:$J,'👷horas'!$D:$D,A110,'👷horas'!$E:$E,B110,'👷horas'!$F:$F,F110,'👷horas'!$G:$G,G110)</f>
        <v>3</v>
      </c>
      <c r="K110" s="47">
        <f>SUMIFS('👷horas'!$K:$K,'👷horas'!$D:$D,A110,'👷horas'!$E:$E,B110,'👷horas'!$F:$F,F110,'👷horas'!$G:$G,G110)</f>
        <v>2</v>
      </c>
      <c r="L110" s="64">
        <f t="shared" si="2"/>
        <v>1.700680272</v>
      </c>
      <c r="M110" s="65">
        <f t="shared" si="3"/>
        <v>0</v>
      </c>
      <c r="N110" s="66">
        <f t="shared" si="4"/>
        <v>-0.7006802721</v>
      </c>
      <c r="O110" s="66">
        <f t="shared" si="5"/>
        <v>1</v>
      </c>
      <c r="P110" s="69" t="s">
        <v>193</v>
      </c>
      <c r="Q110" s="67" t="str">
        <f t="shared" si="6"/>
        <v>Terminado</v>
      </c>
      <c r="R110" s="67" t="str">
        <f>IFERROR(__xludf.DUMMYFUNCTION("SPARKLINE(O110,{""charttype"",""bar"";""max"",1;""color1"",IF(P110=""Terminado"",""#4CAF50"",IF(O110&gt;=0.5,""#FFA500"",""#F44336""))})"),"")</f>
        <v/>
      </c>
      <c r="S110" s="40"/>
      <c r="T110" s="40"/>
      <c r="U110" s="40"/>
      <c r="V110" s="40"/>
      <c r="W110" s="40"/>
      <c r="X110" s="40"/>
      <c r="Y110" s="40"/>
      <c r="Z110" s="40"/>
      <c r="AA110" s="40"/>
    </row>
    <row r="111" ht="22.5" customHeight="1">
      <c r="A111" s="60" t="s">
        <v>89</v>
      </c>
      <c r="B111" s="60" t="s">
        <v>103</v>
      </c>
      <c r="C111" s="60" t="s">
        <v>122</v>
      </c>
      <c r="D111" s="61">
        <v>2.94</v>
      </c>
      <c r="E111" s="43">
        <v>46113.0</v>
      </c>
      <c r="F111" s="68" t="str">
        <f>IFERROR(__xludf.DUMMYFUNCTION("""COMPUTED_VALUE"""),"Fabricación")</f>
        <v>Fabricación</v>
      </c>
      <c r="G111" s="68" t="str">
        <f>IFERROR(__xludf.DUMMYFUNCTION("""COMPUTED_VALUE"""),"Colocación de perfiles")</f>
        <v>Colocación de perfiles</v>
      </c>
      <c r="H111" s="63">
        <f>IFERROR(__xludf.DUMMYFUNCTION("(IFERROR(FILTER(BBDD!$J:$J,BBDD!$G:$G=C111,BBDD!$H:$H=F111,BBDD!$I:$I=G111),""NO TIENE PROCESO""))*D111"),0.588)</f>
        <v>0.588</v>
      </c>
      <c r="I111" s="46">
        <f t="shared" si="1"/>
        <v>1</v>
      </c>
      <c r="J111" s="46">
        <f>SUMIFS('👷horas'!$J:$J,'👷horas'!$D:$D,A111,'👷horas'!$E:$E,B111,'👷horas'!$F:$F,F111,'👷horas'!$G:$G,G111)</f>
        <v>1</v>
      </c>
      <c r="K111" s="47">
        <f>SUMIFS('👷horas'!$K:$K,'👷horas'!$D:$D,A111,'👷horas'!$E:$E,B111,'👷horas'!$F:$F,F111,'👷horas'!$G:$G,G111)</f>
        <v>0</v>
      </c>
      <c r="L111" s="64">
        <f t="shared" si="2"/>
        <v>0.3401360544</v>
      </c>
      <c r="M111" s="65">
        <f t="shared" si="3"/>
        <v>0</v>
      </c>
      <c r="N111" s="66">
        <f t="shared" si="4"/>
        <v>-0.7006802721</v>
      </c>
      <c r="O111" s="66">
        <f t="shared" si="5"/>
        <v>1</v>
      </c>
      <c r="P111" s="51" t="s">
        <v>193</v>
      </c>
      <c r="Q111" s="67" t="str">
        <f t="shared" si="6"/>
        <v>Terminado</v>
      </c>
      <c r="R111" s="67" t="str">
        <f>IFERROR(__xludf.DUMMYFUNCTION("SPARKLINE(O111,{""charttype"",""bar"";""max"",1;""color1"",IF(P111=""Terminado"",""#4CAF50"",IF(O111&gt;=0.5,""#FFA500"",""#F44336""))})"),"")</f>
        <v/>
      </c>
      <c r="S111" s="40"/>
      <c r="T111" s="40"/>
      <c r="U111" s="40"/>
      <c r="V111" s="40"/>
      <c r="W111" s="40"/>
      <c r="X111" s="40"/>
      <c r="Y111" s="40"/>
      <c r="Z111" s="40"/>
      <c r="AA111" s="40"/>
    </row>
    <row r="112" ht="22.5" customHeight="1">
      <c r="A112" s="60" t="s">
        <v>89</v>
      </c>
      <c r="B112" s="60" t="s">
        <v>103</v>
      </c>
      <c r="C112" s="60" t="s">
        <v>122</v>
      </c>
      <c r="D112" s="61">
        <v>2.94</v>
      </c>
      <c r="E112" s="43">
        <v>46113.0</v>
      </c>
      <c r="F112" s="68" t="str">
        <f>IFERROR(__xludf.DUMMYFUNCTION("""COMPUTED_VALUE"""),"Fabricación")</f>
        <v>Fabricación</v>
      </c>
      <c r="G112" s="68" t="str">
        <f>IFERROR(__xludf.DUMMYFUNCTION("""COMPUTED_VALUE"""),"Embalaje/carga/descarga material")</f>
        <v>Embalaje/carga/descarga material</v>
      </c>
      <c r="H112" s="63">
        <f>IFERROR(__xludf.DUMMYFUNCTION("(IFERROR(FILTER(BBDD!$J:$J,BBDD!$G:$G=C112,BBDD!$H:$H=F112,BBDD!$I:$I=G112),""NO TIENE PROCESO""))*D112"),0.441)</f>
        <v>0.441</v>
      </c>
      <c r="I112" s="46">
        <f t="shared" si="1"/>
        <v>0.5</v>
      </c>
      <c r="J112" s="46">
        <f>SUMIFS('👷horas'!$J:$J,'👷horas'!$D:$D,A112,'👷horas'!$E:$E,B112,'👷horas'!$F:$F,F112,'👷horas'!$G:$G,G112)</f>
        <v>0.5</v>
      </c>
      <c r="K112" s="47">
        <f>SUMIFS('👷horas'!$K:$K,'👷horas'!$D:$D,A112,'👷horas'!$E:$E,B112,'👷horas'!$F:$F,F112,'👷horas'!$G:$G,G112)</f>
        <v>0</v>
      </c>
      <c r="L112" s="64">
        <f t="shared" si="2"/>
        <v>0.1700680272</v>
      </c>
      <c r="M112" s="65">
        <f t="shared" si="3"/>
        <v>0</v>
      </c>
      <c r="N112" s="66">
        <f t="shared" si="4"/>
        <v>-0.1337868481</v>
      </c>
      <c r="O112" s="66">
        <f t="shared" si="5"/>
        <v>1</v>
      </c>
      <c r="P112" s="51" t="s">
        <v>193</v>
      </c>
      <c r="Q112" s="67" t="str">
        <f t="shared" si="6"/>
        <v>Terminado</v>
      </c>
      <c r="R112" s="67" t="str">
        <f>IFERROR(__xludf.DUMMYFUNCTION("SPARKLINE(O112,{""charttype"",""bar"";""max"",1;""color1"",IF(P112=""Terminado"",""#4CAF50"",IF(O112&gt;=0.5,""#FFA500"",""#F44336""))})"),"")</f>
        <v/>
      </c>
      <c r="S112" s="40"/>
      <c r="T112" s="40"/>
      <c r="U112" s="40"/>
      <c r="V112" s="40"/>
      <c r="W112" s="40"/>
      <c r="X112" s="40"/>
      <c r="Y112" s="40"/>
      <c r="Z112" s="40"/>
      <c r="AA112" s="40"/>
    </row>
    <row r="113" ht="22.5" customHeight="1">
      <c r="A113" s="60" t="s">
        <v>89</v>
      </c>
      <c r="B113" s="60" t="s">
        <v>103</v>
      </c>
      <c r="C113" s="60" t="s">
        <v>122</v>
      </c>
      <c r="D113" s="61">
        <v>2.94</v>
      </c>
      <c r="E113" s="43">
        <v>46113.0</v>
      </c>
      <c r="F113" s="68" t="str">
        <f>IFERROR(__xludf.DUMMYFUNCTION("""COMPUTED_VALUE"""),"Pintura")</f>
        <v>Pintura</v>
      </c>
      <c r="G113" s="68" t="str">
        <f>IFERROR(__xludf.DUMMYFUNCTION("""COMPUTED_VALUE"""),"Lijado y/o Masillado")</f>
        <v>Lijado y/o Masillado</v>
      </c>
      <c r="H113" s="63">
        <f>IFERROR(__xludf.DUMMYFUNCTION("(IFERROR(FILTER(BBDD!$J:$J,BBDD!$G:$G=C113,BBDD!$H:$H=F113,BBDD!$I:$I=G113),""NO TIENE PROCESO""))*D113"),1.764)</f>
        <v>1.764</v>
      </c>
      <c r="I113" s="46">
        <f t="shared" si="1"/>
        <v>3</v>
      </c>
      <c r="J113" s="46">
        <f>SUMIFS('👷horas'!$J:$J,'👷horas'!$D:$D,A113,'👷horas'!$E:$E,B113,'👷horas'!$F:$F,F113,'👷horas'!$G:$G,G113)</f>
        <v>2</v>
      </c>
      <c r="K113" s="47">
        <f>SUMIFS('👷horas'!$K:$K,'👷horas'!$D:$D,A113,'👷horas'!$E:$E,B113,'👷horas'!$F:$F,F113,'👷horas'!$G:$G,G113)</f>
        <v>1</v>
      </c>
      <c r="L113" s="64">
        <f t="shared" si="2"/>
        <v>1.020408163</v>
      </c>
      <c r="M113" s="65">
        <f t="shared" si="3"/>
        <v>0</v>
      </c>
      <c r="N113" s="66">
        <f t="shared" si="4"/>
        <v>-0.7006802721</v>
      </c>
      <c r="O113" s="66">
        <f t="shared" si="5"/>
        <v>1</v>
      </c>
      <c r="P113" s="69" t="s">
        <v>193</v>
      </c>
      <c r="Q113" s="67" t="str">
        <f t="shared" si="6"/>
        <v>Terminado</v>
      </c>
      <c r="R113" s="67" t="str">
        <f>IFERROR(__xludf.DUMMYFUNCTION("SPARKLINE(O113,{""charttype"",""bar"";""max"",1;""color1"",IF(P113=""Terminado"",""#4CAF50"",IF(O113&gt;=0.5,""#FFA500"",""#F44336""))})"),"")</f>
        <v/>
      </c>
      <c r="S113" s="40"/>
      <c r="T113" s="40"/>
      <c r="U113" s="40"/>
      <c r="V113" s="40"/>
      <c r="W113" s="40"/>
      <c r="X113" s="40"/>
      <c r="Y113" s="40"/>
      <c r="Z113" s="40"/>
      <c r="AA113" s="40"/>
    </row>
    <row r="114" ht="22.5" customHeight="1">
      <c r="A114" s="60" t="s">
        <v>89</v>
      </c>
      <c r="B114" s="60" t="s">
        <v>103</v>
      </c>
      <c r="C114" s="60" t="s">
        <v>122</v>
      </c>
      <c r="D114" s="61">
        <v>2.94</v>
      </c>
      <c r="E114" s="43">
        <v>46113.0</v>
      </c>
      <c r="F114" s="68" t="str">
        <f>IFERROR(__xludf.DUMMYFUNCTION("""COMPUTED_VALUE"""),"Pintura")</f>
        <v>Pintura</v>
      </c>
      <c r="G114" s="68" t="str">
        <f>IFERROR(__xludf.DUMMYFUNCTION("""COMPUTED_VALUE"""),"Imprimación/Pintura")</f>
        <v>Imprimación/Pintura</v>
      </c>
      <c r="H114" s="63">
        <f>IFERROR(__xludf.DUMMYFUNCTION("(IFERROR(FILTER(BBDD!$J:$J,BBDD!$G:$G=C114,BBDD!$H:$H=F114,BBDD!$I:$I=G114),""NO TIENE PROCESO""))*D114"),1.47)</f>
        <v>1.47</v>
      </c>
      <c r="I114" s="46">
        <f t="shared" si="1"/>
        <v>2</v>
      </c>
      <c r="J114" s="46">
        <f>SUMIFS('👷horas'!$J:$J,'👷horas'!$D:$D,A114,'👷horas'!$E:$E,B114,'👷horas'!$F:$F,F114,'👷horas'!$G:$G,G114)</f>
        <v>1.5</v>
      </c>
      <c r="K114" s="47">
        <f>SUMIFS('👷horas'!$K:$K,'👷horas'!$D:$D,A114,'👷horas'!$E:$E,B114,'👷horas'!$F:$F,F114,'👷horas'!$G:$G,G114)</f>
        <v>0.5</v>
      </c>
      <c r="L114" s="64">
        <f t="shared" si="2"/>
        <v>0.6802721088</v>
      </c>
      <c r="M114" s="65">
        <f t="shared" si="3"/>
        <v>0</v>
      </c>
      <c r="N114" s="66">
        <f t="shared" si="4"/>
        <v>-0.3605442177</v>
      </c>
      <c r="O114" s="66">
        <f t="shared" si="5"/>
        <v>1</v>
      </c>
      <c r="P114" s="51" t="s">
        <v>193</v>
      </c>
      <c r="Q114" s="67" t="str">
        <f t="shared" si="6"/>
        <v>Terminado</v>
      </c>
      <c r="R114" s="67" t="str">
        <f>IFERROR(__xludf.DUMMYFUNCTION("SPARKLINE(O114,{""charttype"",""bar"";""max"",1;""color1"",IF(P114=""Terminado"",""#4CAF50"",IF(O114&gt;=0.5,""#FFA500"",""#F44336""))})"),"")</f>
        <v/>
      </c>
      <c r="S114" s="40"/>
      <c r="T114" s="40"/>
      <c r="U114" s="40"/>
      <c r="V114" s="40"/>
      <c r="W114" s="40"/>
      <c r="X114" s="40"/>
      <c r="Y114" s="40"/>
      <c r="Z114" s="40"/>
      <c r="AA114" s="40"/>
    </row>
    <row r="115" ht="22.5" customHeight="1">
      <c r="A115" s="60" t="s">
        <v>89</v>
      </c>
      <c r="B115" s="60" t="s">
        <v>83</v>
      </c>
      <c r="C115" s="60" t="s">
        <v>169</v>
      </c>
      <c r="D115" s="61">
        <v>5.3</v>
      </c>
      <c r="E115" s="43">
        <v>46113.0</v>
      </c>
      <c r="F115" s="68" t="str">
        <f>IFERROR(__xludf.DUMMYFUNCTION("FILTER(BBDD!H:H,BBDD!G:G=C115)"),"CNC")</f>
        <v>CNC</v>
      </c>
      <c r="G115" s="68" t="str">
        <f>IFERROR(__xludf.DUMMYFUNCTION("FILTER(BBDD!I:I,BBDD!G:G=C115)"),"CNC")</f>
        <v>CNC</v>
      </c>
      <c r="H115" s="63">
        <f>IFERROR(__xludf.DUMMYFUNCTION("(IFERROR(FILTER(BBDD!$J:$J,BBDD!$G:$G=C115,BBDD!$H:$H=F115,BBDD!$I:$I=G115),""NO TIENE PROCESO""))*D115"),0.25175)</f>
        <v>0.25175</v>
      </c>
      <c r="I115" s="46">
        <f t="shared" si="1"/>
        <v>0</v>
      </c>
      <c r="J115" s="46">
        <f>SUMIFS('👷horas'!$J:$J,'👷horas'!$D:$D,A115,'👷horas'!$E:$E,B115,'👷horas'!$F:$F,F115,'👷horas'!$G:$G,G115)</f>
        <v>0</v>
      </c>
      <c r="K115" s="47">
        <f>SUMIFS('👷horas'!$K:$K,'👷horas'!$D:$D,A115,'👷horas'!$E:$E,B115,'👷horas'!$F:$F,F115,'👷horas'!$G:$G,G115)</f>
        <v>0</v>
      </c>
      <c r="L115" s="64">
        <f t="shared" si="2"/>
        <v>0</v>
      </c>
      <c r="M115" s="65">
        <f t="shared" si="3"/>
        <v>0</v>
      </c>
      <c r="N115" s="50">
        <f t="shared" si="4"/>
        <v>1</v>
      </c>
      <c r="O115" s="66">
        <f t="shared" si="5"/>
        <v>1</v>
      </c>
      <c r="P115" s="69" t="s">
        <v>193</v>
      </c>
      <c r="Q115" s="67" t="str">
        <f t="shared" si="6"/>
        <v>Terminado</v>
      </c>
      <c r="R115" s="67" t="str">
        <f>IFERROR(__xludf.DUMMYFUNCTION("SPARKLINE(O115,{""charttype"",""bar"";""max"",1;""color1"",IF(P115=""Terminado"",""#4CAF50"",IF(O115&gt;=0.5,""#FFA500"",""#F44336""))})"),"")</f>
        <v/>
      </c>
      <c r="S115" s="40"/>
      <c r="T115" s="40"/>
      <c r="U115" s="40"/>
      <c r="V115" s="40"/>
      <c r="W115" s="40"/>
      <c r="X115" s="40"/>
      <c r="Y115" s="40"/>
      <c r="Z115" s="40"/>
      <c r="AA115" s="40"/>
    </row>
    <row r="116" ht="22.5" customHeight="1">
      <c r="A116" s="60" t="s">
        <v>89</v>
      </c>
      <c r="B116" s="60" t="s">
        <v>83</v>
      </c>
      <c r="C116" s="60" t="s">
        <v>169</v>
      </c>
      <c r="D116" s="61">
        <v>5.3</v>
      </c>
      <c r="E116" s="43">
        <v>46113.0</v>
      </c>
      <c r="F116" s="68" t="str">
        <f>IFERROR(__xludf.DUMMYFUNCTION("""COMPUTED_VALUE"""),"Fabricación")</f>
        <v>Fabricación</v>
      </c>
      <c r="G116" s="68" t="str">
        <f>IFERROR(__xludf.DUMMYFUNCTION("""COMPUTED_VALUE"""),"Embalaje/carga/descarga material")</f>
        <v>Embalaje/carga/descarga material</v>
      </c>
      <c r="H116" s="63">
        <f>IFERROR(__xludf.DUMMYFUNCTION("(IFERROR(FILTER(BBDD!$J:$J,BBDD!$G:$G=C116,BBDD!$H:$H=F116,BBDD!$I:$I=G116),""NO TIENE PROCESO""))*D116"),0.12561)</f>
        <v>0.12561</v>
      </c>
      <c r="I116" s="46">
        <f t="shared" si="1"/>
        <v>0</v>
      </c>
      <c r="J116" s="46">
        <f>SUMIFS('👷horas'!$J:$J,'👷horas'!$D:$D,A116,'👷horas'!$E:$E,B116,'👷horas'!$F:$F,F116,'👷horas'!$G:$G,G116)</f>
        <v>0</v>
      </c>
      <c r="K116" s="47">
        <f>SUMIFS('👷horas'!$K:$K,'👷horas'!$D:$D,A116,'👷horas'!$E:$E,B116,'👷horas'!$F:$F,F116,'👷horas'!$G:$G,G116)</f>
        <v>0</v>
      </c>
      <c r="L116" s="64">
        <f t="shared" si="2"/>
        <v>0</v>
      </c>
      <c r="M116" s="65">
        <f t="shared" si="3"/>
        <v>0</v>
      </c>
      <c r="N116" s="50">
        <f t="shared" si="4"/>
        <v>1</v>
      </c>
      <c r="O116" s="66">
        <f t="shared" si="5"/>
        <v>1</v>
      </c>
      <c r="P116" s="69" t="s">
        <v>193</v>
      </c>
      <c r="Q116" s="67" t="str">
        <f t="shared" si="6"/>
        <v>Terminado</v>
      </c>
      <c r="R116" s="67" t="str">
        <f>IFERROR(__xludf.DUMMYFUNCTION("SPARKLINE(O116,{""charttype"",""bar"";""max"",1;""color1"",IF(P116=""Terminado"",""#4CAF50"",IF(O116&gt;=0.5,""#FFA500"",""#F44336""))})"),"")</f>
        <v/>
      </c>
      <c r="S116" s="40"/>
      <c r="T116" s="40"/>
      <c r="U116" s="40"/>
      <c r="V116" s="40"/>
      <c r="W116" s="40"/>
      <c r="X116" s="40"/>
      <c r="Y116" s="40"/>
      <c r="Z116" s="40"/>
      <c r="AA116" s="40"/>
    </row>
    <row r="117" ht="22.5" customHeight="1">
      <c r="A117" s="60" t="s">
        <v>89</v>
      </c>
      <c r="B117" s="60" t="s">
        <v>83</v>
      </c>
      <c r="C117" s="60" t="s">
        <v>169</v>
      </c>
      <c r="D117" s="61">
        <v>5.3</v>
      </c>
      <c r="E117" s="43">
        <v>46113.0</v>
      </c>
      <c r="F117" s="68" t="str">
        <f>IFERROR(__xludf.DUMMYFUNCTION("""COMPUTED_VALUE"""),"Pintura")</f>
        <v>Pintura</v>
      </c>
      <c r="G117" s="68" t="str">
        <f>IFERROR(__xludf.DUMMYFUNCTION("""COMPUTED_VALUE"""),"Lijado y/o Masillado")</f>
        <v>Lijado y/o Masillado</v>
      </c>
      <c r="H117" s="63">
        <f>IFERROR(__xludf.DUMMYFUNCTION("(IFERROR(FILTER(BBDD!$J:$J,BBDD!$G:$G=C117,BBDD!$H:$H=F117,BBDD!$I:$I=G117),""NO TIENE PROCESO""))*D117"),0.075525)</f>
        <v>0.075525</v>
      </c>
      <c r="I117" s="46">
        <f t="shared" si="1"/>
        <v>0</v>
      </c>
      <c r="J117" s="46">
        <f>SUMIFS('👷horas'!$J:$J,'👷horas'!$D:$D,A117,'👷horas'!$E:$E,B117,'👷horas'!$F:$F,F117,'👷horas'!$G:$G,G117)</f>
        <v>0</v>
      </c>
      <c r="K117" s="47">
        <f>SUMIFS('👷horas'!$K:$K,'👷horas'!$D:$D,A117,'👷horas'!$E:$E,B117,'👷horas'!$F:$F,F117,'👷horas'!$G:$G,G117)</f>
        <v>0</v>
      </c>
      <c r="L117" s="64">
        <f t="shared" si="2"/>
        <v>0</v>
      </c>
      <c r="M117" s="65">
        <f t="shared" si="3"/>
        <v>0</v>
      </c>
      <c r="N117" s="50">
        <f t="shared" si="4"/>
        <v>1</v>
      </c>
      <c r="O117" s="66">
        <f t="shared" si="5"/>
        <v>1</v>
      </c>
      <c r="P117" s="69" t="s">
        <v>193</v>
      </c>
      <c r="Q117" s="67" t="str">
        <f t="shared" si="6"/>
        <v>Terminado</v>
      </c>
      <c r="R117" s="67" t="str">
        <f>IFERROR(__xludf.DUMMYFUNCTION("SPARKLINE(O117,{""charttype"",""bar"";""max"",1;""color1"",IF(P117=""Terminado"",""#4CAF50"",IF(O117&gt;=0.5,""#FFA500"",""#F44336""))})"),"")</f>
        <v/>
      </c>
      <c r="S117" s="40"/>
      <c r="T117" s="40"/>
      <c r="U117" s="40"/>
      <c r="V117" s="40"/>
      <c r="W117" s="40"/>
      <c r="X117" s="40"/>
      <c r="Y117" s="40"/>
      <c r="Z117" s="40"/>
      <c r="AA117" s="40"/>
    </row>
    <row r="118" ht="22.5" customHeight="1">
      <c r="A118" s="60" t="s">
        <v>89</v>
      </c>
      <c r="B118" s="60" t="s">
        <v>83</v>
      </c>
      <c r="C118" s="60" t="s">
        <v>169</v>
      </c>
      <c r="D118" s="61">
        <v>5.3</v>
      </c>
      <c r="E118" s="43">
        <v>46113.0</v>
      </c>
      <c r="F118" s="68" t="str">
        <f>IFERROR(__xludf.DUMMYFUNCTION("""COMPUTED_VALUE"""),"Pintura")</f>
        <v>Pintura</v>
      </c>
      <c r="G118" s="68" t="str">
        <f>IFERROR(__xludf.DUMMYFUNCTION("""COMPUTED_VALUE"""),"Imprimación/Pintura")</f>
        <v>Imprimación/Pintura</v>
      </c>
      <c r="H118" s="63">
        <f>IFERROR(__xludf.DUMMYFUNCTION("(IFERROR(FILTER(BBDD!$J:$J,BBDD!$G:$G=C118,BBDD!$H:$H=F118,BBDD!$I:$I=G118),""NO TIENE PROCESO""))*D118"),0.31482)</f>
        <v>0.31482</v>
      </c>
      <c r="I118" s="46">
        <f t="shared" si="1"/>
        <v>0.5</v>
      </c>
      <c r="J118" s="46">
        <f>SUMIFS('👷horas'!$J:$J,'👷horas'!$D:$D,A118,'👷horas'!$E:$E,B118,'👷horas'!$F:$F,F118,'👷horas'!$G:$G,G118)</f>
        <v>0.5</v>
      </c>
      <c r="K118" s="47">
        <f>SUMIFS('👷horas'!$K:$K,'👷horas'!$D:$D,A118,'👷horas'!$E:$E,B118,'👷horas'!$F:$F,F118,'👷horas'!$G:$G,G118)</f>
        <v>0</v>
      </c>
      <c r="L118" s="64">
        <f t="shared" si="2"/>
        <v>0.09433962264</v>
      </c>
      <c r="M118" s="65">
        <f t="shared" si="3"/>
        <v>0</v>
      </c>
      <c r="N118" s="50">
        <f t="shared" si="4"/>
        <v>-0.5882091354</v>
      </c>
      <c r="O118" s="66">
        <f t="shared" si="5"/>
        <v>1</v>
      </c>
      <c r="P118" s="69" t="s">
        <v>193</v>
      </c>
      <c r="Q118" s="67" t="str">
        <f t="shared" si="6"/>
        <v>Terminado</v>
      </c>
      <c r="R118" s="67" t="str">
        <f>IFERROR(__xludf.DUMMYFUNCTION("SPARKLINE(O118,{""charttype"",""bar"";""max"",1;""color1"",IF(P118=""Terminado"",""#4CAF50"",IF(O118&gt;=0.5,""#FFA500"",""#F44336""))})"),"")</f>
        <v/>
      </c>
      <c r="S118" s="40"/>
      <c r="T118" s="40"/>
      <c r="U118" s="40"/>
      <c r="V118" s="40"/>
      <c r="W118" s="40"/>
      <c r="X118" s="40"/>
      <c r="Y118" s="40"/>
      <c r="Z118" s="40"/>
      <c r="AA118" s="40"/>
    </row>
    <row r="119" ht="22.5" customHeight="1">
      <c r="A119" s="59" t="s">
        <v>100</v>
      </c>
      <c r="B119" s="60" t="s">
        <v>153</v>
      </c>
      <c r="C119" s="60" t="s">
        <v>163</v>
      </c>
      <c r="D119" s="61">
        <v>10.03</v>
      </c>
      <c r="E119" s="62">
        <v>46115.0</v>
      </c>
      <c r="F119" s="68" t="str">
        <f>IFERROR(__xludf.DUMMYFUNCTION("FILTER(BBDD!H:H,BBDD!G:G=C119)"),"Fabricación")</f>
        <v>Fabricación</v>
      </c>
      <c r="G119" s="68" t="str">
        <f>IFERROR(__xludf.DUMMYFUNCTION("FILTER(BBDD!I:I,BBDD!G:G=C119)"),"Ensamblaje")</f>
        <v>Ensamblaje</v>
      </c>
      <c r="H119" s="63">
        <f>IFERROR(__xludf.DUMMYFUNCTION("(IFERROR(FILTER(BBDD!$J:$J,BBDD!$G:$G=C119,BBDD!$H:$H=F119,BBDD!$I:$I=G119),""NO TIENE PROCESO""))*D119"),25.075)</f>
        <v>25.075</v>
      </c>
      <c r="I119" s="46">
        <f t="shared" si="1"/>
        <v>14.3333</v>
      </c>
      <c r="J119" s="46">
        <f>SUMIFS('👷horas'!$J:$J,'👷horas'!$D:$D,A119,'👷horas'!$E:$E,B119,'👷horas'!$F:$F,F119,'👷horas'!$G:$G,G119)</f>
        <v>14.3333</v>
      </c>
      <c r="K119" s="47">
        <f>SUMIFS('👷horas'!$K:$K,'👷horas'!$D:$D,A119,'👷horas'!$E:$E,B119,'👷horas'!$F:$F,F119,'👷horas'!$G:$G,G119)</f>
        <v>0</v>
      </c>
      <c r="L119" s="64">
        <f t="shared" si="2"/>
        <v>1.429042871</v>
      </c>
      <c r="M119" s="65">
        <f t="shared" si="3"/>
        <v>0</v>
      </c>
      <c r="N119" s="50">
        <f t="shared" si="4"/>
        <v>0.4283828514</v>
      </c>
      <c r="O119" s="66">
        <f t="shared" si="5"/>
        <v>1</v>
      </c>
      <c r="P119" s="69" t="s">
        <v>193</v>
      </c>
      <c r="Q119" s="67" t="str">
        <f t="shared" si="6"/>
        <v>Terminado</v>
      </c>
      <c r="R119" s="67" t="str">
        <f>IFERROR(__xludf.DUMMYFUNCTION("SPARKLINE(O119,{""charttype"",""bar"";""max"",1;""color1"",IF(P119=""Terminado"",""#4CAF50"",IF(O119&gt;=0.5,""#FFA500"",""#F44336""))})"),"")</f>
        <v/>
      </c>
      <c r="S119" s="40"/>
      <c r="T119" s="40"/>
      <c r="U119" s="40"/>
      <c r="V119" s="40"/>
      <c r="W119" s="40"/>
      <c r="X119" s="40"/>
      <c r="Y119" s="40"/>
      <c r="Z119" s="40"/>
      <c r="AA119" s="40"/>
    </row>
    <row r="120" ht="22.5" customHeight="1">
      <c r="A120" s="59" t="s">
        <v>100</v>
      </c>
      <c r="B120" s="60" t="s">
        <v>153</v>
      </c>
      <c r="C120" s="60" t="s">
        <v>163</v>
      </c>
      <c r="D120" s="61">
        <v>10.03</v>
      </c>
      <c r="E120" s="62">
        <v>46115.0</v>
      </c>
      <c r="F120" s="68" t="str">
        <f>IFERROR(__xludf.DUMMYFUNCTION("""COMPUTED_VALUE"""),"Fabricación")</f>
        <v>Fabricación</v>
      </c>
      <c r="G120" s="68" t="str">
        <f>IFERROR(__xludf.DUMMYFUNCTION("""COMPUTED_VALUE"""),"Embalaje/carga/descarga material")</f>
        <v>Embalaje/carga/descarga material</v>
      </c>
      <c r="H120" s="63">
        <f>IFERROR(__xludf.DUMMYFUNCTION("(IFERROR(FILTER(BBDD!$J:$J,BBDD!$G:$G=C120,BBDD!$H:$H=F120,BBDD!$I:$I=G120),""NO TIENE PROCESO""))*D120"),1.3039)</f>
        <v>1.3039</v>
      </c>
      <c r="I120" s="46">
        <f t="shared" si="1"/>
        <v>2</v>
      </c>
      <c r="J120" s="46">
        <f>SUMIFS('👷horas'!$J:$J,'👷horas'!$D:$D,A120,'👷horas'!$E:$E,B120,'👷horas'!$F:$F,F120,'👷horas'!$G:$G,G120)</f>
        <v>2</v>
      </c>
      <c r="K120" s="47">
        <f>SUMIFS('👷horas'!$K:$K,'👷horas'!$D:$D,A120,'👷horas'!$E:$E,B120,'👷horas'!$F:$F,F120,'👷horas'!$G:$G,G120)</f>
        <v>0</v>
      </c>
      <c r="L120" s="64">
        <f t="shared" si="2"/>
        <v>0.1994017946</v>
      </c>
      <c r="M120" s="65">
        <f t="shared" si="3"/>
        <v>0</v>
      </c>
      <c r="N120" s="50">
        <f t="shared" si="4"/>
        <v>-0.5338599586</v>
      </c>
      <c r="O120" s="66">
        <f t="shared" si="5"/>
        <v>1</v>
      </c>
      <c r="P120" s="69" t="s">
        <v>193</v>
      </c>
      <c r="Q120" s="67" t="str">
        <f t="shared" si="6"/>
        <v>Terminado</v>
      </c>
      <c r="R120" s="67" t="str">
        <f>IFERROR(__xludf.DUMMYFUNCTION("SPARKLINE(O120,{""charttype"",""bar"";""max"",1;""color1"",IF(P120=""Terminado"",""#4CAF50"",IF(O120&gt;=0.5,""#FFA500"",""#F44336""))})"),"")</f>
        <v/>
      </c>
      <c r="S120" s="40"/>
      <c r="T120" s="40"/>
      <c r="U120" s="40"/>
      <c r="V120" s="40"/>
      <c r="W120" s="40"/>
      <c r="X120" s="40"/>
      <c r="Y120" s="40"/>
      <c r="Z120" s="40"/>
      <c r="AA120" s="40"/>
    </row>
    <row r="121" ht="22.5" customHeight="1">
      <c r="A121" s="59" t="s">
        <v>100</v>
      </c>
      <c r="B121" s="60" t="s">
        <v>11</v>
      </c>
      <c r="C121" s="41" t="s">
        <v>14</v>
      </c>
      <c r="D121" s="61">
        <v>9.84</v>
      </c>
      <c r="E121" s="62">
        <v>46115.0</v>
      </c>
      <c r="F121" s="68" t="str">
        <f>IFERROR(__xludf.DUMMYFUNCTION("FILTER(BBDD!H:H,BBDD!G:G=C121)"),"CNC")</f>
        <v>CNC</v>
      </c>
      <c r="G121" s="68" t="str">
        <f>IFERROR(__xludf.DUMMYFUNCTION("FILTER(BBDD!I:I,BBDD!G:G=C121)"),"CNC")</f>
        <v>CNC</v>
      </c>
      <c r="H121" s="63">
        <f>IFERROR(__xludf.DUMMYFUNCTION("(IFERROR(FILTER(BBDD!$J:$J,BBDD!$G:$G=C121,BBDD!$H:$H=F121,BBDD!$I:$I=G121),""NO TIENE PROCESO""))*D121"),1.968)</f>
        <v>1.968</v>
      </c>
      <c r="I121" s="46">
        <f t="shared" si="1"/>
        <v>0.75</v>
      </c>
      <c r="J121" s="46">
        <f>SUMIFS('👷horas'!$J:$J,'👷horas'!$D:$D,A121,'👷horas'!$E:$E,B121,'👷horas'!$F:$F,F121,'👷horas'!$G:$G,G121)</f>
        <v>0.75</v>
      </c>
      <c r="K121" s="47">
        <f>SUMIFS('👷horas'!$K:$K,'👷horas'!$D:$D,A121,'👷horas'!$E:$E,B121,'👷horas'!$F:$F,F121,'👷horas'!$G:$G,G121)</f>
        <v>0</v>
      </c>
      <c r="L121" s="64">
        <f t="shared" si="2"/>
        <v>0.0762195122</v>
      </c>
      <c r="M121" s="65">
        <f t="shared" si="3"/>
        <v>0</v>
      </c>
      <c r="N121" s="50">
        <f t="shared" si="4"/>
        <v>0.618902439</v>
      </c>
      <c r="O121" s="66">
        <f t="shared" si="5"/>
        <v>1</v>
      </c>
      <c r="P121" s="51" t="s">
        <v>193</v>
      </c>
      <c r="Q121" s="67" t="str">
        <f t="shared" si="6"/>
        <v>Terminado</v>
      </c>
      <c r="R121" s="67" t="str">
        <f>IFERROR(__xludf.DUMMYFUNCTION("SPARKLINE(O121,{""charttype"",""bar"";""max"",1;""color1"",IF(P121=""Terminado"",""#4CAF50"",IF(O121&gt;=0.5,""#FFA500"",""#F44336""))})"),"")</f>
        <v/>
      </c>
      <c r="S121" s="40"/>
      <c r="T121" s="40"/>
      <c r="U121" s="40"/>
      <c r="V121" s="40"/>
      <c r="W121" s="40"/>
      <c r="X121" s="40"/>
      <c r="Y121" s="40"/>
      <c r="Z121" s="40"/>
      <c r="AA121" s="40"/>
    </row>
    <row r="122" ht="22.5" customHeight="1">
      <c r="A122" s="59" t="s">
        <v>100</v>
      </c>
      <c r="B122" s="60" t="s">
        <v>11</v>
      </c>
      <c r="C122" s="41" t="s">
        <v>14</v>
      </c>
      <c r="D122" s="61">
        <v>9.84</v>
      </c>
      <c r="E122" s="62">
        <v>46115.0</v>
      </c>
      <c r="F122" s="68" t="str">
        <f>IFERROR(__xludf.DUMMYFUNCTION("""COMPUTED_VALUE"""),"Fabricación")</f>
        <v>Fabricación</v>
      </c>
      <c r="G122" s="68" t="str">
        <f>IFERROR(__xludf.DUMMYFUNCTION("""COMPUTED_VALUE"""),"Ensamblaje")</f>
        <v>Ensamblaje</v>
      </c>
      <c r="H122" s="63">
        <f>IFERROR(__xludf.DUMMYFUNCTION("(IFERROR(FILTER(BBDD!$J:$J,BBDD!$G:$G=C122,BBDD!$H:$H=F122,BBDD!$I:$I=G122),""NO TIENE PROCESO""))*D122"),6.1008)</f>
        <v>6.1008</v>
      </c>
      <c r="I122" s="46">
        <f t="shared" si="1"/>
        <v>6.5</v>
      </c>
      <c r="J122" s="46">
        <f>SUMIFS('👷horas'!$J:$J,'👷horas'!$D:$D,A122,'👷horas'!$E:$E,B122,'👷horas'!$F:$F,F122,'👷horas'!$G:$G,G122)</f>
        <v>6.5</v>
      </c>
      <c r="K122" s="47">
        <f>SUMIFS('👷horas'!$K:$K,'👷horas'!$D:$D,A122,'👷horas'!$E:$E,B122,'👷horas'!$F:$F,F122,'👷horas'!$G:$G,G122)</f>
        <v>0</v>
      </c>
      <c r="L122" s="64">
        <f t="shared" si="2"/>
        <v>0.6605691057</v>
      </c>
      <c r="M122" s="65">
        <f t="shared" si="3"/>
        <v>0</v>
      </c>
      <c r="N122" s="50">
        <f t="shared" si="4"/>
        <v>-0.06543404144</v>
      </c>
      <c r="O122" s="66">
        <f t="shared" si="5"/>
        <v>1</v>
      </c>
      <c r="P122" s="69" t="s">
        <v>193</v>
      </c>
      <c r="Q122" s="67" t="str">
        <f t="shared" si="6"/>
        <v>Terminado</v>
      </c>
      <c r="R122" s="67" t="str">
        <f>IFERROR(__xludf.DUMMYFUNCTION("SPARKLINE(O122,{""charttype"",""bar"";""max"",1;""color1"",IF(P122=""Terminado"",""#4CAF50"",IF(O122&gt;=0.5,""#FFA500"",""#F44336""))})"),"")</f>
        <v/>
      </c>
      <c r="S122" s="40"/>
      <c r="T122" s="40"/>
      <c r="U122" s="40"/>
      <c r="V122" s="40"/>
      <c r="W122" s="40"/>
      <c r="X122" s="40"/>
      <c r="Y122" s="40"/>
      <c r="Z122" s="40"/>
      <c r="AA122" s="40"/>
    </row>
    <row r="123" ht="22.5" customHeight="1">
      <c r="A123" s="59" t="s">
        <v>100</v>
      </c>
      <c r="B123" s="60" t="s">
        <v>11</v>
      </c>
      <c r="C123" s="41" t="s">
        <v>14</v>
      </c>
      <c r="D123" s="61">
        <v>9.84</v>
      </c>
      <c r="E123" s="62">
        <v>46115.0</v>
      </c>
      <c r="F123" s="68" t="str">
        <f>IFERROR(__xludf.DUMMYFUNCTION("""COMPUTED_VALUE"""),"Fabricación")</f>
        <v>Fabricación</v>
      </c>
      <c r="G123" s="68" t="str">
        <f>IFERROR(__xludf.DUMMYFUNCTION("""COMPUTED_VALUE"""),"Colocación de perfiles")</f>
        <v>Colocación de perfiles</v>
      </c>
      <c r="H123" s="63">
        <f>IFERROR(__xludf.DUMMYFUNCTION("(IFERROR(FILTER(BBDD!$J:$J,BBDD!$G:$G=C123,BBDD!$H:$H=F123,BBDD!$I:$I=G123),""NO TIENE PROCESO""))*D123"),1.968)</f>
        <v>1.968</v>
      </c>
      <c r="I123" s="46">
        <f t="shared" si="1"/>
        <v>1.5</v>
      </c>
      <c r="J123" s="46">
        <f>SUMIFS('👷horas'!$J:$J,'👷horas'!$D:$D,A123,'👷horas'!$E:$E,B123,'👷horas'!$F:$F,F123,'👷horas'!$G:$G,G123)</f>
        <v>1.5</v>
      </c>
      <c r="K123" s="47">
        <f>SUMIFS('👷horas'!$K:$K,'👷horas'!$D:$D,A123,'👷horas'!$E:$E,B123,'👷horas'!$F:$F,F123,'👷horas'!$G:$G,G123)</f>
        <v>0</v>
      </c>
      <c r="L123" s="64">
        <f t="shared" si="2"/>
        <v>0.1524390244</v>
      </c>
      <c r="M123" s="65">
        <f t="shared" si="3"/>
        <v>0</v>
      </c>
      <c r="N123" s="50">
        <f t="shared" si="4"/>
        <v>0.237804878</v>
      </c>
      <c r="O123" s="66">
        <f t="shared" si="5"/>
        <v>1</v>
      </c>
      <c r="P123" s="69" t="s">
        <v>193</v>
      </c>
      <c r="Q123" s="67" t="str">
        <f t="shared" si="6"/>
        <v>Terminado</v>
      </c>
      <c r="R123" s="67" t="str">
        <f>IFERROR(__xludf.DUMMYFUNCTION("SPARKLINE(O123,{""charttype"",""bar"";""max"",1;""color1"",IF(P123=""Terminado"",""#4CAF50"",IF(O123&gt;=0.5,""#FFA500"",""#F44336""))})"),"")</f>
        <v/>
      </c>
      <c r="S123" s="40"/>
      <c r="T123" s="40"/>
      <c r="U123" s="40"/>
      <c r="V123" s="40"/>
      <c r="W123" s="40"/>
      <c r="X123" s="40"/>
      <c r="Y123" s="40"/>
      <c r="Z123" s="40"/>
      <c r="AA123" s="40"/>
    </row>
    <row r="124" ht="22.5" customHeight="1">
      <c r="A124" s="59" t="s">
        <v>100</v>
      </c>
      <c r="B124" s="60" t="s">
        <v>11</v>
      </c>
      <c r="C124" s="41" t="s">
        <v>14</v>
      </c>
      <c r="D124" s="61">
        <v>9.84</v>
      </c>
      <c r="E124" s="62">
        <v>46115.0</v>
      </c>
      <c r="F124" s="68" t="str">
        <f>IFERROR(__xludf.DUMMYFUNCTION("""COMPUTED_VALUE"""),"Fabricación")</f>
        <v>Fabricación</v>
      </c>
      <c r="G124" s="68" t="str">
        <f>IFERROR(__xludf.DUMMYFUNCTION("""COMPUTED_VALUE"""),"Embalaje/carga/descarga material")</f>
        <v>Embalaje/carga/descarga material</v>
      </c>
      <c r="H124" s="63">
        <f>IFERROR(__xludf.DUMMYFUNCTION("(IFERROR(FILTER(BBDD!$J:$J,BBDD!$G:$G=C124,BBDD!$H:$H=F124,BBDD!$I:$I=G124),""NO TIENE PROCESO""))*D124"),1.476)</f>
        <v>1.476</v>
      </c>
      <c r="I124" s="46">
        <f t="shared" si="1"/>
        <v>4</v>
      </c>
      <c r="J124" s="46">
        <f>SUMIFS('👷horas'!$J:$J,'👷horas'!$D:$D,A124,'👷horas'!$E:$E,B124,'👷horas'!$F:$F,F124,'👷horas'!$G:$G,G124)</f>
        <v>4</v>
      </c>
      <c r="K124" s="47">
        <f>SUMIFS('👷horas'!$K:$K,'👷horas'!$D:$D,A124,'👷horas'!$E:$E,B124,'👷horas'!$F:$F,F124,'👷horas'!$G:$G,G124)</f>
        <v>0</v>
      </c>
      <c r="L124" s="64">
        <f t="shared" si="2"/>
        <v>0.406504065</v>
      </c>
      <c r="M124" s="65">
        <f t="shared" si="3"/>
        <v>0</v>
      </c>
      <c r="N124" s="50">
        <f t="shared" si="4"/>
        <v>-1.7100271</v>
      </c>
      <c r="O124" s="66">
        <f t="shared" si="5"/>
        <v>1</v>
      </c>
      <c r="P124" s="69" t="s">
        <v>193</v>
      </c>
      <c r="Q124" s="67" t="str">
        <f t="shared" si="6"/>
        <v>Terminado</v>
      </c>
      <c r="R124" s="67" t="str">
        <f>IFERROR(__xludf.DUMMYFUNCTION("SPARKLINE(O124,{""charttype"",""bar"";""max"",1;""color1"",IF(P124=""Terminado"",""#4CAF50"",IF(O124&gt;=0.5,""#FFA500"",""#F44336""))})"),"")</f>
        <v/>
      </c>
      <c r="S124" s="40"/>
      <c r="T124" s="40"/>
      <c r="U124" s="40"/>
      <c r="V124" s="40"/>
      <c r="W124" s="40"/>
      <c r="X124" s="40"/>
      <c r="Y124" s="40"/>
      <c r="Z124" s="40"/>
      <c r="AA124" s="40"/>
    </row>
    <row r="125" ht="22.5" customHeight="1">
      <c r="A125" s="59" t="s">
        <v>100</v>
      </c>
      <c r="B125" s="60" t="s">
        <v>11</v>
      </c>
      <c r="C125" s="41" t="s">
        <v>14</v>
      </c>
      <c r="D125" s="61">
        <v>9.84</v>
      </c>
      <c r="E125" s="62">
        <v>46115.0</v>
      </c>
      <c r="F125" s="68" t="str">
        <f>IFERROR(__xludf.DUMMYFUNCTION("""COMPUTED_VALUE"""),"Pintura")</f>
        <v>Pintura</v>
      </c>
      <c r="G125" s="68" t="str">
        <f>IFERROR(__xludf.DUMMYFUNCTION("""COMPUTED_VALUE"""),"Lijado y/o Masillado")</f>
        <v>Lijado y/o Masillado</v>
      </c>
      <c r="H125" s="63">
        <f>IFERROR(__xludf.DUMMYFUNCTION("(IFERROR(FILTER(BBDD!$J:$J,BBDD!$G:$G=C125,BBDD!$H:$H=F125,BBDD!$I:$I=G125),""NO TIENE PROCESO""))*D125"),4.92)</f>
        <v>4.92</v>
      </c>
      <c r="I125" s="46">
        <f t="shared" si="1"/>
        <v>7</v>
      </c>
      <c r="J125" s="46">
        <f>SUMIFS('👷horas'!$J:$J,'👷horas'!$D:$D,A125,'👷horas'!$E:$E,B125,'👷horas'!$F:$F,F125,'👷horas'!$G:$G,G125)</f>
        <v>7</v>
      </c>
      <c r="K125" s="47">
        <f>SUMIFS('👷horas'!$K:$K,'👷horas'!$D:$D,A125,'👷horas'!$E:$E,B125,'👷horas'!$F:$F,F125,'👷horas'!$G:$G,G125)</f>
        <v>0</v>
      </c>
      <c r="L125" s="64">
        <f t="shared" si="2"/>
        <v>0.7113821138</v>
      </c>
      <c r="M125" s="65">
        <f t="shared" si="3"/>
        <v>0</v>
      </c>
      <c r="N125" s="50">
        <f t="shared" si="4"/>
        <v>-0.4227642276</v>
      </c>
      <c r="O125" s="66">
        <f t="shared" si="5"/>
        <v>1</v>
      </c>
      <c r="P125" s="69" t="s">
        <v>193</v>
      </c>
      <c r="Q125" s="67" t="str">
        <f t="shared" si="6"/>
        <v>Terminado</v>
      </c>
      <c r="R125" s="67" t="str">
        <f>IFERROR(__xludf.DUMMYFUNCTION("SPARKLINE(O125,{""charttype"",""bar"";""max"",1;""color1"",IF(P125=""Terminado"",""#4CAF50"",IF(O125&gt;=0.5,""#FFA500"",""#F44336""))})"),"")</f>
        <v/>
      </c>
      <c r="S125" s="40"/>
      <c r="T125" s="40"/>
      <c r="U125" s="40"/>
      <c r="V125" s="40"/>
      <c r="W125" s="40"/>
      <c r="X125" s="40"/>
      <c r="Y125" s="40"/>
      <c r="Z125" s="40"/>
      <c r="AA125" s="40"/>
    </row>
    <row r="126" ht="22.5" customHeight="1">
      <c r="A126" s="59" t="s">
        <v>100</v>
      </c>
      <c r="B126" s="60" t="s">
        <v>11</v>
      </c>
      <c r="C126" s="41" t="s">
        <v>14</v>
      </c>
      <c r="D126" s="61">
        <v>9.84</v>
      </c>
      <c r="E126" s="62">
        <v>46115.0</v>
      </c>
      <c r="F126" s="68" t="str">
        <f>IFERROR(__xludf.DUMMYFUNCTION("""COMPUTED_VALUE"""),"Pintura")</f>
        <v>Pintura</v>
      </c>
      <c r="G126" s="68" t="str">
        <f>IFERROR(__xludf.DUMMYFUNCTION("""COMPUTED_VALUE"""),"Imprimación/Pintura")</f>
        <v>Imprimación/Pintura</v>
      </c>
      <c r="H126" s="63">
        <f>IFERROR(__xludf.DUMMYFUNCTION("(IFERROR(FILTER(BBDD!$J:$J,BBDD!$G:$G=C126,BBDD!$H:$H=F126,BBDD!$I:$I=G126),""NO TIENE PROCESO""))*D126"),3.936)</f>
        <v>3.936</v>
      </c>
      <c r="I126" s="46">
        <f t="shared" si="1"/>
        <v>3</v>
      </c>
      <c r="J126" s="46">
        <f>SUMIFS('👷horas'!$J:$J,'👷horas'!$D:$D,A126,'👷horas'!$E:$E,B126,'👷horas'!$F:$F,F126,'👷horas'!$G:$G,G126)</f>
        <v>3</v>
      </c>
      <c r="K126" s="47">
        <f>SUMIFS('👷horas'!$K:$K,'👷horas'!$D:$D,A126,'👷horas'!$E:$E,B126,'👷horas'!$F:$F,F126,'👷horas'!$G:$G,G126)</f>
        <v>0</v>
      </c>
      <c r="L126" s="64">
        <f t="shared" si="2"/>
        <v>0.3048780488</v>
      </c>
      <c r="M126" s="65">
        <f t="shared" si="3"/>
        <v>0</v>
      </c>
      <c r="N126" s="50">
        <f t="shared" si="4"/>
        <v>0.237804878</v>
      </c>
      <c r="O126" s="66">
        <f t="shared" si="5"/>
        <v>1</v>
      </c>
      <c r="P126" s="69" t="s">
        <v>193</v>
      </c>
      <c r="Q126" s="67" t="str">
        <f t="shared" si="6"/>
        <v>Terminado</v>
      </c>
      <c r="R126" s="67" t="str">
        <f>IFERROR(__xludf.DUMMYFUNCTION("SPARKLINE(O126,{""charttype"",""bar"";""max"",1;""color1"",IF(P126=""Terminado"",""#4CAF50"",IF(O126&gt;=0.5,""#FFA500"",""#F44336""))})"),"")</f>
        <v/>
      </c>
      <c r="S126" s="40"/>
      <c r="T126" s="40"/>
      <c r="U126" s="40"/>
      <c r="V126" s="40"/>
      <c r="W126" s="40"/>
      <c r="X126" s="40"/>
      <c r="Y126" s="40"/>
      <c r="Z126" s="40"/>
      <c r="AA126" s="40"/>
    </row>
    <row r="127" ht="22.5" customHeight="1">
      <c r="A127" s="59" t="s">
        <v>100</v>
      </c>
      <c r="B127" s="60" t="s">
        <v>19</v>
      </c>
      <c r="C127" s="41" t="s">
        <v>67</v>
      </c>
      <c r="D127" s="61">
        <v>8.24</v>
      </c>
      <c r="E127" s="62">
        <v>46115.0</v>
      </c>
      <c r="F127" s="68" t="str">
        <f>IFERROR(__xludf.DUMMYFUNCTION("FILTER(BBDD!H:H,BBDD!G:G=C127)"),"CNC")</f>
        <v>CNC</v>
      </c>
      <c r="G127" s="68" t="str">
        <f>IFERROR(__xludf.DUMMYFUNCTION("FILTER(BBDD!I:I,BBDD!G:G=C127)"),"CNC")</f>
        <v>CNC</v>
      </c>
      <c r="H127" s="63">
        <f>IFERROR(__xludf.DUMMYFUNCTION("(IFERROR(FILTER(BBDD!$J:$J,BBDD!$G:$G=C127,BBDD!$H:$H=F127,BBDD!$I:$I=G127),""NO TIENE PROCESO""))*D127"),1.6480000000000001)</f>
        <v>1.648</v>
      </c>
      <c r="I127" s="46">
        <f t="shared" si="1"/>
        <v>0.5</v>
      </c>
      <c r="J127" s="46">
        <f>SUMIFS('👷horas'!$J:$J,'👷horas'!$D:$D,A127,'👷horas'!$E:$E,B127,'👷horas'!$F:$F,F127,'👷horas'!$G:$G,G127)</f>
        <v>0.5</v>
      </c>
      <c r="K127" s="47">
        <f>SUMIFS('👷horas'!$K:$K,'👷horas'!$D:$D,A127,'👷horas'!$E:$E,B127,'👷horas'!$F:$F,F127,'👷horas'!$G:$G,G127)</f>
        <v>0</v>
      </c>
      <c r="L127" s="64">
        <f t="shared" si="2"/>
        <v>0.06067961165</v>
      </c>
      <c r="M127" s="65">
        <f t="shared" si="3"/>
        <v>0</v>
      </c>
      <c r="N127" s="50">
        <f t="shared" si="4"/>
        <v>0.6966019417</v>
      </c>
      <c r="O127" s="66">
        <f t="shared" si="5"/>
        <v>1</v>
      </c>
      <c r="P127" s="69" t="s">
        <v>193</v>
      </c>
      <c r="Q127" s="67" t="str">
        <f t="shared" si="6"/>
        <v>Terminado</v>
      </c>
      <c r="R127" s="67" t="str">
        <f>IFERROR(__xludf.DUMMYFUNCTION("SPARKLINE(O127,{""charttype"",""bar"";""max"",1;""color1"",IF(P127=""Terminado"",""#4CAF50"",IF(O127&gt;=0.5,""#FFA500"",""#F44336""))})"),"")</f>
        <v/>
      </c>
      <c r="S127" s="40"/>
      <c r="T127" s="40"/>
      <c r="U127" s="40"/>
      <c r="V127" s="40"/>
      <c r="W127" s="40"/>
      <c r="X127" s="40"/>
      <c r="Y127" s="40"/>
      <c r="Z127" s="40"/>
      <c r="AA127" s="40"/>
    </row>
    <row r="128" ht="22.5" customHeight="1">
      <c r="A128" s="59" t="s">
        <v>100</v>
      </c>
      <c r="B128" s="60" t="s">
        <v>19</v>
      </c>
      <c r="C128" s="41" t="s">
        <v>67</v>
      </c>
      <c r="D128" s="61">
        <v>8.24</v>
      </c>
      <c r="E128" s="62">
        <v>46115.0</v>
      </c>
      <c r="F128" s="68" t="str">
        <f>IFERROR(__xludf.DUMMYFUNCTION("""COMPUTED_VALUE"""),"Fabricación")</f>
        <v>Fabricación</v>
      </c>
      <c r="G128" s="68" t="str">
        <f>IFERROR(__xludf.DUMMYFUNCTION("""COMPUTED_VALUE"""),"Ensamblaje")</f>
        <v>Ensamblaje</v>
      </c>
      <c r="H128" s="63">
        <f>IFERROR(__xludf.DUMMYFUNCTION("(IFERROR(FILTER(BBDD!$J:$J,BBDD!$G:$G=C128,BBDD!$H:$H=F128,BBDD!$I:$I=G128),""NO TIENE PROCESO""))*D128"),6.509600000000001)</f>
        <v>6.5096</v>
      </c>
      <c r="I128" s="46">
        <f t="shared" si="1"/>
        <v>4</v>
      </c>
      <c r="J128" s="46">
        <f>SUMIFS('👷horas'!$J:$J,'👷horas'!$D:$D,A128,'👷horas'!$E:$E,B128,'👷horas'!$F:$F,F128,'👷horas'!$G:$G,G128)</f>
        <v>0</v>
      </c>
      <c r="K128" s="47">
        <f>SUMIFS('👷horas'!$K:$K,'👷horas'!$D:$D,A128,'👷horas'!$E:$E,B128,'👷horas'!$F:$F,F128,'👷horas'!$G:$G,G128)</f>
        <v>4</v>
      </c>
      <c r="L128" s="64">
        <f t="shared" si="2"/>
        <v>0.4854368932</v>
      </c>
      <c r="M128" s="65">
        <f t="shared" si="3"/>
        <v>0</v>
      </c>
      <c r="N128" s="50">
        <f t="shared" si="4"/>
        <v>0.38552292</v>
      </c>
      <c r="O128" s="66">
        <f t="shared" si="5"/>
        <v>1</v>
      </c>
      <c r="P128" s="69" t="s">
        <v>193</v>
      </c>
      <c r="Q128" s="67" t="str">
        <f t="shared" si="6"/>
        <v>Terminado</v>
      </c>
      <c r="R128" s="67" t="str">
        <f>IFERROR(__xludf.DUMMYFUNCTION("SPARKLINE(O128,{""charttype"",""bar"";""max"",1;""color1"",IF(P128=""Terminado"",""#4CAF50"",IF(O128&gt;=0.5,""#FFA500"",""#F44336""))})"),"")</f>
        <v/>
      </c>
      <c r="S128" s="40"/>
      <c r="T128" s="40"/>
      <c r="U128" s="40"/>
      <c r="V128" s="40"/>
      <c r="W128" s="40"/>
      <c r="X128" s="40"/>
      <c r="Y128" s="40"/>
      <c r="Z128" s="40"/>
      <c r="AA128" s="40"/>
    </row>
    <row r="129" ht="22.5" customHeight="1">
      <c r="A129" s="59" t="s">
        <v>100</v>
      </c>
      <c r="B129" s="60" t="s">
        <v>19</v>
      </c>
      <c r="C129" s="41" t="s">
        <v>67</v>
      </c>
      <c r="D129" s="61">
        <v>8.24</v>
      </c>
      <c r="E129" s="62">
        <v>46115.0</v>
      </c>
      <c r="F129" s="68" t="str">
        <f>IFERROR(__xludf.DUMMYFUNCTION("""COMPUTED_VALUE"""),"Fabricación")</f>
        <v>Fabricación</v>
      </c>
      <c r="G129" s="68" t="str">
        <f>IFERROR(__xludf.DUMMYFUNCTION("""COMPUTED_VALUE"""),"Colocación de perfiles")</f>
        <v>Colocación de perfiles</v>
      </c>
      <c r="H129" s="63">
        <f>IFERROR(__xludf.DUMMYFUNCTION("(IFERROR(FILTER(BBDD!$J:$J,BBDD!$G:$G=C129,BBDD!$H:$H=F129,BBDD!$I:$I=G129),""NO TIENE PROCESO""))*D129"),1.6480000000000001)</f>
        <v>1.648</v>
      </c>
      <c r="I129" s="46">
        <f t="shared" si="1"/>
        <v>2.5</v>
      </c>
      <c r="J129" s="46">
        <f>SUMIFS('👷horas'!$J:$J,'👷horas'!$D:$D,A129,'👷horas'!$E:$E,B129,'👷horas'!$F:$F,F129,'👷horas'!$G:$G,G129)</f>
        <v>2.5</v>
      </c>
      <c r="K129" s="47">
        <f>SUMIFS('👷horas'!$K:$K,'👷horas'!$D:$D,A129,'👷horas'!$E:$E,B129,'👷horas'!$F:$F,F129,'👷horas'!$G:$G,G129)</f>
        <v>0</v>
      </c>
      <c r="L129" s="64">
        <f t="shared" si="2"/>
        <v>0.3033980583</v>
      </c>
      <c r="M129" s="65">
        <f t="shared" si="3"/>
        <v>0</v>
      </c>
      <c r="N129" s="50">
        <f t="shared" si="4"/>
        <v>-0.5169902913</v>
      </c>
      <c r="O129" s="66">
        <f t="shared" si="5"/>
        <v>1</v>
      </c>
      <c r="P129" s="69" t="s">
        <v>193</v>
      </c>
      <c r="Q129" s="67" t="str">
        <f t="shared" si="6"/>
        <v>Terminado</v>
      </c>
      <c r="R129" s="67" t="str">
        <f>IFERROR(__xludf.DUMMYFUNCTION("SPARKLINE(O129,{""charttype"",""bar"";""max"",1;""color1"",IF(P129=""Terminado"",""#4CAF50"",IF(O129&gt;=0.5,""#FFA500"",""#F44336""))})"),"")</f>
        <v/>
      </c>
      <c r="S129" s="40"/>
      <c r="T129" s="40"/>
      <c r="U129" s="40"/>
      <c r="V129" s="40"/>
      <c r="W129" s="40"/>
      <c r="X129" s="40"/>
      <c r="Y129" s="40"/>
      <c r="Z129" s="40"/>
      <c r="AA129" s="40"/>
    </row>
    <row r="130" ht="22.5" customHeight="1">
      <c r="A130" s="59" t="s">
        <v>100</v>
      </c>
      <c r="B130" s="60" t="s">
        <v>19</v>
      </c>
      <c r="C130" s="41" t="s">
        <v>67</v>
      </c>
      <c r="D130" s="61">
        <v>8.24</v>
      </c>
      <c r="E130" s="62">
        <v>46115.0</v>
      </c>
      <c r="F130" s="68" t="str">
        <f>IFERROR(__xludf.DUMMYFUNCTION("""COMPUTED_VALUE"""),"Fabricación")</f>
        <v>Fabricación</v>
      </c>
      <c r="G130" s="68" t="str">
        <f>IFERROR(__xludf.DUMMYFUNCTION("""COMPUTED_VALUE"""),"Embalaje/carga/descarga material")</f>
        <v>Embalaje/carga/descarga material</v>
      </c>
      <c r="H130" s="63">
        <f>IFERROR(__xludf.DUMMYFUNCTION("(IFERROR(FILTER(BBDD!$J:$J,BBDD!$G:$G=C130,BBDD!$H:$H=F130,BBDD!$I:$I=G130),""NO TIENE PROCESO""))*D130"),1.236)</f>
        <v>1.236</v>
      </c>
      <c r="I130" s="46">
        <f t="shared" si="1"/>
        <v>1.5</v>
      </c>
      <c r="J130" s="46">
        <f>SUMIFS('👷horas'!$J:$J,'👷horas'!$D:$D,A130,'👷horas'!$E:$E,B130,'👷horas'!$F:$F,F130,'👷horas'!$G:$G,G130)</f>
        <v>0.5</v>
      </c>
      <c r="K130" s="47">
        <f>SUMIFS('👷horas'!$K:$K,'👷horas'!$D:$D,A130,'👷horas'!$E:$E,B130,'👷horas'!$F:$F,F130,'👷horas'!$G:$G,G130)</f>
        <v>1</v>
      </c>
      <c r="L130" s="64">
        <f t="shared" si="2"/>
        <v>0.182038835</v>
      </c>
      <c r="M130" s="65">
        <f t="shared" si="3"/>
        <v>0</v>
      </c>
      <c r="N130" s="50">
        <f t="shared" si="4"/>
        <v>-0.213592233</v>
      </c>
      <c r="O130" s="66">
        <f t="shared" si="5"/>
        <v>1</v>
      </c>
      <c r="P130" s="69" t="s">
        <v>193</v>
      </c>
      <c r="Q130" s="67" t="str">
        <f t="shared" si="6"/>
        <v>Terminado</v>
      </c>
      <c r="R130" s="67" t="str">
        <f>IFERROR(__xludf.DUMMYFUNCTION("SPARKLINE(O130,{""charttype"",""bar"";""max"",1;""color1"",IF(P130=""Terminado"",""#4CAF50"",IF(O130&gt;=0.5,""#FFA500"",""#F44336""))})"),"")</f>
        <v/>
      </c>
      <c r="S130" s="40"/>
      <c r="T130" s="40"/>
      <c r="U130" s="40"/>
      <c r="V130" s="40"/>
      <c r="W130" s="40"/>
      <c r="X130" s="40"/>
      <c r="Y130" s="40"/>
      <c r="Z130" s="40"/>
      <c r="AA130" s="40"/>
    </row>
    <row r="131" ht="22.5" customHeight="1">
      <c r="A131" s="59" t="s">
        <v>100</v>
      </c>
      <c r="B131" s="60" t="s">
        <v>19</v>
      </c>
      <c r="C131" s="41" t="s">
        <v>67</v>
      </c>
      <c r="D131" s="61">
        <v>8.24</v>
      </c>
      <c r="E131" s="62">
        <v>46115.0</v>
      </c>
      <c r="F131" s="55" t="str">
        <f>IFERROR(__xludf.DUMMYFUNCTION("""COMPUTED_VALUE"""),"Pintura")</f>
        <v>Pintura</v>
      </c>
      <c r="G131" s="55" t="str">
        <f>IFERROR(__xludf.DUMMYFUNCTION("""COMPUTED_VALUE"""),"Lijado y/o Masillado")</f>
        <v>Lijado y/o Masillado</v>
      </c>
      <c r="H131" s="63">
        <f>IFERROR(__xludf.DUMMYFUNCTION("(IFERROR(FILTER(BBDD!$J:$J,BBDD!$G:$G=C131,BBDD!$H:$H=F131,BBDD!$I:$I=G131),""NO TIENE PROCESO""))*D131"),4.944)</f>
        <v>4.944</v>
      </c>
      <c r="I131" s="46">
        <f t="shared" si="1"/>
        <v>5</v>
      </c>
      <c r="J131" s="46">
        <f>SUMIFS('👷horas'!$J:$J,'👷horas'!$D:$D,A131,'👷horas'!$E:$E,B131,'👷horas'!$F:$F,F131,'👷horas'!$G:$G,G131)</f>
        <v>5</v>
      </c>
      <c r="K131" s="47">
        <f>SUMIFS('👷horas'!$K:$K,'👷horas'!$D:$D,A131,'👷horas'!$E:$E,B131,'👷horas'!$F:$F,F131,'👷horas'!$G:$G,G131)</f>
        <v>0</v>
      </c>
      <c r="L131" s="64">
        <f t="shared" si="2"/>
        <v>0.6067961165</v>
      </c>
      <c r="M131" s="65">
        <f t="shared" si="3"/>
        <v>0</v>
      </c>
      <c r="N131" s="50">
        <f t="shared" si="4"/>
        <v>-0.01132686084</v>
      </c>
      <c r="O131" s="66">
        <f t="shared" si="5"/>
        <v>1</v>
      </c>
      <c r="P131" s="69" t="s">
        <v>193</v>
      </c>
      <c r="Q131" s="67" t="str">
        <f t="shared" si="6"/>
        <v>Terminado</v>
      </c>
      <c r="R131" s="67" t="str">
        <f>IFERROR(__xludf.DUMMYFUNCTION("SPARKLINE(O131,{""charttype"",""bar"";""max"",1;""color1"",IF(P131=""Terminado"",""#4CAF50"",IF(O131&gt;=0.5,""#FFA500"",""#F44336""))})"),"")</f>
        <v/>
      </c>
      <c r="S131" s="40"/>
      <c r="T131" s="40"/>
      <c r="U131" s="40"/>
      <c r="V131" s="40"/>
      <c r="W131" s="40"/>
      <c r="X131" s="40"/>
      <c r="Y131" s="40"/>
      <c r="Z131" s="40"/>
      <c r="AA131" s="40"/>
    </row>
    <row r="132" ht="22.5" customHeight="1">
      <c r="A132" s="59" t="s">
        <v>100</v>
      </c>
      <c r="B132" s="60" t="s">
        <v>19</v>
      </c>
      <c r="C132" s="41" t="s">
        <v>67</v>
      </c>
      <c r="D132" s="61">
        <v>8.24</v>
      </c>
      <c r="E132" s="62">
        <v>46115.0</v>
      </c>
      <c r="F132" s="68" t="str">
        <f>IFERROR(__xludf.DUMMYFUNCTION("""COMPUTED_VALUE"""),"Pintura")</f>
        <v>Pintura</v>
      </c>
      <c r="G132" s="68" t="str">
        <f>IFERROR(__xludf.DUMMYFUNCTION("""COMPUTED_VALUE"""),"Imprimación/Pintura")</f>
        <v>Imprimación/Pintura</v>
      </c>
      <c r="H132" s="63">
        <f>IFERROR(__xludf.DUMMYFUNCTION("(IFERROR(FILTER(BBDD!$J:$J,BBDD!$G:$G=C132,BBDD!$H:$H=F132,BBDD!$I:$I=G132),""NO TIENE PROCESO""))*D132"),3.2960000000000003)</f>
        <v>3.296</v>
      </c>
      <c r="I132" s="46">
        <f t="shared" si="1"/>
        <v>3.49</v>
      </c>
      <c r="J132" s="46">
        <f>SUMIFS('👷horas'!$J:$J,'👷horas'!$D:$D,A132,'👷horas'!$E:$E,B132,'👷horas'!$F:$F,F132,'👷horas'!$G:$G,G132)</f>
        <v>3.49</v>
      </c>
      <c r="K132" s="47">
        <f>SUMIFS('👷horas'!$K:$K,'👷horas'!$D:$D,A132,'👷horas'!$E:$E,B132,'👷horas'!$F:$F,F132,'👷horas'!$G:$G,G132)</f>
        <v>0</v>
      </c>
      <c r="L132" s="64">
        <f t="shared" si="2"/>
        <v>0.4235436893</v>
      </c>
      <c r="M132" s="65">
        <f t="shared" si="3"/>
        <v>0</v>
      </c>
      <c r="N132" s="50">
        <f t="shared" si="4"/>
        <v>-0.0588592233</v>
      </c>
      <c r="O132" s="66">
        <f t="shared" si="5"/>
        <v>1</v>
      </c>
      <c r="P132" s="69" t="s">
        <v>193</v>
      </c>
      <c r="Q132" s="67" t="str">
        <f t="shared" si="6"/>
        <v>Terminado</v>
      </c>
      <c r="R132" s="67" t="str">
        <f>IFERROR(__xludf.DUMMYFUNCTION("SPARKLINE(O132,{""charttype"",""bar"";""max"",1;""color1"",IF(P132=""Terminado"",""#4CAF50"",IF(O132&gt;=0.5,""#FFA500"",""#F44336""))})"),"")</f>
        <v/>
      </c>
      <c r="S132" s="40"/>
      <c r="T132" s="40"/>
      <c r="U132" s="40"/>
      <c r="V132" s="40"/>
      <c r="W132" s="40"/>
      <c r="X132" s="40"/>
      <c r="Y132" s="40"/>
      <c r="Z132" s="40"/>
      <c r="AA132" s="40"/>
    </row>
    <row r="133" ht="22.5" customHeight="1">
      <c r="A133" s="59" t="s">
        <v>100</v>
      </c>
      <c r="B133" s="60" t="s">
        <v>28</v>
      </c>
      <c r="C133" s="41" t="s">
        <v>67</v>
      </c>
      <c r="D133" s="61">
        <v>20.16</v>
      </c>
      <c r="E133" s="62">
        <v>46115.0</v>
      </c>
      <c r="F133" s="68" t="str">
        <f>IFERROR(__xludf.DUMMYFUNCTION("FILTER(BBDD!H:H,BBDD!G:G=C133)"),"CNC")</f>
        <v>CNC</v>
      </c>
      <c r="G133" s="68" t="str">
        <f>IFERROR(__xludf.DUMMYFUNCTION("FILTER(BBDD!I:I,BBDD!G:G=C133)"),"CNC")</f>
        <v>CNC</v>
      </c>
      <c r="H133" s="63">
        <f>IFERROR(__xludf.DUMMYFUNCTION("(IFERROR(FILTER(BBDD!$J:$J,BBDD!$G:$G=C133,BBDD!$H:$H=F133,BBDD!$I:$I=G133),""NO TIENE PROCESO""))*D133"),4.032)</f>
        <v>4.032</v>
      </c>
      <c r="I133" s="46">
        <f t="shared" si="1"/>
        <v>1.3281</v>
      </c>
      <c r="J133" s="46">
        <f>SUMIFS('👷horas'!$J:$J,'👷horas'!$D:$D,A133,'👷horas'!$E:$E,B133,'👷horas'!$F:$F,F133,'👷horas'!$G:$G,G133)</f>
        <v>1.3281</v>
      </c>
      <c r="K133" s="47">
        <f>SUMIFS('👷horas'!$K:$K,'👷horas'!$D:$D,A133,'👷horas'!$E:$E,B133,'👷horas'!$F:$F,F133,'👷horas'!$G:$G,G133)</f>
        <v>0</v>
      </c>
      <c r="L133" s="64">
        <f t="shared" si="2"/>
        <v>0.06587797619</v>
      </c>
      <c r="M133" s="65">
        <f t="shared" si="3"/>
        <v>0</v>
      </c>
      <c r="N133" s="50">
        <f t="shared" si="4"/>
        <v>0.670610119</v>
      </c>
      <c r="O133" s="66">
        <f t="shared" si="5"/>
        <v>1</v>
      </c>
      <c r="P133" s="51" t="s">
        <v>193</v>
      </c>
      <c r="Q133" s="67" t="str">
        <f t="shared" si="6"/>
        <v>Terminado</v>
      </c>
      <c r="R133" s="67" t="str">
        <f>IFERROR(__xludf.DUMMYFUNCTION("SPARKLINE(O133,{""charttype"",""bar"";""max"",1;""color1"",IF(P133=""Terminado"",""#4CAF50"",IF(O133&gt;=0.5,""#FFA500"",""#F44336""))})"),"")</f>
        <v/>
      </c>
      <c r="S133" s="40"/>
      <c r="T133" s="40"/>
      <c r="U133" s="40"/>
      <c r="V133" s="40"/>
      <c r="W133" s="40"/>
      <c r="X133" s="40"/>
      <c r="Y133" s="40"/>
      <c r="Z133" s="40"/>
      <c r="AA133" s="40"/>
    </row>
    <row r="134" ht="22.5" customHeight="1">
      <c r="A134" s="59" t="s">
        <v>100</v>
      </c>
      <c r="B134" s="60" t="s">
        <v>28</v>
      </c>
      <c r="C134" s="41" t="s">
        <v>67</v>
      </c>
      <c r="D134" s="61">
        <v>20.16</v>
      </c>
      <c r="E134" s="62">
        <v>46115.0</v>
      </c>
      <c r="F134" s="68" t="str">
        <f>IFERROR(__xludf.DUMMYFUNCTION("""COMPUTED_VALUE"""),"Fabricación")</f>
        <v>Fabricación</v>
      </c>
      <c r="G134" s="68" t="str">
        <f>IFERROR(__xludf.DUMMYFUNCTION("""COMPUTED_VALUE"""),"Ensamblaje")</f>
        <v>Ensamblaje</v>
      </c>
      <c r="H134" s="63">
        <f>IFERROR(__xludf.DUMMYFUNCTION("(IFERROR(FILTER(BBDD!$J:$J,BBDD!$G:$G=C134,BBDD!$H:$H=F134,BBDD!$I:$I=G134),""NO TIENE PROCESO""))*D134"),15.926400000000001)</f>
        <v>15.9264</v>
      </c>
      <c r="I134" s="46">
        <f t="shared" si="1"/>
        <v>11.5</v>
      </c>
      <c r="J134" s="46">
        <f>SUMIFS('👷horas'!$J:$J,'👷horas'!$D:$D,A134,'👷horas'!$E:$E,B134,'👷horas'!$F:$F,F134,'👷horas'!$G:$G,G134)</f>
        <v>6.5</v>
      </c>
      <c r="K134" s="47">
        <f>SUMIFS('👷horas'!$K:$K,'👷horas'!$D:$D,A134,'👷horas'!$E:$E,B134,'👷horas'!$F:$F,F134,'👷horas'!$G:$G,G134)</f>
        <v>5</v>
      </c>
      <c r="L134" s="64">
        <f t="shared" si="2"/>
        <v>0.5704365079</v>
      </c>
      <c r="M134" s="65">
        <f t="shared" si="3"/>
        <v>0</v>
      </c>
      <c r="N134" s="50">
        <f t="shared" si="4"/>
        <v>0.277928471</v>
      </c>
      <c r="O134" s="66">
        <f t="shared" si="5"/>
        <v>1</v>
      </c>
      <c r="P134" s="69" t="s">
        <v>193</v>
      </c>
      <c r="Q134" s="67" t="str">
        <f t="shared" si="6"/>
        <v>Terminado</v>
      </c>
      <c r="R134" s="67" t="str">
        <f>IFERROR(__xludf.DUMMYFUNCTION("SPARKLINE(O134,{""charttype"",""bar"";""max"",1;""color1"",IF(P134=""Terminado"",""#4CAF50"",IF(O134&gt;=0.5,""#FFA500"",""#F44336""))})"),"")</f>
        <v/>
      </c>
      <c r="S134" s="40"/>
      <c r="T134" s="40"/>
      <c r="U134" s="40"/>
      <c r="V134" s="40"/>
      <c r="W134" s="40"/>
      <c r="X134" s="40"/>
      <c r="Y134" s="40"/>
      <c r="Z134" s="40"/>
      <c r="AA134" s="40"/>
    </row>
    <row r="135" ht="22.5" customHeight="1">
      <c r="A135" s="59" t="s">
        <v>100</v>
      </c>
      <c r="B135" s="60" t="s">
        <v>28</v>
      </c>
      <c r="C135" s="41" t="s">
        <v>67</v>
      </c>
      <c r="D135" s="61">
        <v>20.16</v>
      </c>
      <c r="E135" s="62">
        <v>46115.0</v>
      </c>
      <c r="F135" s="68" t="str">
        <f>IFERROR(__xludf.DUMMYFUNCTION("""COMPUTED_VALUE"""),"Fabricación")</f>
        <v>Fabricación</v>
      </c>
      <c r="G135" s="68" t="str">
        <f>IFERROR(__xludf.DUMMYFUNCTION("""COMPUTED_VALUE"""),"Colocación de perfiles")</f>
        <v>Colocación de perfiles</v>
      </c>
      <c r="H135" s="63">
        <f>IFERROR(__xludf.DUMMYFUNCTION("(IFERROR(FILTER(BBDD!$J:$J,BBDD!$G:$G=C135,BBDD!$H:$H=F135,BBDD!$I:$I=G135),""NO TIENE PROCESO""))*D135"),4.032)</f>
        <v>4.032</v>
      </c>
      <c r="I135" s="46">
        <f t="shared" si="1"/>
        <v>7.5</v>
      </c>
      <c r="J135" s="46">
        <f>SUMIFS('👷horas'!$J:$J,'👷horas'!$D:$D,A135,'👷horas'!$E:$E,B135,'👷horas'!$F:$F,F135,'👷horas'!$G:$G,G135)</f>
        <v>7.5</v>
      </c>
      <c r="K135" s="47">
        <f>SUMIFS('👷horas'!$K:$K,'👷horas'!$D:$D,A135,'👷horas'!$E:$E,B135,'👷horas'!$F:$F,F135,'👷horas'!$G:$G,G135)</f>
        <v>0</v>
      </c>
      <c r="L135" s="64">
        <f t="shared" si="2"/>
        <v>0.3720238095</v>
      </c>
      <c r="M135" s="65">
        <f t="shared" si="3"/>
        <v>0</v>
      </c>
      <c r="N135" s="50">
        <f t="shared" si="4"/>
        <v>-0.8601190476</v>
      </c>
      <c r="O135" s="66">
        <f t="shared" si="5"/>
        <v>1</v>
      </c>
      <c r="P135" s="69" t="s">
        <v>193</v>
      </c>
      <c r="Q135" s="67" t="str">
        <f t="shared" si="6"/>
        <v>Terminado</v>
      </c>
      <c r="R135" s="67" t="str">
        <f>IFERROR(__xludf.DUMMYFUNCTION("SPARKLINE(O135,{""charttype"",""bar"";""max"",1;""color1"",IF(P135=""Terminado"",""#4CAF50"",IF(O135&gt;=0.5,""#FFA500"",""#F44336""))})"),"")</f>
        <v/>
      </c>
      <c r="S135" s="40"/>
      <c r="T135" s="40"/>
      <c r="U135" s="40"/>
      <c r="V135" s="40"/>
      <c r="W135" s="40"/>
      <c r="X135" s="40"/>
      <c r="Y135" s="40"/>
      <c r="Z135" s="40"/>
      <c r="AA135" s="40"/>
    </row>
    <row r="136" ht="22.5" customHeight="1">
      <c r="A136" s="74" t="s">
        <v>100</v>
      </c>
      <c r="B136" s="75" t="s">
        <v>28</v>
      </c>
      <c r="C136" s="41" t="s">
        <v>67</v>
      </c>
      <c r="D136" s="61">
        <v>20.16</v>
      </c>
      <c r="E136" s="62">
        <v>46115.0</v>
      </c>
      <c r="F136" s="68" t="str">
        <f>IFERROR(__xludf.DUMMYFUNCTION("""COMPUTED_VALUE"""),"Fabricación")</f>
        <v>Fabricación</v>
      </c>
      <c r="G136" s="68" t="str">
        <f>IFERROR(__xludf.DUMMYFUNCTION("""COMPUTED_VALUE"""),"Embalaje/carga/descarga material")</f>
        <v>Embalaje/carga/descarga material</v>
      </c>
      <c r="H136" s="63">
        <f>IFERROR(__xludf.DUMMYFUNCTION("(IFERROR(FILTER(BBDD!$J:$J,BBDD!$G:$G=C136,BBDD!$H:$H=F136,BBDD!$I:$I=G136),""NO TIENE PROCESO""))*D136"),3.024)</f>
        <v>3.024</v>
      </c>
      <c r="I136" s="46">
        <f t="shared" si="1"/>
        <v>3</v>
      </c>
      <c r="J136" s="46">
        <f>SUMIFS('👷horas'!$J:$J,'👷horas'!$D:$D,A136,'👷horas'!$E:$E,B136,'👷horas'!$F:$F,F136,'👷horas'!$G:$G,G136)</f>
        <v>3</v>
      </c>
      <c r="K136" s="47">
        <f>SUMIFS('👷horas'!$K:$K,'👷horas'!$D:$D,A136,'👷horas'!$E:$E,B136,'👷horas'!$F:$F,F136,'👷horas'!$G:$G,G136)</f>
        <v>0</v>
      </c>
      <c r="L136" s="64">
        <f t="shared" si="2"/>
        <v>0.1488095238</v>
      </c>
      <c r="M136" s="65">
        <f t="shared" si="3"/>
        <v>0</v>
      </c>
      <c r="N136" s="50">
        <f t="shared" si="4"/>
        <v>0.007936507937</v>
      </c>
      <c r="O136" s="66">
        <f t="shared" si="5"/>
        <v>1</v>
      </c>
      <c r="P136" s="76" t="s">
        <v>193</v>
      </c>
      <c r="Q136" s="67" t="str">
        <f t="shared" si="6"/>
        <v>Terminado</v>
      </c>
      <c r="R136" s="67" t="str">
        <f>IFERROR(__xludf.DUMMYFUNCTION("SPARKLINE(O136,{""charttype"",""bar"";""max"",1;""color1"",IF(P136=""Terminado"",""#4CAF50"",IF(O136&gt;=0.5,""#FFA500"",""#F44336""))})"),"")</f>
        <v/>
      </c>
      <c r="S136" s="40"/>
      <c r="T136" s="40"/>
      <c r="U136" s="40"/>
      <c r="V136" s="40"/>
      <c r="W136" s="40"/>
      <c r="X136" s="40"/>
      <c r="Y136" s="40"/>
      <c r="Z136" s="40"/>
      <c r="AA136" s="40"/>
    </row>
    <row r="137" ht="22.5" customHeight="1">
      <c r="A137" s="74" t="s">
        <v>100</v>
      </c>
      <c r="B137" s="75" t="s">
        <v>28</v>
      </c>
      <c r="C137" s="41" t="s">
        <v>67</v>
      </c>
      <c r="D137" s="61">
        <v>20.16</v>
      </c>
      <c r="E137" s="62">
        <v>46115.0</v>
      </c>
      <c r="F137" s="55" t="str">
        <f>IFERROR(__xludf.DUMMYFUNCTION("""COMPUTED_VALUE"""),"Pintura")</f>
        <v>Pintura</v>
      </c>
      <c r="G137" s="55" t="str">
        <f>IFERROR(__xludf.DUMMYFUNCTION("""COMPUTED_VALUE"""),"Lijado y/o Masillado")</f>
        <v>Lijado y/o Masillado</v>
      </c>
      <c r="H137" s="63">
        <f>IFERROR(__xludf.DUMMYFUNCTION("(IFERROR(FILTER(BBDD!$J:$J,BBDD!$G:$G=C137,BBDD!$H:$H=F137,BBDD!$I:$I=G137),""NO TIENE PROCESO""))*D137"),12.096)</f>
        <v>12.096</v>
      </c>
      <c r="I137" s="46">
        <f t="shared" si="1"/>
        <v>9.5</v>
      </c>
      <c r="J137" s="46">
        <f>SUMIFS('👷horas'!$J:$J,'👷horas'!$D:$D,A137,'👷horas'!$E:$E,B137,'👷horas'!$F:$F,F137,'👷horas'!$G:$G,G137)</f>
        <v>9.5</v>
      </c>
      <c r="K137" s="47">
        <f>SUMIFS('👷horas'!$K:$K,'👷horas'!$D:$D,A137,'👷horas'!$E:$E,B137,'👷horas'!$F:$F,F137,'👷horas'!$G:$G,G137)</f>
        <v>0</v>
      </c>
      <c r="L137" s="64">
        <f t="shared" si="2"/>
        <v>0.4712301587</v>
      </c>
      <c r="M137" s="65">
        <f t="shared" si="3"/>
        <v>0</v>
      </c>
      <c r="N137" s="50">
        <f t="shared" si="4"/>
        <v>0.2146164021</v>
      </c>
      <c r="O137" s="66">
        <f t="shared" si="5"/>
        <v>1</v>
      </c>
      <c r="P137" s="76" t="s">
        <v>193</v>
      </c>
      <c r="Q137" s="67" t="str">
        <f t="shared" si="6"/>
        <v>Terminado</v>
      </c>
      <c r="R137" s="67" t="str">
        <f>IFERROR(__xludf.DUMMYFUNCTION("SPARKLINE(O137,{""charttype"",""bar"";""max"",1;""color1"",IF(P137=""Terminado"",""#4CAF50"",IF(O137&gt;=0.5,""#FFA500"",""#F44336""))})"),"")</f>
        <v/>
      </c>
      <c r="S137" s="40"/>
      <c r="T137" s="40"/>
      <c r="U137" s="40"/>
      <c r="V137" s="40"/>
      <c r="W137" s="40"/>
      <c r="X137" s="40"/>
      <c r="Y137" s="40"/>
      <c r="Z137" s="40"/>
      <c r="AA137" s="40"/>
    </row>
    <row r="138" ht="22.5" customHeight="1">
      <c r="A138" s="74" t="s">
        <v>100</v>
      </c>
      <c r="B138" s="75" t="s">
        <v>28</v>
      </c>
      <c r="C138" s="41" t="s">
        <v>67</v>
      </c>
      <c r="D138" s="61">
        <v>20.16</v>
      </c>
      <c r="E138" s="62">
        <v>46115.0</v>
      </c>
      <c r="F138" s="68" t="str">
        <f>IFERROR(__xludf.DUMMYFUNCTION("""COMPUTED_VALUE"""),"Pintura")</f>
        <v>Pintura</v>
      </c>
      <c r="G138" s="68" t="str">
        <f>IFERROR(__xludf.DUMMYFUNCTION("""COMPUTED_VALUE"""),"Imprimación/Pintura")</f>
        <v>Imprimación/Pintura</v>
      </c>
      <c r="H138" s="63">
        <f>IFERROR(__xludf.DUMMYFUNCTION("(IFERROR(FILTER(BBDD!$J:$J,BBDD!$G:$G=C138,BBDD!$H:$H=F138,BBDD!$I:$I=G138),""NO TIENE PROCESO""))*D138"),8.064)</f>
        <v>8.064</v>
      </c>
      <c r="I138" s="46">
        <f t="shared" si="1"/>
        <v>3</v>
      </c>
      <c r="J138" s="46">
        <f>SUMIFS('👷horas'!$J:$J,'👷horas'!$D:$D,A138,'👷horas'!$E:$E,B138,'👷horas'!$F:$F,F138,'👷horas'!$G:$G,G138)</f>
        <v>3</v>
      </c>
      <c r="K138" s="47">
        <f>SUMIFS('👷horas'!$K:$K,'👷horas'!$D:$D,A138,'👷horas'!$E:$E,B138,'👷horas'!$F:$F,F138,'👷horas'!$G:$G,G138)</f>
        <v>0</v>
      </c>
      <c r="L138" s="64">
        <f t="shared" si="2"/>
        <v>0.1488095238</v>
      </c>
      <c r="M138" s="65">
        <f t="shared" si="3"/>
        <v>0</v>
      </c>
      <c r="N138" s="50">
        <f t="shared" si="4"/>
        <v>0.6279761905</v>
      </c>
      <c r="O138" s="66">
        <f t="shared" si="5"/>
        <v>1</v>
      </c>
      <c r="P138" s="76" t="s">
        <v>193</v>
      </c>
      <c r="Q138" s="67" t="str">
        <f t="shared" si="6"/>
        <v>Terminado</v>
      </c>
      <c r="R138" s="67" t="str">
        <f>IFERROR(__xludf.DUMMYFUNCTION("SPARKLINE(O138,{""charttype"",""bar"";""max"",1;""color1"",IF(P138=""Terminado"",""#4CAF50"",IF(O138&gt;=0.5,""#FFA500"",""#F44336""))})"),"")</f>
        <v/>
      </c>
      <c r="S138" s="40"/>
      <c r="T138" s="40"/>
      <c r="U138" s="40"/>
      <c r="V138" s="40"/>
      <c r="W138" s="40"/>
      <c r="X138" s="40"/>
      <c r="Y138" s="40"/>
      <c r="Z138" s="40"/>
      <c r="AA138" s="40"/>
    </row>
    <row r="139" ht="22.5" customHeight="1">
      <c r="A139" s="74" t="s">
        <v>112</v>
      </c>
      <c r="B139" s="75" t="s">
        <v>56</v>
      </c>
      <c r="C139" s="75" t="s">
        <v>176</v>
      </c>
      <c r="D139" s="61">
        <v>0.6</v>
      </c>
      <c r="E139" s="62">
        <v>46119.0</v>
      </c>
      <c r="F139" s="68" t="s">
        <v>13</v>
      </c>
      <c r="G139" s="68" t="s">
        <v>13</v>
      </c>
      <c r="H139" s="63">
        <f>(3.5/8.22)*D139</f>
        <v>0.2554744526</v>
      </c>
      <c r="I139" s="46">
        <f t="shared" si="1"/>
        <v>0</v>
      </c>
      <c r="J139" s="46">
        <f>SUMIFS('👷horas'!$J:$J,'👷horas'!$D:$D,A139,'👷horas'!$E:$E,B139,'👷horas'!$F:$F,F139,'👷horas'!$G:$G,G139)</f>
        <v>0</v>
      </c>
      <c r="K139" s="47">
        <f>SUMIFS('👷horas'!$K:$K,'👷horas'!$D:$D,A139,'👷horas'!$E:$E,B139,'👷horas'!$F:$F,F139,'👷horas'!$G:$G,G139)</f>
        <v>0</v>
      </c>
      <c r="L139" s="64">
        <f t="shared" si="2"/>
        <v>0</v>
      </c>
      <c r="M139" s="65">
        <f t="shared" si="3"/>
        <v>0</v>
      </c>
      <c r="N139" s="50">
        <f t="shared" si="4"/>
        <v>1</v>
      </c>
      <c r="O139" s="66">
        <f t="shared" si="5"/>
        <v>1</v>
      </c>
      <c r="P139" s="76" t="s">
        <v>193</v>
      </c>
      <c r="Q139" s="67" t="str">
        <f t="shared" si="6"/>
        <v>Terminado</v>
      </c>
      <c r="R139" s="67" t="str">
        <f>IFERROR(__xludf.DUMMYFUNCTION("SPARKLINE(O139,{""charttype"",""bar"";""max"",1;""color1"",IF(P139=""Terminado"",""#4CAF50"",IF(O139&gt;=0.5,""#FFA500"",""#F44336""))})"),"")</f>
        <v/>
      </c>
      <c r="S139" s="40"/>
      <c r="T139" s="40"/>
      <c r="U139" s="40"/>
      <c r="V139" s="40"/>
      <c r="W139" s="40"/>
      <c r="X139" s="40"/>
      <c r="Y139" s="40"/>
      <c r="Z139" s="40"/>
      <c r="AA139" s="40"/>
    </row>
    <row r="140" ht="22.5" customHeight="1">
      <c r="A140" s="74" t="s">
        <v>112</v>
      </c>
      <c r="B140" s="75" t="s">
        <v>56</v>
      </c>
      <c r="C140" s="75" t="s">
        <v>176</v>
      </c>
      <c r="D140" s="61">
        <v>0.6</v>
      </c>
      <c r="E140" s="62">
        <v>46119.0</v>
      </c>
      <c r="F140" s="68" t="s">
        <v>20</v>
      </c>
      <c r="G140" s="68" t="s">
        <v>22</v>
      </c>
      <c r="H140" s="63">
        <f>(18/8.22)*D140</f>
        <v>1.313868613</v>
      </c>
      <c r="I140" s="46">
        <f t="shared" si="1"/>
        <v>4</v>
      </c>
      <c r="J140" s="46">
        <f>SUMIFS('👷horas'!$J:$J,'👷horas'!$D:$D,A140,'👷horas'!$E:$E,B140,'👷horas'!$F:$F,F140,'👷horas'!$G:$G,G140)</f>
        <v>4</v>
      </c>
      <c r="K140" s="47">
        <f>SUMIFS('👷horas'!$K:$K,'👷horas'!$D:$D,A140,'👷horas'!$E:$E,B140,'👷horas'!$F:$F,F140,'👷horas'!$G:$G,G140)</f>
        <v>0</v>
      </c>
      <c r="L140" s="64">
        <f t="shared" si="2"/>
        <v>6.666666667</v>
      </c>
      <c r="M140" s="65">
        <f t="shared" si="3"/>
        <v>0</v>
      </c>
      <c r="N140" s="50">
        <f t="shared" si="4"/>
        <v>-2.044444444</v>
      </c>
      <c r="O140" s="66">
        <f t="shared" si="5"/>
        <v>1</v>
      </c>
      <c r="P140" s="76" t="s">
        <v>193</v>
      </c>
      <c r="Q140" s="67" t="str">
        <f t="shared" si="6"/>
        <v>Terminado</v>
      </c>
      <c r="R140" s="67" t="str">
        <f>IFERROR(__xludf.DUMMYFUNCTION("SPARKLINE(O140,{""charttype"",""bar"";""max"",1;""color1"",IF(P140=""Terminado"",""#4CAF50"",IF(O140&gt;=0.5,""#FFA500"",""#F44336""))})"),"")</f>
        <v/>
      </c>
      <c r="S140" s="40"/>
      <c r="T140" s="40"/>
      <c r="U140" s="40"/>
      <c r="V140" s="40"/>
      <c r="W140" s="40"/>
      <c r="X140" s="40"/>
      <c r="Y140" s="40"/>
      <c r="Z140" s="40"/>
      <c r="AA140" s="40"/>
    </row>
    <row r="141" ht="22.5" customHeight="1">
      <c r="A141" s="74" t="s">
        <v>112</v>
      </c>
      <c r="B141" s="75" t="s">
        <v>56</v>
      </c>
      <c r="C141" s="75" t="s">
        <v>176</v>
      </c>
      <c r="D141" s="61">
        <v>0.6</v>
      </c>
      <c r="E141" s="62">
        <v>46119.0</v>
      </c>
      <c r="F141" s="68" t="s">
        <v>20</v>
      </c>
      <c r="G141" s="68" t="s">
        <v>30</v>
      </c>
      <c r="H141" s="63">
        <f>(2/8.22)*D141</f>
        <v>0.1459854015</v>
      </c>
      <c r="I141" s="46">
        <f t="shared" si="1"/>
        <v>0.5</v>
      </c>
      <c r="J141" s="46">
        <f>SUMIFS('👷horas'!$J:$J,'👷horas'!$D:$D,A141,'👷horas'!$E:$E,B141,'👷horas'!$F:$F,F141,'👷horas'!$G:$G,G141)</f>
        <v>0.5</v>
      </c>
      <c r="K141" s="47">
        <f>SUMIFS('👷horas'!$K:$K,'👷horas'!$D:$D,A141,'👷horas'!$E:$E,B141,'👷horas'!$F:$F,F141,'👷horas'!$G:$G,G141)</f>
        <v>0</v>
      </c>
      <c r="L141" s="64">
        <f t="shared" si="2"/>
        <v>0.8333333333</v>
      </c>
      <c r="M141" s="65">
        <f t="shared" si="3"/>
        <v>0</v>
      </c>
      <c r="N141" s="50">
        <f t="shared" si="4"/>
        <v>-2.425</v>
      </c>
      <c r="O141" s="66">
        <f t="shared" si="5"/>
        <v>1</v>
      </c>
      <c r="P141" s="76" t="s">
        <v>193</v>
      </c>
      <c r="Q141" s="67" t="str">
        <f t="shared" si="6"/>
        <v>Terminado</v>
      </c>
      <c r="R141" s="67" t="str">
        <f>IFERROR(__xludf.DUMMYFUNCTION("SPARKLINE(O141,{""charttype"",""bar"";""max"",1;""color1"",IF(P141=""Terminado"",""#4CAF50"",IF(O141&gt;=0.5,""#FFA500"",""#F44336""))})"),"")</f>
        <v/>
      </c>
      <c r="S141" s="40"/>
      <c r="T141" s="40"/>
      <c r="U141" s="40"/>
      <c r="V141" s="40"/>
      <c r="W141" s="40"/>
      <c r="X141" s="40"/>
      <c r="Y141" s="40"/>
      <c r="Z141" s="40"/>
      <c r="AA141" s="40"/>
    </row>
    <row r="142" ht="22.5" customHeight="1">
      <c r="A142" s="74" t="s">
        <v>112</v>
      </c>
      <c r="B142" s="75" t="s">
        <v>56</v>
      </c>
      <c r="C142" s="75" t="s">
        <v>176</v>
      </c>
      <c r="D142" s="61">
        <v>0.6</v>
      </c>
      <c r="E142" s="62">
        <v>46119.0</v>
      </c>
      <c r="F142" s="68" t="s">
        <v>20</v>
      </c>
      <c r="G142" s="70" t="s">
        <v>35</v>
      </c>
      <c r="H142" s="63">
        <f>(1/8.22)*D142</f>
        <v>0.07299270073</v>
      </c>
      <c r="I142" s="46">
        <f t="shared" si="1"/>
        <v>0</v>
      </c>
      <c r="J142" s="46">
        <f>SUMIFS('👷horas'!$J:$J,'👷horas'!$D:$D,A142,'👷horas'!$E:$E,B142,'👷horas'!$F:$F,F142,'👷horas'!$G:$G,G142)</f>
        <v>0</v>
      </c>
      <c r="K142" s="47">
        <f>SUMIFS('👷horas'!$K:$K,'👷horas'!$D:$D,A142,'👷horas'!$E:$E,B142,'👷horas'!$F:$F,F142,'👷horas'!$G:$G,G142)</f>
        <v>0</v>
      </c>
      <c r="L142" s="64">
        <f t="shared" si="2"/>
        <v>0</v>
      </c>
      <c r="M142" s="65">
        <f t="shared" si="3"/>
        <v>0</v>
      </c>
      <c r="N142" s="50">
        <f t="shared" si="4"/>
        <v>1</v>
      </c>
      <c r="O142" s="66">
        <f t="shared" si="5"/>
        <v>1</v>
      </c>
      <c r="P142" s="76" t="s">
        <v>193</v>
      </c>
      <c r="Q142" s="67" t="str">
        <f t="shared" si="6"/>
        <v>Terminado</v>
      </c>
      <c r="R142" s="67" t="str">
        <f>IFERROR(__xludf.DUMMYFUNCTION("SPARKLINE(O142,{""charttype"",""bar"";""max"",1;""color1"",IF(P142=""Terminado"",""#4CAF50"",IF(O142&gt;=0.5,""#FFA500"",""#F44336""))})"),"")</f>
        <v/>
      </c>
      <c r="S142" s="40"/>
      <c r="T142" s="40"/>
      <c r="U142" s="40"/>
      <c r="V142" s="40"/>
      <c r="W142" s="40"/>
      <c r="X142" s="40"/>
      <c r="Y142" s="40"/>
      <c r="Z142" s="40"/>
      <c r="AA142" s="40"/>
    </row>
    <row r="143" ht="22.5" customHeight="1">
      <c r="A143" s="74" t="s">
        <v>112</v>
      </c>
      <c r="B143" s="75" t="s">
        <v>56</v>
      </c>
      <c r="C143" s="75" t="s">
        <v>176</v>
      </c>
      <c r="D143" s="61">
        <v>0.6</v>
      </c>
      <c r="E143" s="62">
        <v>46119.0</v>
      </c>
      <c r="F143" s="68" t="s">
        <v>24</v>
      </c>
      <c r="G143" s="68" t="s">
        <v>25</v>
      </c>
      <c r="H143" s="63">
        <f>(0.1+0.11)*D143</f>
        <v>0.126</v>
      </c>
      <c r="I143" s="46">
        <f t="shared" si="1"/>
        <v>6</v>
      </c>
      <c r="J143" s="46">
        <f>SUMIFS('👷horas'!$J:$J,'👷horas'!$D:$D,A143,'👷horas'!$E:$E,B143,'👷horas'!$F:$F,F143,'👷horas'!$G:$G,G143)</f>
        <v>6</v>
      </c>
      <c r="K143" s="47">
        <f>SUMIFS('👷horas'!$K:$K,'👷horas'!$D:$D,A143,'👷horas'!$E:$E,B143,'👷horas'!$F:$F,F143,'👷horas'!$G:$G,G143)</f>
        <v>0</v>
      </c>
      <c r="L143" s="64">
        <f t="shared" si="2"/>
        <v>10</v>
      </c>
      <c r="M143" s="65">
        <f t="shared" si="3"/>
        <v>0</v>
      </c>
      <c r="N143" s="50">
        <f t="shared" si="4"/>
        <v>-46.61904762</v>
      </c>
      <c r="O143" s="66">
        <f t="shared" si="5"/>
        <v>1</v>
      </c>
      <c r="P143" s="76" t="s">
        <v>193</v>
      </c>
      <c r="Q143" s="67" t="str">
        <f t="shared" si="6"/>
        <v>Terminado</v>
      </c>
      <c r="R143" s="67" t="str">
        <f>IFERROR(__xludf.DUMMYFUNCTION("SPARKLINE(O143,{""charttype"",""bar"";""max"",1;""color1"",IF(P143=""Terminado"",""#4CAF50"",IF(O143&gt;=0.5,""#FFA500"",""#F44336""))})"),"")</f>
        <v/>
      </c>
      <c r="S143" s="40"/>
      <c r="T143" s="40"/>
      <c r="U143" s="40"/>
      <c r="V143" s="40"/>
      <c r="W143" s="40"/>
      <c r="X143" s="40"/>
      <c r="Y143" s="40"/>
      <c r="Z143" s="40"/>
      <c r="AA143" s="40"/>
    </row>
    <row r="144" ht="22.5" customHeight="1">
      <c r="A144" s="74" t="s">
        <v>112</v>
      </c>
      <c r="B144" s="75" t="s">
        <v>56</v>
      </c>
      <c r="C144" s="75" t="s">
        <v>176</v>
      </c>
      <c r="D144" s="61">
        <v>0.6</v>
      </c>
      <c r="E144" s="62">
        <v>46119.0</v>
      </c>
      <c r="F144" s="68" t="s">
        <v>24</v>
      </c>
      <c r="G144" s="68" t="s">
        <v>31</v>
      </c>
      <c r="H144" s="63">
        <f>(0.19+0.1+0.18)*D144</f>
        <v>0.282</v>
      </c>
      <c r="I144" s="46">
        <f t="shared" si="1"/>
        <v>5</v>
      </c>
      <c r="J144" s="46">
        <f>SUMIFS('👷horas'!$J:$J,'👷horas'!$D:$D,A144,'👷horas'!$E:$E,B144,'👷horas'!$F:$F,F144,'👷horas'!$G:$G,G144)</f>
        <v>5</v>
      </c>
      <c r="K144" s="47">
        <f>SUMIFS('👷horas'!$K:$K,'👷horas'!$D:$D,A144,'👷horas'!$E:$E,B144,'👷horas'!$F:$F,F144,'👷horas'!$G:$G,G144)</f>
        <v>0</v>
      </c>
      <c r="L144" s="64">
        <f t="shared" si="2"/>
        <v>8.333333333</v>
      </c>
      <c r="M144" s="65">
        <f t="shared" si="3"/>
        <v>0</v>
      </c>
      <c r="N144" s="50">
        <f t="shared" si="4"/>
        <v>-16.73049645</v>
      </c>
      <c r="O144" s="66">
        <f t="shared" si="5"/>
        <v>1</v>
      </c>
      <c r="P144" s="76" t="s">
        <v>193</v>
      </c>
      <c r="Q144" s="67" t="str">
        <f t="shared" si="6"/>
        <v>Terminado</v>
      </c>
      <c r="R144" s="67" t="str">
        <f>IFERROR(__xludf.DUMMYFUNCTION("SPARKLINE(O144,{""charttype"",""bar"";""max"",1;""color1"",IF(P144=""Terminado"",""#4CAF50"",IF(O144&gt;=0.5,""#FFA500"",""#F44336""))})"),"")</f>
        <v/>
      </c>
      <c r="S144" s="40"/>
      <c r="T144" s="40"/>
      <c r="U144" s="40"/>
      <c r="V144" s="40"/>
      <c r="W144" s="40"/>
      <c r="X144" s="40"/>
      <c r="Y144" s="40"/>
      <c r="Z144" s="40"/>
      <c r="AA144" s="40"/>
    </row>
    <row r="145" ht="22.5" customHeight="1">
      <c r="A145" s="74" t="s">
        <v>114</v>
      </c>
      <c r="B145" s="75" t="s">
        <v>11</v>
      </c>
      <c r="C145" s="41" t="s">
        <v>14</v>
      </c>
      <c r="D145" s="61">
        <v>7.92</v>
      </c>
      <c r="E145" s="62">
        <v>46127.0</v>
      </c>
      <c r="F145" s="68" t="str">
        <f>IFERROR(__xludf.DUMMYFUNCTION("FILTER(BBDD!H:H,BBDD!G:G=C145)"),"CNC")</f>
        <v>CNC</v>
      </c>
      <c r="G145" s="68" t="str">
        <f>IFERROR(__xludf.DUMMYFUNCTION("FILTER(BBDD!I:I,BBDD!G:G=C145)"),"CNC")</f>
        <v>CNC</v>
      </c>
      <c r="H145" s="63">
        <f>IFERROR(__xludf.DUMMYFUNCTION("(IFERROR(FILTER(BBDD!$J:$J,BBDD!$G:$G=C145,BBDD!$H:$H=F145,BBDD!$I:$I=G145),""NO TIENE PROCESO""))*D145"),1.584)</f>
        <v>1.584</v>
      </c>
      <c r="I145" s="46">
        <f t="shared" si="1"/>
        <v>0.6</v>
      </c>
      <c r="J145" s="46">
        <f>SUMIFS('👷horas'!$J:$J,'👷horas'!$D:$D,A145,'👷horas'!$E:$E,B145,'👷horas'!$F:$F,F145,'👷horas'!$G:$G,G145)</f>
        <v>0.6</v>
      </c>
      <c r="K145" s="47">
        <f>SUMIFS('👷horas'!$K:$K,'👷horas'!$D:$D,A145,'👷horas'!$E:$E,B145,'👷horas'!$F:$F,F145,'👷horas'!$G:$G,G145)</f>
        <v>0</v>
      </c>
      <c r="L145" s="64">
        <f t="shared" si="2"/>
        <v>0.07575757576</v>
      </c>
      <c r="M145" s="65">
        <f t="shared" si="3"/>
        <v>0</v>
      </c>
      <c r="N145" s="50">
        <f t="shared" si="4"/>
        <v>0.6212121212</v>
      </c>
      <c r="O145" s="66">
        <f t="shared" si="5"/>
        <v>1</v>
      </c>
      <c r="P145" s="76" t="s">
        <v>193</v>
      </c>
      <c r="Q145" s="67" t="str">
        <f t="shared" si="6"/>
        <v>Terminado</v>
      </c>
      <c r="R145" s="67" t="str">
        <f>IFERROR(__xludf.DUMMYFUNCTION("SPARKLINE(O145,{""charttype"",""bar"";""max"",1;""color1"",IF(P145=""Terminado"",""#4CAF50"",IF(O145&gt;=0.5,""#FFA500"",""#F44336""))})"),"")</f>
        <v/>
      </c>
      <c r="S145" s="40"/>
      <c r="T145" s="40"/>
      <c r="U145" s="40"/>
      <c r="V145" s="40"/>
      <c r="W145" s="40"/>
      <c r="X145" s="40"/>
      <c r="Y145" s="40"/>
      <c r="Z145" s="40"/>
      <c r="AA145" s="40"/>
    </row>
    <row r="146" ht="22.5" customHeight="1">
      <c r="A146" s="74" t="s">
        <v>114</v>
      </c>
      <c r="B146" s="75" t="s">
        <v>11</v>
      </c>
      <c r="C146" s="41" t="s">
        <v>14</v>
      </c>
      <c r="D146" s="61">
        <v>7.92</v>
      </c>
      <c r="E146" s="62">
        <v>46127.0</v>
      </c>
      <c r="F146" s="68" t="str">
        <f>IFERROR(__xludf.DUMMYFUNCTION("""COMPUTED_VALUE"""),"Fabricación")</f>
        <v>Fabricación</v>
      </c>
      <c r="G146" s="68" t="str">
        <f>IFERROR(__xludf.DUMMYFUNCTION("""COMPUTED_VALUE"""),"Ensamblaje")</f>
        <v>Ensamblaje</v>
      </c>
      <c r="H146" s="63">
        <f>IFERROR(__xludf.DUMMYFUNCTION("(IFERROR(FILTER(BBDD!$J:$J,BBDD!$G:$G=C146,BBDD!$H:$H=F146,BBDD!$I:$I=G146),""NO TIENE PROCESO""))*D146"),4.9104)</f>
        <v>4.9104</v>
      </c>
      <c r="I146" s="46">
        <f t="shared" si="1"/>
        <v>3.5</v>
      </c>
      <c r="J146" s="46">
        <f>SUMIFS('👷horas'!$J:$J,'👷horas'!$D:$D,A146,'👷horas'!$E:$E,B146,'👷horas'!$F:$F,F146,'👷horas'!$G:$G,G146)</f>
        <v>3.5</v>
      </c>
      <c r="K146" s="47">
        <f>SUMIFS('👷horas'!$K:$K,'👷horas'!$D:$D,A146,'👷horas'!$E:$E,B146,'👷horas'!$F:$F,F146,'👷horas'!$G:$G,G146)</f>
        <v>0</v>
      </c>
      <c r="L146" s="64">
        <f t="shared" si="2"/>
        <v>0.4419191919</v>
      </c>
      <c r="M146" s="65">
        <f t="shared" si="3"/>
        <v>0</v>
      </c>
      <c r="N146" s="50">
        <f t="shared" si="4"/>
        <v>0.2872271098</v>
      </c>
      <c r="O146" s="66">
        <f t="shared" si="5"/>
        <v>1</v>
      </c>
      <c r="P146" s="76" t="s">
        <v>193</v>
      </c>
      <c r="Q146" s="67" t="str">
        <f t="shared" si="6"/>
        <v>Terminado</v>
      </c>
      <c r="R146" s="67" t="str">
        <f>IFERROR(__xludf.DUMMYFUNCTION("SPARKLINE(O146,{""charttype"",""bar"";""max"",1;""color1"",IF(P146=""Terminado"",""#4CAF50"",IF(O146&gt;=0.5,""#FFA500"",""#F44336""))})"),"")</f>
        <v/>
      </c>
      <c r="S146" s="40"/>
      <c r="T146" s="40"/>
      <c r="U146" s="40"/>
      <c r="V146" s="40"/>
      <c r="W146" s="40"/>
      <c r="X146" s="40"/>
      <c r="Y146" s="40"/>
      <c r="Z146" s="40"/>
      <c r="AA146" s="40"/>
    </row>
    <row r="147" ht="22.5" customHeight="1">
      <c r="A147" s="74" t="s">
        <v>114</v>
      </c>
      <c r="B147" s="75" t="s">
        <v>11</v>
      </c>
      <c r="C147" s="41" t="s">
        <v>14</v>
      </c>
      <c r="D147" s="61">
        <v>7.92</v>
      </c>
      <c r="E147" s="62">
        <v>46127.0</v>
      </c>
      <c r="F147" s="68" t="str">
        <f>IFERROR(__xludf.DUMMYFUNCTION("""COMPUTED_VALUE"""),"Fabricación")</f>
        <v>Fabricación</v>
      </c>
      <c r="G147" s="68" t="str">
        <f>IFERROR(__xludf.DUMMYFUNCTION("""COMPUTED_VALUE"""),"Colocación de perfiles")</f>
        <v>Colocación de perfiles</v>
      </c>
      <c r="H147" s="63">
        <f>IFERROR(__xludf.DUMMYFUNCTION("(IFERROR(FILTER(BBDD!$J:$J,BBDD!$G:$G=C147,BBDD!$H:$H=F147,BBDD!$I:$I=G147),""NO TIENE PROCESO""))*D147"),1.584)</f>
        <v>1.584</v>
      </c>
      <c r="I147" s="46">
        <f t="shared" si="1"/>
        <v>2.5</v>
      </c>
      <c r="J147" s="46">
        <f>SUMIFS('👷horas'!$J:$J,'👷horas'!$D:$D,A147,'👷horas'!$E:$E,B147,'👷horas'!$F:$F,F147,'👷horas'!$G:$G,G147)</f>
        <v>2.5</v>
      </c>
      <c r="K147" s="47">
        <f>SUMIFS('👷horas'!$K:$K,'👷horas'!$D:$D,A147,'👷horas'!$E:$E,B147,'👷horas'!$F:$F,F147,'👷horas'!$G:$G,G147)</f>
        <v>0</v>
      </c>
      <c r="L147" s="64">
        <f t="shared" si="2"/>
        <v>0.3156565657</v>
      </c>
      <c r="M147" s="65">
        <f t="shared" si="3"/>
        <v>0</v>
      </c>
      <c r="N147" s="50">
        <f t="shared" si="4"/>
        <v>-0.5782828283</v>
      </c>
      <c r="O147" s="66">
        <f t="shared" si="5"/>
        <v>1</v>
      </c>
      <c r="P147" s="76" t="s">
        <v>193</v>
      </c>
      <c r="Q147" s="67" t="str">
        <f t="shared" si="6"/>
        <v>Terminado</v>
      </c>
      <c r="R147" s="67" t="str">
        <f>IFERROR(__xludf.DUMMYFUNCTION("SPARKLINE(O147,{""charttype"",""bar"";""max"",1;""color1"",IF(P147=""Terminado"",""#4CAF50"",IF(O147&gt;=0.5,""#FFA500"",""#F44336""))})"),"")</f>
        <v/>
      </c>
      <c r="S147" s="40"/>
      <c r="T147" s="40"/>
      <c r="U147" s="40"/>
      <c r="V147" s="40"/>
      <c r="W147" s="40"/>
      <c r="X147" s="40"/>
      <c r="Y147" s="40"/>
      <c r="Z147" s="40"/>
      <c r="AA147" s="40"/>
    </row>
    <row r="148" ht="22.5" customHeight="1">
      <c r="A148" s="74" t="s">
        <v>114</v>
      </c>
      <c r="B148" s="75" t="s">
        <v>11</v>
      </c>
      <c r="C148" s="41" t="s">
        <v>14</v>
      </c>
      <c r="D148" s="61">
        <v>7.92</v>
      </c>
      <c r="E148" s="62">
        <v>46127.0</v>
      </c>
      <c r="F148" s="68" t="str">
        <f>IFERROR(__xludf.DUMMYFUNCTION("""COMPUTED_VALUE"""),"Fabricación")</f>
        <v>Fabricación</v>
      </c>
      <c r="G148" s="68" t="str">
        <f>IFERROR(__xludf.DUMMYFUNCTION("""COMPUTED_VALUE"""),"Embalaje/carga/descarga material")</f>
        <v>Embalaje/carga/descarga material</v>
      </c>
      <c r="H148" s="63">
        <f>IFERROR(__xludf.DUMMYFUNCTION("(IFERROR(FILTER(BBDD!$J:$J,BBDD!$G:$G=C148,BBDD!$H:$H=F148,BBDD!$I:$I=G148),""NO TIENE PROCESO""))*D148"),1.188)</f>
        <v>1.188</v>
      </c>
      <c r="I148" s="46">
        <f t="shared" si="1"/>
        <v>0</v>
      </c>
      <c r="J148" s="46">
        <f>SUMIFS('👷horas'!$J:$J,'👷horas'!$D:$D,A148,'👷horas'!$E:$E,B148,'👷horas'!$F:$F,F148,'👷horas'!$G:$G,G148)</f>
        <v>0</v>
      </c>
      <c r="K148" s="47">
        <f>SUMIFS('👷horas'!$K:$K,'👷horas'!$D:$D,A148,'👷horas'!$E:$E,B148,'👷horas'!$F:$F,F148,'👷horas'!$G:$G,G148)</f>
        <v>0</v>
      </c>
      <c r="L148" s="64">
        <f t="shared" si="2"/>
        <v>0</v>
      </c>
      <c r="M148" s="65">
        <f t="shared" si="3"/>
        <v>0</v>
      </c>
      <c r="N148" s="50">
        <f t="shared" si="4"/>
        <v>1</v>
      </c>
      <c r="O148" s="66">
        <f t="shared" si="5"/>
        <v>1</v>
      </c>
      <c r="P148" s="76" t="s">
        <v>193</v>
      </c>
      <c r="Q148" s="67" t="str">
        <f t="shared" si="6"/>
        <v>Terminado</v>
      </c>
      <c r="R148" s="67" t="str">
        <f>IFERROR(__xludf.DUMMYFUNCTION("SPARKLINE(O148,{""charttype"",""bar"";""max"",1;""color1"",IF(P148=""Terminado"",""#4CAF50"",IF(O148&gt;=0.5,""#FFA500"",""#F44336""))})"),"")</f>
        <v/>
      </c>
      <c r="S148" s="40"/>
      <c r="T148" s="40"/>
      <c r="U148" s="40"/>
      <c r="V148" s="40"/>
      <c r="W148" s="40"/>
      <c r="X148" s="40"/>
      <c r="Y148" s="40"/>
      <c r="Z148" s="40"/>
      <c r="AA148" s="40"/>
    </row>
    <row r="149" ht="22.5" customHeight="1">
      <c r="A149" s="74" t="s">
        <v>114</v>
      </c>
      <c r="B149" s="75" t="s">
        <v>11</v>
      </c>
      <c r="C149" s="41" t="s">
        <v>14</v>
      </c>
      <c r="D149" s="61">
        <v>7.92</v>
      </c>
      <c r="E149" s="62">
        <v>46127.0</v>
      </c>
      <c r="F149" s="68" t="str">
        <f>IFERROR(__xludf.DUMMYFUNCTION("""COMPUTED_VALUE"""),"Pintura")</f>
        <v>Pintura</v>
      </c>
      <c r="G149" s="68" t="str">
        <f>IFERROR(__xludf.DUMMYFUNCTION("""COMPUTED_VALUE"""),"Lijado y/o Masillado")</f>
        <v>Lijado y/o Masillado</v>
      </c>
      <c r="H149" s="63">
        <f>IFERROR(__xludf.DUMMYFUNCTION("(IFERROR(FILTER(BBDD!$J:$J,BBDD!$G:$G=C149,BBDD!$H:$H=F149,BBDD!$I:$I=G149),""NO TIENE PROCESO""))*D149"),3.96)</f>
        <v>3.96</v>
      </c>
      <c r="I149" s="46">
        <f t="shared" si="1"/>
        <v>4</v>
      </c>
      <c r="J149" s="46">
        <f>SUMIFS('👷horas'!$J:$J,'👷horas'!$D:$D,A149,'👷horas'!$E:$E,B149,'👷horas'!$F:$F,F149,'👷horas'!$G:$G,G149)</f>
        <v>4</v>
      </c>
      <c r="K149" s="47">
        <f>SUMIFS('👷horas'!$K:$K,'👷horas'!$D:$D,A149,'👷horas'!$E:$E,B149,'👷horas'!$F:$F,F149,'👷horas'!$G:$G,G149)</f>
        <v>0</v>
      </c>
      <c r="L149" s="64">
        <f t="shared" si="2"/>
        <v>0.5050505051</v>
      </c>
      <c r="M149" s="65">
        <f t="shared" si="3"/>
        <v>0</v>
      </c>
      <c r="N149" s="50">
        <f t="shared" si="4"/>
        <v>-0.0101010101</v>
      </c>
      <c r="O149" s="66">
        <f t="shared" si="5"/>
        <v>1</v>
      </c>
      <c r="P149" s="76" t="s">
        <v>193</v>
      </c>
      <c r="Q149" s="67" t="str">
        <f t="shared" si="6"/>
        <v>Terminado</v>
      </c>
      <c r="R149" s="67" t="str">
        <f>IFERROR(__xludf.DUMMYFUNCTION("SPARKLINE(O149,{""charttype"",""bar"";""max"",1;""color1"",IF(P149=""Terminado"",""#4CAF50"",IF(O149&gt;=0.5,""#FFA500"",""#F44336""))})"),"")</f>
        <v/>
      </c>
      <c r="S149" s="40"/>
      <c r="T149" s="40"/>
      <c r="U149" s="40"/>
      <c r="V149" s="40"/>
      <c r="W149" s="40"/>
      <c r="X149" s="40"/>
      <c r="Y149" s="40"/>
      <c r="Z149" s="40"/>
      <c r="AA149" s="40"/>
    </row>
    <row r="150" ht="22.5" customHeight="1">
      <c r="A150" s="74" t="s">
        <v>114</v>
      </c>
      <c r="B150" s="75" t="s">
        <v>11</v>
      </c>
      <c r="C150" s="41" t="s">
        <v>14</v>
      </c>
      <c r="D150" s="61">
        <v>7.92</v>
      </c>
      <c r="E150" s="62">
        <v>46127.0</v>
      </c>
      <c r="F150" s="68" t="str">
        <f>IFERROR(__xludf.DUMMYFUNCTION("""COMPUTED_VALUE"""),"Pintura")</f>
        <v>Pintura</v>
      </c>
      <c r="G150" s="68" t="str">
        <f>IFERROR(__xludf.DUMMYFUNCTION("""COMPUTED_VALUE"""),"Imprimación/Pintura")</f>
        <v>Imprimación/Pintura</v>
      </c>
      <c r="H150" s="63">
        <f>IFERROR(__xludf.DUMMYFUNCTION("(IFERROR(FILTER(BBDD!$J:$J,BBDD!$G:$G=C150,BBDD!$H:$H=F150,BBDD!$I:$I=G150),""NO TIENE PROCESO""))*D150"),3.168)</f>
        <v>3.168</v>
      </c>
      <c r="I150" s="46">
        <f t="shared" si="1"/>
        <v>3</v>
      </c>
      <c r="J150" s="46">
        <f>SUMIFS('👷horas'!$J:$J,'👷horas'!$D:$D,A150,'👷horas'!$E:$E,B150,'👷horas'!$F:$F,F150,'👷horas'!$G:$G,G150)</f>
        <v>3</v>
      </c>
      <c r="K150" s="47">
        <f>SUMIFS('👷horas'!$K:$K,'👷horas'!$D:$D,A150,'👷horas'!$E:$E,B150,'👷horas'!$F:$F,F150,'👷horas'!$G:$G,G150)</f>
        <v>0</v>
      </c>
      <c r="L150" s="64">
        <f t="shared" si="2"/>
        <v>0.3787878788</v>
      </c>
      <c r="M150" s="65">
        <f t="shared" si="3"/>
        <v>0</v>
      </c>
      <c r="N150" s="50">
        <f t="shared" si="4"/>
        <v>0.05303030303</v>
      </c>
      <c r="O150" s="66">
        <f t="shared" si="5"/>
        <v>1</v>
      </c>
      <c r="P150" s="76" t="s">
        <v>193</v>
      </c>
      <c r="Q150" s="67" t="str">
        <f t="shared" si="6"/>
        <v>Terminado</v>
      </c>
      <c r="R150" s="67" t="str">
        <f>IFERROR(__xludf.DUMMYFUNCTION("SPARKLINE(O150,{""charttype"",""bar"";""max"",1;""color1"",IF(P150=""Terminado"",""#4CAF50"",IF(O150&gt;=0.5,""#FFA500"",""#F44336""))})"),"")</f>
        <v/>
      </c>
      <c r="S150" s="40"/>
      <c r="T150" s="40"/>
      <c r="U150" s="40"/>
      <c r="V150" s="40"/>
      <c r="W150" s="40"/>
      <c r="X150" s="40"/>
      <c r="Y150" s="40"/>
      <c r="Z150" s="40"/>
      <c r="AA150" s="40"/>
    </row>
    <row r="151" ht="22.5" customHeight="1">
      <c r="A151" s="74" t="s">
        <v>102</v>
      </c>
      <c r="B151" s="75" t="s">
        <v>155</v>
      </c>
      <c r="C151" s="75" t="s">
        <v>176</v>
      </c>
      <c r="D151" s="61">
        <v>1.0</v>
      </c>
      <c r="E151" s="62">
        <v>46127.0</v>
      </c>
      <c r="F151" s="68" t="s">
        <v>13</v>
      </c>
      <c r="G151" s="68" t="s">
        <v>13</v>
      </c>
      <c r="H151" s="63">
        <v>3.0</v>
      </c>
      <c r="I151" s="46">
        <f t="shared" si="1"/>
        <v>2.05</v>
      </c>
      <c r="J151" s="46">
        <f>SUMIFS('👷horas'!$J:$J,'👷horas'!$D:$D,A151,'👷horas'!$E:$E,B151,'👷horas'!$F:$F,F151,'👷horas'!$G:$G,G151)</f>
        <v>2.05</v>
      </c>
      <c r="K151" s="47">
        <f>SUMIFS('👷horas'!$K:$K,'👷horas'!$D:$D,A151,'👷horas'!$E:$E,B151,'👷horas'!$F:$F,F151,'👷horas'!$G:$G,G151)</f>
        <v>0</v>
      </c>
      <c r="L151" s="64">
        <f t="shared" si="2"/>
        <v>2.05</v>
      </c>
      <c r="M151" s="65">
        <f t="shared" si="3"/>
        <v>0</v>
      </c>
      <c r="N151" s="50">
        <f t="shared" si="4"/>
        <v>0.3166666667</v>
      </c>
      <c r="O151" s="66">
        <f t="shared" si="5"/>
        <v>1</v>
      </c>
      <c r="P151" s="76" t="s">
        <v>193</v>
      </c>
      <c r="Q151" s="67" t="str">
        <f t="shared" si="6"/>
        <v>Terminado</v>
      </c>
      <c r="R151" s="67" t="str">
        <f>IFERROR(__xludf.DUMMYFUNCTION("SPARKLINE(O151,{""charttype"",""bar"";""max"",1;""color1"",IF(P151=""Terminado"",""#4CAF50"",IF(O151&gt;=0.5,""#FFA500"",""#F44336""))})"),"")</f>
        <v/>
      </c>
      <c r="S151" s="40"/>
      <c r="T151" s="40"/>
      <c r="U151" s="40"/>
      <c r="V151" s="40"/>
      <c r="W151" s="40"/>
      <c r="X151" s="40"/>
      <c r="Y151" s="40"/>
      <c r="Z151" s="40"/>
      <c r="AA151" s="40"/>
    </row>
    <row r="152" ht="22.5" customHeight="1">
      <c r="A152" s="74" t="s">
        <v>102</v>
      </c>
      <c r="B152" s="75" t="s">
        <v>155</v>
      </c>
      <c r="C152" s="75" t="s">
        <v>176</v>
      </c>
      <c r="D152" s="61">
        <v>1.0</v>
      </c>
      <c r="E152" s="62">
        <v>46127.0</v>
      </c>
      <c r="F152" s="68" t="s">
        <v>20</v>
      </c>
      <c r="G152" s="68" t="s">
        <v>22</v>
      </c>
      <c r="H152" s="63">
        <v>5.5</v>
      </c>
      <c r="I152" s="46">
        <f t="shared" si="1"/>
        <v>13.75</v>
      </c>
      <c r="J152" s="46">
        <f>SUMIFS('👷horas'!$J:$J,'👷horas'!$D:$D,A152,'👷horas'!$E:$E,B152,'👷horas'!$F:$F,F152,'👷horas'!$G:$G,G152)</f>
        <v>13.75</v>
      </c>
      <c r="K152" s="47">
        <f>SUMIFS('👷horas'!$K:$K,'👷horas'!$D:$D,A152,'👷horas'!$E:$E,B152,'👷horas'!$F:$F,F152,'👷horas'!$G:$G,G152)</f>
        <v>0</v>
      </c>
      <c r="L152" s="64">
        <f t="shared" si="2"/>
        <v>13.75</v>
      </c>
      <c r="M152" s="65">
        <f t="shared" si="3"/>
        <v>0</v>
      </c>
      <c r="N152" s="50">
        <f t="shared" si="4"/>
        <v>-1.5</v>
      </c>
      <c r="O152" s="66">
        <f t="shared" si="5"/>
        <v>1</v>
      </c>
      <c r="P152" s="76" t="s">
        <v>193</v>
      </c>
      <c r="Q152" s="67" t="str">
        <f t="shared" si="6"/>
        <v>Terminado</v>
      </c>
      <c r="R152" s="67" t="str">
        <f>IFERROR(__xludf.DUMMYFUNCTION("SPARKLINE(O152,{""charttype"",""bar"";""max"",1;""color1"",IF(P152=""Terminado"",""#4CAF50"",IF(O152&gt;=0.5,""#FFA500"",""#F44336""))})"),"")</f>
        <v/>
      </c>
      <c r="S152" s="40"/>
      <c r="T152" s="40"/>
      <c r="U152" s="40"/>
      <c r="V152" s="40"/>
      <c r="W152" s="40"/>
      <c r="X152" s="40"/>
      <c r="Y152" s="40"/>
      <c r="Z152" s="40"/>
      <c r="AA152" s="40"/>
    </row>
    <row r="153" ht="22.5" customHeight="1">
      <c r="A153" s="74" t="s">
        <v>102</v>
      </c>
      <c r="B153" s="75" t="s">
        <v>155</v>
      </c>
      <c r="C153" s="75" t="s">
        <v>176</v>
      </c>
      <c r="D153" s="61">
        <v>1.0</v>
      </c>
      <c r="E153" s="62">
        <v>46127.0</v>
      </c>
      <c r="F153" s="68" t="s">
        <v>20</v>
      </c>
      <c r="G153" s="68" t="s">
        <v>63</v>
      </c>
      <c r="H153" s="63">
        <v>4.0</v>
      </c>
      <c r="I153" s="46">
        <f t="shared" si="1"/>
        <v>2</v>
      </c>
      <c r="J153" s="46">
        <f>SUMIFS('👷horas'!$J:$J,'👷horas'!$D:$D,A153,'👷horas'!$E:$E,B153,'👷horas'!$F:$F,F153,'👷horas'!$G:$G,G153)</f>
        <v>2</v>
      </c>
      <c r="K153" s="47">
        <f>SUMIFS('👷horas'!$K:$K,'👷horas'!$D:$D,A153,'👷horas'!$E:$E,B153,'👷horas'!$F:$F,F153,'👷horas'!$G:$G,G153)</f>
        <v>0</v>
      </c>
      <c r="L153" s="64">
        <f t="shared" si="2"/>
        <v>2</v>
      </c>
      <c r="M153" s="65">
        <f t="shared" si="3"/>
        <v>0</v>
      </c>
      <c r="N153" s="50">
        <f t="shared" si="4"/>
        <v>0.5</v>
      </c>
      <c r="O153" s="66">
        <f t="shared" si="5"/>
        <v>1</v>
      </c>
      <c r="P153" s="76" t="s">
        <v>193</v>
      </c>
      <c r="Q153" s="67" t="str">
        <f t="shared" si="6"/>
        <v>Terminado</v>
      </c>
      <c r="R153" s="67" t="str">
        <f>IFERROR(__xludf.DUMMYFUNCTION("SPARKLINE(O153,{""charttype"",""bar"";""max"",1;""color1"",IF(P153=""Terminado"",""#4CAF50"",IF(O153&gt;=0.5,""#FFA500"",""#F44336""))})"),"")</f>
        <v/>
      </c>
      <c r="S153" s="40"/>
      <c r="T153" s="40"/>
      <c r="U153" s="40"/>
      <c r="V153" s="40"/>
      <c r="W153" s="40"/>
      <c r="X153" s="40"/>
      <c r="Y153" s="40"/>
      <c r="Z153" s="40"/>
      <c r="AA153" s="40"/>
    </row>
    <row r="154" ht="22.5" customHeight="1">
      <c r="A154" s="74" t="s">
        <v>102</v>
      </c>
      <c r="B154" s="75" t="s">
        <v>155</v>
      </c>
      <c r="C154" s="75" t="s">
        <v>176</v>
      </c>
      <c r="D154" s="61">
        <v>1.0</v>
      </c>
      <c r="E154" s="62">
        <v>46127.0</v>
      </c>
      <c r="F154" s="68" t="s">
        <v>20</v>
      </c>
      <c r="G154" s="70" t="s">
        <v>35</v>
      </c>
      <c r="H154" s="63">
        <v>0.5</v>
      </c>
      <c r="I154" s="46">
        <f t="shared" si="1"/>
        <v>2</v>
      </c>
      <c r="J154" s="46">
        <f>SUMIFS('👷horas'!$J:$J,'👷horas'!$D:$D,A154,'👷horas'!$E:$E,B154,'👷horas'!$F:$F,F154,'👷horas'!$G:$G,G154)</f>
        <v>2</v>
      </c>
      <c r="K154" s="47">
        <f>SUMIFS('👷horas'!$K:$K,'👷horas'!$D:$D,A154,'👷horas'!$E:$E,B154,'👷horas'!$F:$F,F154,'👷horas'!$G:$G,G154)</f>
        <v>0</v>
      </c>
      <c r="L154" s="64">
        <f t="shared" si="2"/>
        <v>2</v>
      </c>
      <c r="M154" s="65">
        <f t="shared" si="3"/>
        <v>0</v>
      </c>
      <c r="N154" s="50">
        <f t="shared" si="4"/>
        <v>-3</v>
      </c>
      <c r="O154" s="66">
        <f t="shared" si="5"/>
        <v>1</v>
      </c>
      <c r="P154" s="76" t="s">
        <v>193</v>
      </c>
      <c r="Q154" s="67" t="str">
        <f t="shared" si="6"/>
        <v>Terminado</v>
      </c>
      <c r="R154" s="67" t="str">
        <f>IFERROR(__xludf.DUMMYFUNCTION("SPARKLINE(O154,{""charttype"",""bar"";""max"",1;""color1"",IF(P154=""Terminado"",""#4CAF50"",IF(O154&gt;=0.5,""#FFA500"",""#F44336""))})"),"")</f>
        <v/>
      </c>
      <c r="S154" s="40"/>
      <c r="T154" s="40"/>
      <c r="U154" s="40"/>
      <c r="V154" s="40"/>
      <c r="W154" s="40"/>
      <c r="X154" s="40"/>
      <c r="Y154" s="40"/>
      <c r="Z154" s="40"/>
      <c r="AA154" s="40"/>
    </row>
    <row r="155" ht="22.5" customHeight="1">
      <c r="A155" s="74" t="s">
        <v>102</v>
      </c>
      <c r="B155" s="75" t="s">
        <v>80</v>
      </c>
      <c r="C155" s="75" t="s">
        <v>172</v>
      </c>
      <c r="D155" s="61">
        <f>19+68</f>
        <v>87</v>
      </c>
      <c r="E155" s="62">
        <v>46127.0</v>
      </c>
      <c r="F155" s="68" t="s">
        <v>20</v>
      </c>
      <c r="G155" s="70" t="s">
        <v>35</v>
      </c>
      <c r="H155" s="63">
        <f>IFERROR(__xludf.DUMMYFUNCTION("(IFERROR(FILTER(BBDD!$J:$J,BBDD!$G:$G=C155,BBDD!$H:$H=F155,BBDD!$I:$I=G155),""NO TIENE PROCESO""))*D155"),2.1750000000000003)</f>
        <v>2.175</v>
      </c>
      <c r="I155" s="46">
        <f t="shared" si="1"/>
        <v>2.5</v>
      </c>
      <c r="J155" s="46">
        <f>SUMIFS('👷horas'!$J:$J,'👷horas'!$D:$D,A155,'👷horas'!$E:$E,B155,'👷horas'!$F:$F,F155,'👷horas'!$G:$G,G155)</f>
        <v>2.5</v>
      </c>
      <c r="K155" s="47">
        <f>SUMIFS('👷horas'!$K:$K,'👷horas'!$D:$D,A155,'👷horas'!$E:$E,B155,'👷horas'!$F:$F,F155,'👷horas'!$G:$G,G155)</f>
        <v>0</v>
      </c>
      <c r="L155" s="64">
        <f t="shared" si="2"/>
        <v>0.02873563218</v>
      </c>
      <c r="M155" s="65">
        <f t="shared" si="3"/>
        <v>0</v>
      </c>
      <c r="N155" s="50">
        <f t="shared" si="4"/>
        <v>-0.1494252874</v>
      </c>
      <c r="O155" s="66">
        <f t="shared" si="5"/>
        <v>1</v>
      </c>
      <c r="P155" s="76" t="s">
        <v>193</v>
      </c>
      <c r="Q155" s="67" t="str">
        <f t="shared" si="6"/>
        <v>Terminado</v>
      </c>
      <c r="R155" s="67" t="str">
        <f>IFERROR(__xludf.DUMMYFUNCTION("SPARKLINE(O155,{""charttype"",""bar"";""max"",1;""color1"",IF(P155=""Terminado"",""#4CAF50"",IF(O155&gt;=0.5,""#FFA500"",""#F44336""))})"),"")</f>
        <v/>
      </c>
      <c r="S155" s="40"/>
      <c r="T155" s="40"/>
      <c r="U155" s="40"/>
      <c r="V155" s="40"/>
      <c r="W155" s="40"/>
      <c r="X155" s="40"/>
      <c r="Y155" s="40"/>
      <c r="Z155" s="40"/>
      <c r="AA155" s="40"/>
    </row>
    <row r="156" ht="22.5" customHeight="1">
      <c r="A156" s="74" t="s">
        <v>116</v>
      </c>
      <c r="B156" s="75" t="s">
        <v>39</v>
      </c>
      <c r="C156" s="75" t="s">
        <v>135</v>
      </c>
      <c r="D156" s="61">
        <v>13.6</v>
      </c>
      <c r="E156" s="62">
        <v>46150.0</v>
      </c>
      <c r="F156" s="68" t="str">
        <f>IFERROR(__xludf.DUMMYFUNCTION("FILTER(BBDD!H:H,BBDD!G:G=C156)"),"Fabricación")</f>
        <v>Fabricación</v>
      </c>
      <c r="G156" s="54" t="str">
        <f>IFERROR(__xludf.DUMMYFUNCTION("FILTER(BBDD!I:I,BBDD!G:G=C156)"),"Pegado de composite/chapa")</f>
        <v>Pegado de composite/chapa</v>
      </c>
      <c r="H156" s="63">
        <f>IFERROR(__xludf.DUMMYFUNCTION("(IFERROR(FILTER(BBDD!$J:$J,BBDD!$G:$G=C156,BBDD!$H:$H=F156,BBDD!$I:$I=G156),""NO TIENE PROCESO""))*D156"),7.072)</f>
        <v>7.072</v>
      </c>
      <c r="I156" s="46">
        <f t="shared" si="1"/>
        <v>6</v>
      </c>
      <c r="J156" s="46">
        <f>SUMIFS('👷horas'!$J:$J,'👷horas'!$D:$D,A156,'👷horas'!$E:$E,B156,'👷horas'!$F:$F,F156,'👷horas'!$G:$G,G156)</f>
        <v>6</v>
      </c>
      <c r="K156" s="47">
        <f>SUMIFS('👷horas'!$K:$K,'👷horas'!$D:$D,A156,'👷horas'!$E:$E,B156,'👷horas'!$F:$F,F156,'👷horas'!$G:$G,G156)</f>
        <v>0</v>
      </c>
      <c r="L156" s="64">
        <f t="shared" si="2"/>
        <v>0.4411764706</v>
      </c>
      <c r="M156" s="65">
        <f t="shared" si="3"/>
        <v>0</v>
      </c>
      <c r="N156" s="50">
        <f t="shared" si="4"/>
        <v>0.1515837104</v>
      </c>
      <c r="O156" s="66">
        <f t="shared" si="5"/>
        <v>1</v>
      </c>
      <c r="P156" s="69" t="s">
        <v>193</v>
      </c>
      <c r="Q156" s="67" t="str">
        <f t="shared" si="6"/>
        <v>En proceso</v>
      </c>
      <c r="R156" s="67" t="str">
        <f>IFERROR(__xludf.DUMMYFUNCTION("SPARKLINE(O156,{""charttype"",""bar"";""max"",1;""color1"",IF(P156=""Terminado"",""#4CAF50"",IF(O156&gt;=0.5,""#FFA500"",""#F44336""))})"),"")</f>
        <v/>
      </c>
      <c r="S156" s="40"/>
      <c r="T156" s="40"/>
      <c r="U156" s="40"/>
      <c r="V156" s="40"/>
      <c r="W156" s="40"/>
      <c r="X156" s="40"/>
      <c r="Y156" s="40"/>
      <c r="Z156" s="40"/>
      <c r="AA156" s="40"/>
    </row>
    <row r="157" ht="22.5" customHeight="1">
      <c r="A157" s="74" t="s">
        <v>116</v>
      </c>
      <c r="B157" s="75" t="s">
        <v>39</v>
      </c>
      <c r="C157" s="75" t="s">
        <v>135</v>
      </c>
      <c r="D157" s="61">
        <v>13.6</v>
      </c>
      <c r="E157" s="62">
        <v>46150.0</v>
      </c>
      <c r="F157" s="68" t="str">
        <f>IFERROR(__xludf.DUMMYFUNCTION("""COMPUTED_VALUE"""),"Fabricación")</f>
        <v>Fabricación</v>
      </c>
      <c r="G157" s="68" t="str">
        <f>IFERROR(__xludf.DUMMYFUNCTION("""COMPUTED_VALUE"""),"Embalaje/carga/descarga material")</f>
        <v>Embalaje/carga/descarga material</v>
      </c>
      <c r="H157" s="63">
        <f>IFERROR(__xludf.DUMMYFUNCTION("(IFERROR(FILTER(BBDD!$J:$J,BBDD!$G:$G=C157,BBDD!$H:$H=F157,BBDD!$I:$I=G157),""NO TIENE PROCESO""))*D157"),6.255999999999999)</f>
        <v>6.256</v>
      </c>
      <c r="I157" s="46">
        <f t="shared" si="1"/>
        <v>6.5</v>
      </c>
      <c r="J157" s="46">
        <f>SUMIFS('👷horas'!$J:$J,'👷horas'!$D:$D,A157,'👷horas'!$E:$E,B157,'👷horas'!$F:$F,F157,'👷horas'!$G:$G,G157)</f>
        <v>6.5</v>
      </c>
      <c r="K157" s="47">
        <f>SUMIFS('👷horas'!$K:$K,'👷horas'!$D:$D,A157,'👷horas'!$E:$E,B157,'👷horas'!$F:$F,F157,'👷horas'!$G:$G,G157)</f>
        <v>0</v>
      </c>
      <c r="L157" s="64">
        <f t="shared" si="2"/>
        <v>0.4779411765</v>
      </c>
      <c r="M157" s="65">
        <f t="shared" si="3"/>
        <v>0</v>
      </c>
      <c r="N157" s="50">
        <f t="shared" si="4"/>
        <v>-0.03900255754</v>
      </c>
      <c r="O157" s="66">
        <f t="shared" si="5"/>
        <v>1</v>
      </c>
      <c r="P157" s="69" t="s">
        <v>193</v>
      </c>
      <c r="Q157" s="67" t="str">
        <f t="shared" si="6"/>
        <v>En proceso</v>
      </c>
      <c r="R157" s="67" t="str">
        <f>IFERROR(__xludf.DUMMYFUNCTION("SPARKLINE(O157,{""charttype"",""bar"";""max"",1;""color1"",IF(P157=""Terminado"",""#4CAF50"",IF(O157&gt;=0.5,""#FFA500"",""#F44336""))})"),"")</f>
        <v/>
      </c>
      <c r="S157" s="40"/>
      <c r="T157" s="40"/>
      <c r="U157" s="40"/>
      <c r="V157" s="40"/>
      <c r="W157" s="40"/>
      <c r="X157" s="40"/>
      <c r="Y157" s="40"/>
      <c r="Z157" s="40"/>
      <c r="AA157" s="40"/>
    </row>
    <row r="158" ht="22.5" customHeight="1">
      <c r="A158" s="74" t="s">
        <v>116</v>
      </c>
      <c r="B158" s="75" t="s">
        <v>39</v>
      </c>
      <c r="C158" s="75" t="s">
        <v>135</v>
      </c>
      <c r="D158" s="61">
        <v>13.6</v>
      </c>
      <c r="E158" s="62">
        <v>46150.0</v>
      </c>
      <c r="F158" s="68" t="str">
        <f>IFERROR(__xludf.DUMMYFUNCTION("""COMPUTED_VALUE"""),"CNC")</f>
        <v>CNC</v>
      </c>
      <c r="G158" s="68" t="str">
        <f>IFERROR(__xludf.DUMMYFUNCTION("""COMPUTED_VALUE"""),"CNC")</f>
        <v>CNC</v>
      </c>
      <c r="H158" s="63">
        <f>IFERROR(__xludf.DUMMYFUNCTION("(IFERROR(FILTER(BBDD!$J:$J,BBDD!$G:$G=C158,BBDD!$H:$H=F158,BBDD!$I:$I=G158),""NO TIENE PROCESO""))*D158"),5.032)</f>
        <v>5.032</v>
      </c>
      <c r="I158" s="46">
        <f t="shared" si="1"/>
        <v>4</v>
      </c>
      <c r="J158" s="46">
        <f>SUMIFS('👷horas'!$J:$J,'👷horas'!$D:$D,A158,'👷horas'!$E:$E,B158,'👷horas'!$F:$F,F158,'👷horas'!$G:$G,G158)</f>
        <v>4</v>
      </c>
      <c r="K158" s="47">
        <f>SUMIFS('👷horas'!$K:$K,'👷horas'!$D:$D,A158,'👷horas'!$E:$E,B158,'👷horas'!$F:$F,F158,'👷horas'!$G:$G,G158)</f>
        <v>0</v>
      </c>
      <c r="L158" s="64">
        <f t="shared" si="2"/>
        <v>0.2941176471</v>
      </c>
      <c r="M158" s="65">
        <f t="shared" si="3"/>
        <v>0</v>
      </c>
      <c r="N158" s="50">
        <f t="shared" si="4"/>
        <v>0.2050874404</v>
      </c>
      <c r="O158" s="66">
        <f t="shared" si="5"/>
        <v>1</v>
      </c>
      <c r="P158" s="76" t="s">
        <v>193</v>
      </c>
      <c r="Q158" s="67" t="str">
        <f t="shared" si="6"/>
        <v>En proceso</v>
      </c>
      <c r="R158" s="67" t="str">
        <f>IFERROR(__xludf.DUMMYFUNCTION("SPARKLINE(O158,{""charttype"",""bar"";""max"",1;""color1"",IF(P158=""Terminado"",""#4CAF50"",IF(O158&gt;=0.5,""#FFA500"",""#F44336""))})"),"")</f>
        <v/>
      </c>
      <c r="S158" s="40"/>
      <c r="T158" s="40"/>
      <c r="U158" s="40"/>
      <c r="V158" s="40"/>
      <c r="W158" s="40"/>
      <c r="X158" s="40"/>
      <c r="Y158" s="40"/>
      <c r="Z158" s="40"/>
      <c r="AA158" s="40"/>
    </row>
    <row r="159" ht="22.5" customHeight="1">
      <c r="A159" s="74" t="s">
        <v>116</v>
      </c>
      <c r="B159" s="75" t="s">
        <v>39</v>
      </c>
      <c r="C159" s="75" t="s">
        <v>135</v>
      </c>
      <c r="D159" s="61">
        <v>10.0</v>
      </c>
      <c r="E159" s="62">
        <v>46150.0</v>
      </c>
      <c r="F159" s="68" t="str">
        <f>IFERROR(__xludf.DUMMYFUNCTION("""COMPUTED_VALUE"""),"Fabricación")</f>
        <v>Fabricación</v>
      </c>
      <c r="G159" s="68" t="str">
        <f>IFERROR(__xludf.DUMMYFUNCTION("""COMPUTED_VALUE"""),"Ensamblaje")</f>
        <v>Ensamblaje</v>
      </c>
      <c r="H159" s="63">
        <f>IFERROR(__xludf.DUMMYFUNCTION("(IFERROR(FILTER(BBDD!$J:$J,BBDD!$G:$G=C159,BBDD!$H:$H=F159,BBDD!$I:$I=G159),""NO TIENE PROCESO""))*D159"),3.2)</f>
        <v>3.2</v>
      </c>
      <c r="I159" s="46">
        <f t="shared" si="1"/>
        <v>3</v>
      </c>
      <c r="J159" s="46">
        <f>SUMIFS('👷horas'!$J:$J,'👷horas'!$D:$D,A159,'👷horas'!$E:$E,B159,'👷horas'!$F:$F,F159,'👷horas'!$G:$G,G159)</f>
        <v>3</v>
      </c>
      <c r="K159" s="47">
        <f>SUMIFS('👷horas'!$K:$K,'👷horas'!$D:$D,A159,'👷horas'!$E:$E,B159,'👷horas'!$F:$F,F159,'👷horas'!$G:$G,G159)</f>
        <v>0</v>
      </c>
      <c r="L159" s="64">
        <f t="shared" si="2"/>
        <v>0.3</v>
      </c>
      <c r="M159" s="65">
        <f t="shared" si="3"/>
        <v>0</v>
      </c>
      <c r="N159" s="50">
        <f t="shared" si="4"/>
        <v>0.0625</v>
      </c>
      <c r="O159" s="66">
        <f t="shared" si="5"/>
        <v>1</v>
      </c>
      <c r="P159" s="76" t="s">
        <v>193</v>
      </c>
      <c r="Q159" s="67" t="str">
        <f t="shared" si="6"/>
        <v>En proceso</v>
      </c>
      <c r="R159" s="67" t="str">
        <f>IFERROR(__xludf.DUMMYFUNCTION("SPARKLINE(O159,{""charttype"",""bar"";""max"",1;""color1"",IF(P159=""Terminado"",""#4CAF50"",IF(O159&gt;=0.5,""#FFA500"",""#F44336""))})"),"")</f>
        <v/>
      </c>
      <c r="S159" s="40"/>
      <c r="T159" s="40"/>
      <c r="U159" s="40"/>
      <c r="V159" s="40"/>
      <c r="W159" s="40"/>
      <c r="X159" s="40"/>
      <c r="Y159" s="40"/>
      <c r="Z159" s="40"/>
      <c r="AA159" s="40"/>
    </row>
    <row r="160" ht="22.5" customHeight="1">
      <c r="A160" s="74" t="s">
        <v>116</v>
      </c>
      <c r="B160" s="75" t="s">
        <v>39</v>
      </c>
      <c r="C160" s="75" t="s">
        <v>135</v>
      </c>
      <c r="D160" s="61">
        <v>10.0</v>
      </c>
      <c r="E160" s="62">
        <v>46150.0</v>
      </c>
      <c r="F160" s="68" t="str">
        <f>IFERROR(__xludf.DUMMYFUNCTION("""COMPUTED_VALUE"""),"Fabricación")</f>
        <v>Fabricación</v>
      </c>
      <c r="G160" s="68" t="str">
        <f>IFERROR(__xludf.DUMMYFUNCTION("""COMPUTED_VALUE"""),"Colocación de perfiles")</f>
        <v>Colocación de perfiles</v>
      </c>
      <c r="H160" s="63">
        <f>IFERROR(__xludf.DUMMYFUNCTION("(IFERROR(FILTER(BBDD!$J:$J,BBDD!$G:$G=C160,BBDD!$H:$H=F160,BBDD!$I:$I=G160),""NO TIENE PROCESO""))*D160"),1.5)</f>
        <v>1.5</v>
      </c>
      <c r="I160" s="46">
        <f t="shared" si="1"/>
        <v>5</v>
      </c>
      <c r="J160" s="46">
        <f>SUMIFS('👷horas'!$J:$J,'👷horas'!$D:$D,A160,'👷horas'!$E:$E,B160,'👷horas'!$F:$F,F160,'👷horas'!$G:$G,G160)</f>
        <v>5</v>
      </c>
      <c r="K160" s="47">
        <f>SUMIFS('👷horas'!$K:$K,'👷horas'!$D:$D,A160,'👷horas'!$E:$E,B160,'👷horas'!$F:$F,F160,'👷horas'!$G:$G,G160)</f>
        <v>0</v>
      </c>
      <c r="L160" s="64">
        <f t="shared" si="2"/>
        <v>0.5</v>
      </c>
      <c r="M160" s="65">
        <f t="shared" si="3"/>
        <v>0</v>
      </c>
      <c r="N160" s="50">
        <f t="shared" si="4"/>
        <v>-2.333333333</v>
      </c>
      <c r="O160" s="66">
        <f t="shared" si="5"/>
        <v>1</v>
      </c>
      <c r="P160" s="69" t="s">
        <v>193</v>
      </c>
      <c r="Q160" s="67" t="str">
        <f t="shared" si="6"/>
        <v>En proceso</v>
      </c>
      <c r="R160" s="67" t="str">
        <f>IFERROR(__xludf.DUMMYFUNCTION("SPARKLINE(O160,{""charttype"",""bar"";""max"",1;""color1"",IF(P160=""Terminado"",""#4CAF50"",IF(O160&gt;=0.5,""#FFA500"",""#F44336""))})"),"")</f>
        <v/>
      </c>
      <c r="S160" s="40"/>
      <c r="T160" s="40"/>
      <c r="U160" s="40"/>
      <c r="V160" s="40"/>
      <c r="W160" s="40"/>
      <c r="X160" s="40"/>
      <c r="Y160" s="40"/>
      <c r="Z160" s="40"/>
      <c r="AA160" s="40"/>
    </row>
    <row r="161" ht="22.5" customHeight="1">
      <c r="A161" s="74" t="s">
        <v>116</v>
      </c>
      <c r="B161" s="75" t="s">
        <v>39</v>
      </c>
      <c r="C161" s="75" t="s">
        <v>135</v>
      </c>
      <c r="D161" s="61">
        <v>10.0</v>
      </c>
      <c r="E161" s="62">
        <v>46150.0</v>
      </c>
      <c r="F161" s="68" t="str">
        <f>IFERROR(__xludf.DUMMYFUNCTION("""COMPUTED_VALUE"""),"Pintura")</f>
        <v>Pintura</v>
      </c>
      <c r="G161" s="68" t="str">
        <f>IFERROR(__xludf.DUMMYFUNCTION("""COMPUTED_VALUE"""),"Imprimación/Pintura")</f>
        <v>Imprimación/Pintura</v>
      </c>
      <c r="H161" s="63">
        <f>IFERROR(__xludf.DUMMYFUNCTION("(IFERROR(FILTER(BBDD!$J:$J,BBDD!$G:$G=C161,BBDD!$H:$H=F161,BBDD!$I:$I=G161),""NO TIENE PROCESO""))*D161"),1.0)</f>
        <v>1</v>
      </c>
      <c r="I161" s="46">
        <f t="shared" si="1"/>
        <v>1</v>
      </c>
      <c r="J161" s="46">
        <f>SUMIFS('👷horas'!$J:$J,'👷horas'!$D:$D,A161,'👷horas'!$E:$E,B161,'👷horas'!$F:$F,F161,'👷horas'!$G:$G,G161)</f>
        <v>1</v>
      </c>
      <c r="K161" s="47">
        <f>SUMIFS('👷horas'!$K:$K,'👷horas'!$D:$D,A161,'👷horas'!$E:$E,B161,'👷horas'!$F:$F,F161,'👷horas'!$G:$G,G161)</f>
        <v>0</v>
      </c>
      <c r="L161" s="64">
        <f t="shared" si="2"/>
        <v>0.1</v>
      </c>
      <c r="M161" s="65">
        <f t="shared" si="3"/>
        <v>0</v>
      </c>
      <c r="N161" s="50">
        <f t="shared" si="4"/>
        <v>0</v>
      </c>
      <c r="O161" s="66">
        <f t="shared" si="5"/>
        <v>1</v>
      </c>
      <c r="P161" s="76" t="s">
        <v>193</v>
      </c>
      <c r="Q161" s="67" t="str">
        <f t="shared" si="6"/>
        <v>En proceso</v>
      </c>
      <c r="R161" s="67" t="str">
        <f>IFERROR(__xludf.DUMMYFUNCTION("SPARKLINE(O161,{""charttype"",""bar"";""max"",1;""color1"",IF(P161=""Terminado"",""#4CAF50"",IF(O161&gt;=0.5,""#FFA500"",""#F44336""))})"),"")</f>
        <v/>
      </c>
      <c r="S161" s="40"/>
      <c r="T161" s="40"/>
      <c r="U161" s="40"/>
      <c r="V161" s="40"/>
      <c r="W161" s="40"/>
      <c r="X161" s="40"/>
      <c r="Y161" s="40"/>
      <c r="Z161" s="40"/>
      <c r="AA161" s="40"/>
    </row>
    <row r="162" ht="22.5" customHeight="1">
      <c r="A162" s="74" t="s">
        <v>116</v>
      </c>
      <c r="B162" s="75" t="s">
        <v>11</v>
      </c>
      <c r="C162" s="41" t="s">
        <v>14</v>
      </c>
      <c r="D162" s="61">
        <v>9.84</v>
      </c>
      <c r="E162" s="62">
        <v>46150.0</v>
      </c>
      <c r="F162" s="68" t="str">
        <f>IFERROR(__xludf.DUMMYFUNCTION("FILTER(BBDD!H:H,BBDD!G:G=C162)"),"CNC")</f>
        <v>CNC</v>
      </c>
      <c r="G162" s="68" t="str">
        <f>IFERROR(__xludf.DUMMYFUNCTION("FILTER(BBDD!I:I,BBDD!G:G=C162)"),"CNC")</f>
        <v>CNC</v>
      </c>
      <c r="H162" s="63">
        <f>IFERROR(__xludf.DUMMYFUNCTION("(IFERROR(FILTER(BBDD!$J:$J,BBDD!$G:$G=C162,BBDD!$H:$H=F162,BBDD!$I:$I=G162),""NO TIENE PROCESO""))*D162"),1.968)</f>
        <v>1.968</v>
      </c>
      <c r="I162" s="46">
        <f t="shared" si="1"/>
        <v>0.75</v>
      </c>
      <c r="J162" s="46">
        <f>SUMIFS('👷horas'!$J:$J,'👷horas'!$D:$D,A162,'👷horas'!$E:$E,B162,'👷horas'!$F:$F,F162,'👷horas'!$G:$G,G162)</f>
        <v>0.75</v>
      </c>
      <c r="K162" s="47">
        <f>SUMIFS('👷horas'!$K:$K,'👷horas'!$D:$D,A162,'👷horas'!$E:$E,B162,'👷horas'!$F:$F,F162,'👷horas'!$G:$G,G162)</f>
        <v>0</v>
      </c>
      <c r="L162" s="64">
        <f t="shared" si="2"/>
        <v>0.0762195122</v>
      </c>
      <c r="M162" s="65">
        <f t="shared" si="3"/>
        <v>0</v>
      </c>
      <c r="N162" s="50">
        <f t="shared" si="4"/>
        <v>0.618902439</v>
      </c>
      <c r="O162" s="66">
        <f t="shared" si="5"/>
        <v>1</v>
      </c>
      <c r="P162" s="76" t="s">
        <v>193</v>
      </c>
      <c r="Q162" s="67" t="str">
        <f t="shared" si="6"/>
        <v>En proceso</v>
      </c>
      <c r="R162" s="67" t="str">
        <f>IFERROR(__xludf.DUMMYFUNCTION("SPARKLINE(O162,{""charttype"",""bar"";""max"",1;""color1"",IF(P162=""Terminado"",""#4CAF50"",IF(O162&gt;=0.5,""#FFA500"",""#F44336""))})"),"")</f>
        <v/>
      </c>
      <c r="S162" s="40"/>
      <c r="T162" s="40"/>
      <c r="U162" s="40"/>
      <c r="V162" s="40"/>
      <c r="W162" s="40"/>
      <c r="X162" s="40"/>
      <c r="Y162" s="40"/>
      <c r="Z162" s="40"/>
      <c r="AA162" s="40"/>
    </row>
    <row r="163" ht="22.5" customHeight="1">
      <c r="A163" s="74" t="s">
        <v>116</v>
      </c>
      <c r="B163" s="75" t="s">
        <v>11</v>
      </c>
      <c r="C163" s="41" t="s">
        <v>14</v>
      </c>
      <c r="D163" s="61">
        <v>9.84</v>
      </c>
      <c r="E163" s="62">
        <v>46150.0</v>
      </c>
      <c r="F163" s="68" t="str">
        <f>IFERROR(__xludf.DUMMYFUNCTION("""COMPUTED_VALUE"""),"Fabricación")</f>
        <v>Fabricación</v>
      </c>
      <c r="G163" s="68" t="str">
        <f>IFERROR(__xludf.DUMMYFUNCTION("""COMPUTED_VALUE"""),"Ensamblaje")</f>
        <v>Ensamblaje</v>
      </c>
      <c r="H163" s="63">
        <f>IFERROR(__xludf.DUMMYFUNCTION("(IFERROR(FILTER(BBDD!$J:$J,BBDD!$G:$G=C163,BBDD!$H:$H=F163,BBDD!$I:$I=G163),""NO TIENE PROCESO""))*D163"),6.1008)</f>
        <v>6.1008</v>
      </c>
      <c r="I163" s="46">
        <f t="shared" si="1"/>
        <v>5.833</v>
      </c>
      <c r="J163" s="46">
        <f>SUMIFS('👷horas'!$J:$J,'👷horas'!$D:$D,A163,'👷horas'!$E:$E,B163,'👷horas'!$F:$F,F163,'👷horas'!$G:$G,G163)</f>
        <v>5.833</v>
      </c>
      <c r="K163" s="47">
        <f>SUMIFS('👷horas'!$K:$K,'👷horas'!$D:$D,A163,'👷horas'!$E:$E,B163,'👷horas'!$F:$F,F163,'👷horas'!$G:$G,G163)</f>
        <v>0</v>
      </c>
      <c r="L163" s="64">
        <f t="shared" si="2"/>
        <v>0.5927845528</v>
      </c>
      <c r="M163" s="65">
        <f t="shared" si="3"/>
        <v>0</v>
      </c>
      <c r="N163" s="50">
        <f t="shared" si="4"/>
        <v>0.04389588251</v>
      </c>
      <c r="O163" s="66">
        <f t="shared" si="5"/>
        <v>1</v>
      </c>
      <c r="P163" s="76" t="s">
        <v>193</v>
      </c>
      <c r="Q163" s="67" t="str">
        <f t="shared" si="6"/>
        <v>En proceso</v>
      </c>
      <c r="R163" s="67" t="str">
        <f>IFERROR(__xludf.DUMMYFUNCTION("SPARKLINE(O163,{""charttype"",""bar"";""max"",1;""color1"",IF(P163=""Terminado"",""#4CAF50"",IF(O163&gt;=0.5,""#FFA500"",""#F44336""))})"),"")</f>
        <v/>
      </c>
      <c r="S163" s="40"/>
      <c r="T163" s="40"/>
      <c r="U163" s="40"/>
      <c r="V163" s="40"/>
      <c r="W163" s="40"/>
      <c r="X163" s="40"/>
      <c r="Y163" s="40"/>
      <c r="Z163" s="40"/>
      <c r="AA163" s="40"/>
    </row>
    <row r="164" ht="22.5" customHeight="1">
      <c r="A164" s="74" t="s">
        <v>116</v>
      </c>
      <c r="B164" s="75" t="s">
        <v>11</v>
      </c>
      <c r="C164" s="41" t="s">
        <v>14</v>
      </c>
      <c r="D164" s="61">
        <v>9.84</v>
      </c>
      <c r="E164" s="62">
        <v>46150.0</v>
      </c>
      <c r="F164" s="68" t="str">
        <f>IFERROR(__xludf.DUMMYFUNCTION("""COMPUTED_VALUE"""),"Fabricación")</f>
        <v>Fabricación</v>
      </c>
      <c r="G164" s="68" t="str">
        <f>IFERROR(__xludf.DUMMYFUNCTION("""COMPUTED_VALUE"""),"Colocación de perfiles")</f>
        <v>Colocación de perfiles</v>
      </c>
      <c r="H164" s="63">
        <f>IFERROR(__xludf.DUMMYFUNCTION("(IFERROR(FILTER(BBDD!$J:$J,BBDD!$G:$G=C164,BBDD!$H:$H=F164,BBDD!$I:$I=G164),""NO TIENE PROCESO""))*D164"),1.968)</f>
        <v>1.968</v>
      </c>
      <c r="I164" s="46">
        <f t="shared" si="1"/>
        <v>0</v>
      </c>
      <c r="J164" s="46">
        <f>SUMIFS('👷horas'!$J:$J,'👷horas'!$D:$D,A164,'👷horas'!$E:$E,B164,'👷horas'!$F:$F,F164,'👷horas'!$G:$G,G164)</f>
        <v>0</v>
      </c>
      <c r="K164" s="47">
        <f>SUMIFS('👷horas'!$K:$K,'👷horas'!$D:$D,A164,'👷horas'!$E:$E,B164,'👷horas'!$F:$F,F164,'👷horas'!$G:$G,G164)</f>
        <v>0</v>
      </c>
      <c r="L164" s="64">
        <f t="shared" si="2"/>
        <v>0</v>
      </c>
      <c r="M164" s="77">
        <f t="shared" si="3"/>
        <v>1.968</v>
      </c>
      <c r="N164" s="50">
        <f t="shared" si="4"/>
        <v>1</v>
      </c>
      <c r="O164" s="66">
        <f t="shared" si="5"/>
        <v>0</v>
      </c>
      <c r="P164" s="69" t="s">
        <v>195</v>
      </c>
      <c r="Q164" s="67" t="str">
        <f t="shared" si="6"/>
        <v>En proceso</v>
      </c>
      <c r="R164" s="67" t="str">
        <f>IFERROR(__xludf.DUMMYFUNCTION("SPARKLINE(O164,{""charttype"",""bar"";""max"",1;""color1"",IF(P164=""Terminado"",""#4CAF50"",IF(O164&gt;=0.5,""#FFA500"",""#F44336""))})"),"")</f>
        <v/>
      </c>
      <c r="S164" s="40"/>
      <c r="T164" s="40"/>
      <c r="U164" s="40"/>
      <c r="V164" s="40"/>
      <c r="W164" s="40"/>
      <c r="X164" s="40"/>
      <c r="Y164" s="40"/>
      <c r="Z164" s="40"/>
      <c r="AA164" s="40"/>
    </row>
    <row r="165" ht="22.5" customHeight="1">
      <c r="A165" s="74" t="s">
        <v>116</v>
      </c>
      <c r="B165" s="75" t="s">
        <v>11</v>
      </c>
      <c r="C165" s="41" t="s">
        <v>14</v>
      </c>
      <c r="D165" s="61">
        <v>9.84</v>
      </c>
      <c r="E165" s="62">
        <v>46150.0</v>
      </c>
      <c r="F165" s="68" t="str">
        <f>IFERROR(__xludf.DUMMYFUNCTION("""COMPUTED_VALUE"""),"Fabricación")</f>
        <v>Fabricación</v>
      </c>
      <c r="G165" s="68" t="str">
        <f>IFERROR(__xludf.DUMMYFUNCTION("""COMPUTED_VALUE"""),"Embalaje/carga/descarga material")</f>
        <v>Embalaje/carga/descarga material</v>
      </c>
      <c r="H165" s="63">
        <f>IFERROR(__xludf.DUMMYFUNCTION("(IFERROR(FILTER(BBDD!$J:$J,BBDD!$G:$G=C165,BBDD!$H:$H=F165,BBDD!$I:$I=G165),""NO TIENE PROCESO""))*D165"),1.476)</f>
        <v>1.476</v>
      </c>
      <c r="I165" s="46">
        <f t="shared" si="1"/>
        <v>0</v>
      </c>
      <c r="J165" s="46">
        <f>SUMIFS('👷horas'!$J:$J,'👷horas'!$D:$D,A165,'👷horas'!$E:$E,B165,'👷horas'!$F:$F,F165,'👷horas'!$G:$G,G165)</f>
        <v>0</v>
      </c>
      <c r="K165" s="47">
        <f>SUMIFS('👷horas'!$K:$K,'👷horas'!$D:$D,A165,'👷horas'!$E:$E,B165,'👷horas'!$F:$F,F165,'👷horas'!$G:$G,G165)</f>
        <v>0</v>
      </c>
      <c r="L165" s="64">
        <f t="shared" si="2"/>
        <v>0</v>
      </c>
      <c r="M165" s="77">
        <f t="shared" si="3"/>
        <v>1.476</v>
      </c>
      <c r="N165" s="50">
        <f t="shared" si="4"/>
        <v>1</v>
      </c>
      <c r="O165" s="66">
        <f t="shared" si="5"/>
        <v>0</v>
      </c>
      <c r="P165" s="69" t="s">
        <v>195</v>
      </c>
      <c r="Q165" s="67" t="str">
        <f t="shared" si="6"/>
        <v>En proceso</v>
      </c>
      <c r="R165" s="67" t="str">
        <f>IFERROR(__xludf.DUMMYFUNCTION("SPARKLINE(O165,{""charttype"",""bar"";""max"",1;""color1"",IF(P165=""Terminado"",""#4CAF50"",IF(O165&gt;=0.5,""#FFA500"",""#F44336""))})"),"")</f>
        <v/>
      </c>
      <c r="S165" s="40"/>
      <c r="T165" s="40"/>
      <c r="U165" s="40"/>
      <c r="V165" s="40"/>
      <c r="W165" s="40"/>
      <c r="X165" s="40"/>
      <c r="Y165" s="40"/>
      <c r="Z165" s="40"/>
      <c r="AA165" s="40"/>
    </row>
    <row r="166" ht="22.5" customHeight="1">
      <c r="A166" s="74" t="s">
        <v>116</v>
      </c>
      <c r="B166" s="75" t="s">
        <v>11</v>
      </c>
      <c r="C166" s="41" t="s">
        <v>14</v>
      </c>
      <c r="D166" s="61">
        <v>9.84</v>
      </c>
      <c r="E166" s="62">
        <v>46150.0</v>
      </c>
      <c r="F166" s="68" t="str">
        <f>IFERROR(__xludf.DUMMYFUNCTION("""COMPUTED_VALUE"""),"Pintura")</f>
        <v>Pintura</v>
      </c>
      <c r="G166" s="68" t="str">
        <f>IFERROR(__xludf.DUMMYFUNCTION("""COMPUTED_VALUE"""),"Lijado y/o Masillado")</f>
        <v>Lijado y/o Masillado</v>
      </c>
      <c r="H166" s="63">
        <f>IFERROR(__xludf.DUMMYFUNCTION("(IFERROR(FILTER(BBDD!$J:$J,BBDD!$G:$G=C166,BBDD!$H:$H=F166,BBDD!$I:$I=G166),""NO TIENE PROCESO""))*D166"),4.92)</f>
        <v>4.92</v>
      </c>
      <c r="I166" s="46">
        <f t="shared" si="1"/>
        <v>3.5</v>
      </c>
      <c r="J166" s="46">
        <f>SUMIFS('👷horas'!$J:$J,'👷horas'!$D:$D,A166,'👷horas'!$E:$E,B166,'👷horas'!$F:$F,F166,'👷horas'!$G:$G,G166)</f>
        <v>3.5</v>
      </c>
      <c r="K166" s="47">
        <f>SUMIFS('👷horas'!$K:$K,'👷horas'!$D:$D,A166,'👷horas'!$E:$E,B166,'👷horas'!$F:$F,F166,'👷horas'!$G:$G,G166)</f>
        <v>0</v>
      </c>
      <c r="L166" s="64">
        <f t="shared" si="2"/>
        <v>0.3556910569</v>
      </c>
      <c r="M166" s="65">
        <f t="shared" si="3"/>
        <v>0</v>
      </c>
      <c r="N166" s="50">
        <f t="shared" si="4"/>
        <v>0.2886178862</v>
      </c>
      <c r="O166" s="66">
        <f t="shared" si="5"/>
        <v>1</v>
      </c>
      <c r="P166" s="69" t="s">
        <v>193</v>
      </c>
      <c r="Q166" s="67" t="str">
        <f t="shared" si="6"/>
        <v>En proceso</v>
      </c>
      <c r="R166" s="67" t="str">
        <f>IFERROR(__xludf.DUMMYFUNCTION("SPARKLINE(O166,{""charttype"",""bar"";""max"",1;""color1"",IF(P166=""Terminado"",""#4CAF50"",IF(O166&gt;=0.5,""#FFA500"",""#F44336""))})"),"")</f>
        <v/>
      </c>
      <c r="S166" s="40"/>
      <c r="T166" s="40"/>
      <c r="U166" s="40"/>
      <c r="V166" s="40"/>
      <c r="W166" s="40"/>
      <c r="X166" s="40"/>
      <c r="Y166" s="40"/>
      <c r="Z166" s="40"/>
      <c r="AA166" s="40"/>
    </row>
    <row r="167" ht="22.5" customHeight="1">
      <c r="A167" s="74" t="s">
        <v>116</v>
      </c>
      <c r="B167" s="75" t="s">
        <v>11</v>
      </c>
      <c r="C167" s="41" t="s">
        <v>14</v>
      </c>
      <c r="D167" s="61">
        <v>9.84</v>
      </c>
      <c r="E167" s="62">
        <v>46150.0</v>
      </c>
      <c r="F167" s="68" t="str">
        <f>IFERROR(__xludf.DUMMYFUNCTION("""COMPUTED_VALUE"""),"Pintura")</f>
        <v>Pintura</v>
      </c>
      <c r="G167" s="68" t="str">
        <f>IFERROR(__xludf.DUMMYFUNCTION("""COMPUTED_VALUE"""),"Imprimación/Pintura")</f>
        <v>Imprimación/Pintura</v>
      </c>
      <c r="H167" s="63">
        <f>IFERROR(__xludf.DUMMYFUNCTION("(IFERROR(FILTER(BBDD!$J:$J,BBDD!$G:$G=C167,BBDD!$H:$H=F167,BBDD!$I:$I=G167),""NO TIENE PROCESO""))*D167"),3.936)</f>
        <v>3.936</v>
      </c>
      <c r="I167" s="46">
        <f t="shared" si="1"/>
        <v>3.5</v>
      </c>
      <c r="J167" s="46">
        <f>SUMIFS('👷horas'!$J:$J,'👷horas'!$D:$D,A167,'👷horas'!$E:$E,B167,'👷horas'!$F:$F,F167,'👷horas'!$G:$G,G167)</f>
        <v>3.5</v>
      </c>
      <c r="K167" s="47">
        <f>SUMIFS('👷horas'!$K:$K,'👷horas'!$D:$D,A167,'👷horas'!$E:$E,B167,'👷horas'!$F:$F,F167,'👷horas'!$G:$G,G167)</f>
        <v>0</v>
      </c>
      <c r="L167" s="64">
        <f t="shared" si="2"/>
        <v>0.3556910569</v>
      </c>
      <c r="M167" s="65">
        <f t="shared" si="3"/>
        <v>0</v>
      </c>
      <c r="N167" s="50">
        <f t="shared" si="4"/>
        <v>0.1107723577</v>
      </c>
      <c r="O167" s="66">
        <f t="shared" si="5"/>
        <v>1</v>
      </c>
      <c r="P167" s="69" t="s">
        <v>193</v>
      </c>
      <c r="Q167" s="67" t="str">
        <f t="shared" si="6"/>
        <v>En proceso</v>
      </c>
      <c r="R167" s="67" t="str">
        <f>IFERROR(__xludf.DUMMYFUNCTION("SPARKLINE(O167,{""charttype"",""bar"";""max"",1;""color1"",IF(P167=""Terminado"",""#4CAF50"",IF(O167&gt;=0.5,""#FFA500"",""#F44336""))})"),"")</f>
        <v/>
      </c>
      <c r="S167" s="40"/>
      <c r="T167" s="40"/>
      <c r="U167" s="40"/>
      <c r="V167" s="40"/>
      <c r="W167" s="40"/>
      <c r="X167" s="40"/>
      <c r="Y167" s="40"/>
      <c r="Z167" s="40"/>
      <c r="AA167" s="40"/>
    </row>
    <row r="168" ht="22.5" customHeight="1">
      <c r="A168" s="74" t="s">
        <v>116</v>
      </c>
      <c r="B168" s="75" t="s">
        <v>19</v>
      </c>
      <c r="C168" s="41" t="s">
        <v>67</v>
      </c>
      <c r="D168" s="61">
        <v>21.92</v>
      </c>
      <c r="E168" s="62">
        <v>46150.0</v>
      </c>
      <c r="F168" s="68" t="str">
        <f>IFERROR(__xludf.DUMMYFUNCTION("FILTER(BBDD!H:H,BBDD!G:G=C168)"),"CNC")</f>
        <v>CNC</v>
      </c>
      <c r="G168" s="68" t="str">
        <f>IFERROR(__xludf.DUMMYFUNCTION("FILTER(BBDD!I:I,BBDD!G:G=C168)"),"CNC")</f>
        <v>CNC</v>
      </c>
      <c r="H168" s="63">
        <f>IFERROR(__xludf.DUMMYFUNCTION("(IFERROR(FILTER(BBDD!$J:$J,BBDD!$G:$G=C168,BBDD!$H:$H=F168,BBDD!$I:$I=G168),""NO TIENE PROCESO""))*D168"),4.384)</f>
        <v>4.384</v>
      </c>
      <c r="I168" s="46">
        <f t="shared" si="1"/>
        <v>1.4</v>
      </c>
      <c r="J168" s="46">
        <f>SUMIFS('👷horas'!$J:$J,'👷horas'!$D:$D,A168,'👷horas'!$E:$E,B168,'👷horas'!$F:$F,F168,'👷horas'!$G:$G,G168)</f>
        <v>1.4</v>
      </c>
      <c r="K168" s="47">
        <f>SUMIFS('👷horas'!$K:$K,'👷horas'!$D:$D,A168,'👷horas'!$E:$E,B168,'👷horas'!$F:$F,F168,'👷horas'!$G:$G,G168)</f>
        <v>0</v>
      </c>
      <c r="L168" s="64">
        <f t="shared" si="2"/>
        <v>0.06386861314</v>
      </c>
      <c r="M168" s="65">
        <f t="shared" si="3"/>
        <v>0</v>
      </c>
      <c r="N168" s="50">
        <f t="shared" si="4"/>
        <v>0.6806569343</v>
      </c>
      <c r="O168" s="66">
        <f t="shared" si="5"/>
        <v>1</v>
      </c>
      <c r="P168" s="76" t="s">
        <v>193</v>
      </c>
      <c r="Q168" s="67" t="str">
        <f t="shared" si="6"/>
        <v>En proceso</v>
      </c>
      <c r="R168" s="67" t="str">
        <f>IFERROR(__xludf.DUMMYFUNCTION("SPARKLINE(O168,{""charttype"",""bar"";""max"",1;""color1"",IF(P168=""Terminado"",""#4CAF50"",IF(O168&gt;=0.5,""#FFA500"",""#F44336""))})"),"")</f>
        <v/>
      </c>
      <c r="S168" s="40"/>
      <c r="T168" s="40"/>
      <c r="U168" s="40"/>
      <c r="V168" s="40"/>
      <c r="W168" s="40"/>
      <c r="X168" s="40"/>
      <c r="Y168" s="40"/>
      <c r="Z168" s="40"/>
      <c r="AA168" s="40"/>
    </row>
    <row r="169" ht="22.5" customHeight="1">
      <c r="A169" s="74" t="s">
        <v>116</v>
      </c>
      <c r="B169" s="75" t="s">
        <v>19</v>
      </c>
      <c r="C169" s="41" t="s">
        <v>67</v>
      </c>
      <c r="D169" s="61">
        <v>21.92</v>
      </c>
      <c r="E169" s="62">
        <v>46150.0</v>
      </c>
      <c r="F169" s="68" t="str">
        <f>IFERROR(__xludf.DUMMYFUNCTION("""COMPUTED_VALUE"""),"Fabricación")</f>
        <v>Fabricación</v>
      </c>
      <c r="G169" s="68" t="str">
        <f>IFERROR(__xludf.DUMMYFUNCTION("""COMPUTED_VALUE"""),"Ensamblaje")</f>
        <v>Ensamblaje</v>
      </c>
      <c r="H169" s="63">
        <f>IFERROR(__xludf.DUMMYFUNCTION("(IFERROR(FILTER(BBDD!$J:$J,BBDD!$G:$G=C169,BBDD!$H:$H=F169,BBDD!$I:$I=G169),""NO TIENE PROCESO""))*D169"),17.3168)</f>
        <v>17.3168</v>
      </c>
      <c r="I169" s="46">
        <f t="shared" si="1"/>
        <v>15.92</v>
      </c>
      <c r="J169" s="46">
        <f>SUMIFS('👷horas'!$J:$J,'👷horas'!$D:$D,A169,'👷horas'!$E:$E,B169,'👷horas'!$F:$F,F169,'👷horas'!$G:$G,G169)</f>
        <v>15.92</v>
      </c>
      <c r="K169" s="47">
        <f>SUMIFS('👷horas'!$K:$K,'👷horas'!$D:$D,A169,'👷horas'!$E:$E,B169,'👷horas'!$F:$F,F169,'👷horas'!$G:$G,G169)</f>
        <v>0</v>
      </c>
      <c r="L169" s="64">
        <f t="shared" si="2"/>
        <v>0.7262773723</v>
      </c>
      <c r="M169" s="65">
        <f t="shared" si="3"/>
        <v>0</v>
      </c>
      <c r="N169" s="50">
        <f t="shared" si="4"/>
        <v>0.0806615541</v>
      </c>
      <c r="O169" s="66">
        <f t="shared" si="5"/>
        <v>1</v>
      </c>
      <c r="P169" s="76" t="s">
        <v>193</v>
      </c>
      <c r="Q169" s="67" t="str">
        <f t="shared" si="6"/>
        <v>En proceso</v>
      </c>
      <c r="R169" s="67" t="str">
        <f>IFERROR(__xludf.DUMMYFUNCTION("SPARKLINE(O169,{""charttype"",""bar"";""max"",1;""color1"",IF(P169=""Terminado"",""#4CAF50"",IF(O169&gt;=0.5,""#FFA500"",""#F44336""))})"),"")</f>
        <v/>
      </c>
      <c r="S169" s="40"/>
      <c r="T169" s="40"/>
      <c r="U169" s="40"/>
      <c r="V169" s="40"/>
      <c r="W169" s="40"/>
      <c r="X169" s="40"/>
      <c r="Y169" s="40"/>
      <c r="Z169" s="40"/>
      <c r="AA169" s="40"/>
    </row>
    <row r="170" ht="22.5" customHeight="1">
      <c r="A170" s="74" t="s">
        <v>116</v>
      </c>
      <c r="B170" s="75" t="s">
        <v>19</v>
      </c>
      <c r="C170" s="41" t="s">
        <v>67</v>
      </c>
      <c r="D170" s="61">
        <v>21.92</v>
      </c>
      <c r="E170" s="62">
        <v>46150.0</v>
      </c>
      <c r="F170" s="68" t="str">
        <f>IFERROR(__xludf.DUMMYFUNCTION("""COMPUTED_VALUE"""),"Fabricación")</f>
        <v>Fabricación</v>
      </c>
      <c r="G170" s="68" t="str">
        <f>IFERROR(__xludf.DUMMYFUNCTION("""COMPUTED_VALUE"""),"Colocación de perfiles")</f>
        <v>Colocación de perfiles</v>
      </c>
      <c r="H170" s="63">
        <f>IFERROR(__xludf.DUMMYFUNCTION("(IFERROR(FILTER(BBDD!$J:$J,BBDD!$G:$G=C170,BBDD!$H:$H=F170,BBDD!$I:$I=G170),""NO TIENE PROCESO""))*D170"),4.384)</f>
        <v>4.384</v>
      </c>
      <c r="I170" s="46">
        <f t="shared" si="1"/>
        <v>0</v>
      </c>
      <c r="J170" s="46">
        <f>SUMIFS('👷horas'!$J:$J,'👷horas'!$D:$D,A170,'👷horas'!$E:$E,B170,'👷horas'!$F:$F,F170,'👷horas'!$G:$G,G170)</f>
        <v>0</v>
      </c>
      <c r="K170" s="47">
        <f>SUMIFS('👷horas'!$K:$K,'👷horas'!$D:$D,A170,'👷horas'!$E:$E,B170,'👷horas'!$F:$F,F170,'👷horas'!$G:$G,G170)</f>
        <v>0</v>
      </c>
      <c r="L170" s="64">
        <f t="shared" si="2"/>
        <v>0</v>
      </c>
      <c r="M170" s="77">
        <f t="shared" si="3"/>
        <v>4.384</v>
      </c>
      <c r="N170" s="50">
        <f t="shared" si="4"/>
        <v>1</v>
      </c>
      <c r="O170" s="66">
        <f t="shared" si="5"/>
        <v>0</v>
      </c>
      <c r="P170" s="69" t="s">
        <v>195</v>
      </c>
      <c r="Q170" s="67" t="str">
        <f t="shared" si="6"/>
        <v>En proceso</v>
      </c>
      <c r="R170" s="67" t="str">
        <f>IFERROR(__xludf.DUMMYFUNCTION("SPARKLINE(O170,{""charttype"",""bar"";""max"",1;""color1"",IF(P170=""Terminado"",""#4CAF50"",IF(O170&gt;=0.5,""#FFA500"",""#F44336""))})"),"")</f>
        <v/>
      </c>
      <c r="S170" s="40"/>
      <c r="T170" s="40"/>
      <c r="U170" s="40"/>
      <c r="V170" s="40"/>
      <c r="W170" s="40"/>
      <c r="X170" s="40"/>
      <c r="Y170" s="40"/>
      <c r="Z170" s="40"/>
      <c r="AA170" s="40"/>
    </row>
    <row r="171" ht="22.5" customHeight="1">
      <c r="A171" s="74" t="s">
        <v>116</v>
      </c>
      <c r="B171" s="75" t="s">
        <v>19</v>
      </c>
      <c r="C171" s="41" t="s">
        <v>67</v>
      </c>
      <c r="D171" s="61">
        <v>21.92</v>
      </c>
      <c r="E171" s="62">
        <v>46150.0</v>
      </c>
      <c r="F171" s="68" t="str">
        <f>IFERROR(__xludf.DUMMYFUNCTION("""COMPUTED_VALUE"""),"Fabricación")</f>
        <v>Fabricación</v>
      </c>
      <c r="G171" s="68" t="str">
        <f>IFERROR(__xludf.DUMMYFUNCTION("""COMPUTED_VALUE"""),"Embalaje/carga/descarga material")</f>
        <v>Embalaje/carga/descarga material</v>
      </c>
      <c r="H171" s="63">
        <f>IFERROR(__xludf.DUMMYFUNCTION("(IFERROR(FILTER(BBDD!$J:$J,BBDD!$G:$G=C171,BBDD!$H:$H=F171,BBDD!$I:$I=G171),""NO TIENE PROCESO""))*D171"),3.2880000000000003)</f>
        <v>3.288</v>
      </c>
      <c r="I171" s="46">
        <f t="shared" si="1"/>
        <v>0</v>
      </c>
      <c r="J171" s="46">
        <f>SUMIFS('👷horas'!$J:$J,'👷horas'!$D:$D,A171,'👷horas'!$E:$E,B171,'👷horas'!$F:$F,F171,'👷horas'!$G:$G,G171)</f>
        <v>0</v>
      </c>
      <c r="K171" s="47">
        <f>SUMIFS('👷horas'!$K:$K,'👷horas'!$D:$D,A171,'👷horas'!$E:$E,B171,'👷horas'!$F:$F,F171,'👷horas'!$G:$G,G171)</f>
        <v>0</v>
      </c>
      <c r="L171" s="64">
        <f t="shared" si="2"/>
        <v>0</v>
      </c>
      <c r="M171" s="77">
        <f t="shared" si="3"/>
        <v>3.288</v>
      </c>
      <c r="N171" s="50">
        <f t="shared" si="4"/>
        <v>1</v>
      </c>
      <c r="O171" s="66">
        <f t="shared" si="5"/>
        <v>0</v>
      </c>
      <c r="P171" s="69" t="s">
        <v>195</v>
      </c>
      <c r="Q171" s="67" t="str">
        <f t="shared" si="6"/>
        <v>En proceso</v>
      </c>
      <c r="R171" s="67" t="str">
        <f>IFERROR(__xludf.DUMMYFUNCTION("SPARKLINE(O171,{""charttype"",""bar"";""max"",1;""color1"",IF(P171=""Terminado"",""#4CAF50"",IF(O171&gt;=0.5,""#FFA500"",""#F44336""))})"),"")</f>
        <v/>
      </c>
      <c r="S171" s="40"/>
      <c r="T171" s="40"/>
      <c r="U171" s="40"/>
      <c r="V171" s="40"/>
      <c r="W171" s="40"/>
      <c r="X171" s="40"/>
      <c r="Y171" s="40"/>
      <c r="Z171" s="40"/>
      <c r="AA171" s="40"/>
    </row>
    <row r="172" ht="22.5" customHeight="1">
      <c r="A172" s="74" t="s">
        <v>116</v>
      </c>
      <c r="B172" s="75" t="s">
        <v>19</v>
      </c>
      <c r="C172" s="41" t="s">
        <v>67</v>
      </c>
      <c r="D172" s="61">
        <v>21.92</v>
      </c>
      <c r="E172" s="62">
        <v>46150.0</v>
      </c>
      <c r="F172" s="55" t="str">
        <f>IFERROR(__xludf.DUMMYFUNCTION("""COMPUTED_VALUE"""),"Pintura")</f>
        <v>Pintura</v>
      </c>
      <c r="G172" s="55" t="str">
        <f>IFERROR(__xludf.DUMMYFUNCTION("""COMPUTED_VALUE"""),"Lijado y/o Masillado")</f>
        <v>Lijado y/o Masillado</v>
      </c>
      <c r="H172" s="63">
        <f>IFERROR(__xludf.DUMMYFUNCTION("(IFERROR(FILTER(BBDD!$J:$J,BBDD!$G:$G=C172,BBDD!$H:$H=F172,BBDD!$I:$I=G172),""NO TIENE PROCESO""))*D172"),13.152000000000001)</f>
        <v>13.152</v>
      </c>
      <c r="I172" s="46">
        <f t="shared" si="1"/>
        <v>14.5</v>
      </c>
      <c r="J172" s="46">
        <f>SUMIFS('👷horas'!$J:$J,'👷horas'!$D:$D,A172,'👷horas'!$E:$E,B172,'👷horas'!$F:$F,F172,'👷horas'!$G:$G,G172)</f>
        <v>14.5</v>
      </c>
      <c r="K172" s="47">
        <f>SUMIFS('👷horas'!$K:$K,'👷horas'!$D:$D,A172,'👷horas'!$E:$E,B172,'👷horas'!$F:$F,F172,'👷horas'!$G:$G,G172)</f>
        <v>0</v>
      </c>
      <c r="L172" s="64">
        <f t="shared" si="2"/>
        <v>0.6614963504</v>
      </c>
      <c r="M172" s="65">
        <f t="shared" si="3"/>
        <v>0</v>
      </c>
      <c r="N172" s="50">
        <f t="shared" si="4"/>
        <v>-0.1024939173</v>
      </c>
      <c r="O172" s="66">
        <f t="shared" si="5"/>
        <v>1</v>
      </c>
      <c r="P172" s="69" t="s">
        <v>193</v>
      </c>
      <c r="Q172" s="67" t="str">
        <f t="shared" si="6"/>
        <v>En proceso</v>
      </c>
      <c r="R172" s="67" t="str">
        <f>IFERROR(__xludf.DUMMYFUNCTION("SPARKLINE(O172,{""charttype"",""bar"";""max"",1;""color1"",IF(P172=""Terminado"",""#4CAF50"",IF(O172&gt;=0.5,""#FFA500"",""#F44336""))})"),"")</f>
        <v/>
      </c>
      <c r="S172" s="40"/>
      <c r="T172" s="40"/>
      <c r="U172" s="40"/>
      <c r="V172" s="40"/>
      <c r="W172" s="40"/>
      <c r="X172" s="40"/>
      <c r="Y172" s="40"/>
      <c r="Z172" s="40"/>
      <c r="AA172" s="40"/>
    </row>
    <row r="173" ht="22.5" customHeight="1">
      <c r="A173" s="74" t="s">
        <v>116</v>
      </c>
      <c r="B173" s="75" t="s">
        <v>19</v>
      </c>
      <c r="C173" s="41" t="s">
        <v>67</v>
      </c>
      <c r="D173" s="61">
        <v>21.92</v>
      </c>
      <c r="E173" s="62">
        <v>46150.0</v>
      </c>
      <c r="F173" s="68" t="str">
        <f>IFERROR(__xludf.DUMMYFUNCTION("""COMPUTED_VALUE"""),"Pintura")</f>
        <v>Pintura</v>
      </c>
      <c r="G173" s="68" t="str">
        <f>IFERROR(__xludf.DUMMYFUNCTION("""COMPUTED_VALUE"""),"Imprimación/Pintura")</f>
        <v>Imprimación/Pintura</v>
      </c>
      <c r="H173" s="63">
        <f>IFERROR(__xludf.DUMMYFUNCTION("(IFERROR(FILTER(BBDD!$J:$J,BBDD!$G:$G=C173,BBDD!$H:$H=F173,BBDD!$I:$I=G173),""NO TIENE PROCESO""))*D173"),8.768)</f>
        <v>8.768</v>
      </c>
      <c r="I173" s="46">
        <f t="shared" si="1"/>
        <v>5</v>
      </c>
      <c r="J173" s="46">
        <f>SUMIFS('👷horas'!$J:$J,'👷horas'!$D:$D,A173,'👷horas'!$E:$E,B173,'👷horas'!$F:$F,F173,'👷horas'!$G:$G,G173)</f>
        <v>5</v>
      </c>
      <c r="K173" s="47">
        <f>SUMIFS('👷horas'!$K:$K,'👷horas'!$D:$D,A173,'👷horas'!$E:$E,B173,'👷horas'!$F:$F,F173,'👷horas'!$G:$G,G173)</f>
        <v>0</v>
      </c>
      <c r="L173" s="64">
        <f t="shared" si="2"/>
        <v>0.2281021898</v>
      </c>
      <c r="M173" s="65">
        <f t="shared" si="3"/>
        <v>0</v>
      </c>
      <c r="N173" s="50">
        <f t="shared" si="4"/>
        <v>0.4297445255</v>
      </c>
      <c r="O173" s="66">
        <f t="shared" si="5"/>
        <v>1</v>
      </c>
      <c r="P173" s="69" t="s">
        <v>193</v>
      </c>
      <c r="Q173" s="67" t="str">
        <f t="shared" si="6"/>
        <v>En proceso</v>
      </c>
      <c r="R173" s="67" t="str">
        <f>IFERROR(__xludf.DUMMYFUNCTION("SPARKLINE(O173,{""charttype"",""bar"";""max"",1;""color1"",IF(P173=""Terminado"",""#4CAF50"",IF(O173&gt;=0.5,""#FFA500"",""#F44336""))})"),"")</f>
        <v/>
      </c>
      <c r="S173" s="40"/>
      <c r="T173" s="40"/>
      <c r="U173" s="40"/>
      <c r="V173" s="40"/>
      <c r="W173" s="40"/>
      <c r="X173" s="40"/>
      <c r="Y173" s="40"/>
      <c r="Z173" s="40"/>
      <c r="AA173" s="40"/>
    </row>
    <row r="174" ht="22.5" customHeight="1">
      <c r="A174" s="74" t="s">
        <v>116</v>
      </c>
      <c r="B174" s="75" t="s">
        <v>62</v>
      </c>
      <c r="C174" s="75" t="s">
        <v>162</v>
      </c>
      <c r="D174" s="61">
        <v>36.0</v>
      </c>
      <c r="E174" s="62">
        <v>46150.0</v>
      </c>
      <c r="F174" s="68" t="str">
        <f>IFERROR(__xludf.DUMMYFUNCTION("FILTER(BBDD!H:H,BBDD!G:G=C174)"),"Fabricación")</f>
        <v>Fabricación</v>
      </c>
      <c r="G174" s="68" t="str">
        <f>IFERROR(__xludf.DUMMYFUNCTION("FILTER(BBDD!I:I,BBDD!G:G=C174)"),"Ensamblaje")</f>
        <v>Ensamblaje</v>
      </c>
      <c r="H174" s="63">
        <f>IFERROR(__xludf.DUMMYFUNCTION("(IFERROR(FILTER(BBDD!$J:$J,BBDD!$G:$G=C174,BBDD!$H:$H=F174,BBDD!$I:$I=G174),""NO TIENE PROCESO""))*D174"),32.4)</f>
        <v>32.4</v>
      </c>
      <c r="I174" s="46">
        <f t="shared" si="1"/>
        <v>36</v>
      </c>
      <c r="J174" s="46">
        <f>SUMIFS('👷horas'!$J:$J,'👷horas'!$D:$D,A174,'👷horas'!$E:$E,B174,'👷horas'!$F:$F,F174,'👷horas'!$G:$G,G174)</f>
        <v>36</v>
      </c>
      <c r="K174" s="47">
        <f>SUMIFS('👷horas'!$K:$K,'👷horas'!$D:$D,A174,'👷horas'!$E:$E,B174,'👷horas'!$F:$F,F174,'👷horas'!$G:$G,G174)</f>
        <v>0</v>
      </c>
      <c r="L174" s="64">
        <f t="shared" si="2"/>
        <v>1</v>
      </c>
      <c r="M174" s="65">
        <f t="shared" si="3"/>
        <v>0</v>
      </c>
      <c r="N174" s="50">
        <f t="shared" si="4"/>
        <v>-0.1111111111</v>
      </c>
      <c r="O174" s="66">
        <f t="shared" si="5"/>
        <v>1</v>
      </c>
      <c r="P174" s="69" t="s">
        <v>193</v>
      </c>
      <c r="Q174" s="67" t="str">
        <f t="shared" si="6"/>
        <v>En proceso</v>
      </c>
      <c r="R174" s="67" t="str">
        <f>IFERROR(__xludf.DUMMYFUNCTION("SPARKLINE(O174,{""charttype"",""bar"";""max"",1;""color1"",IF(P174=""Terminado"",""#4CAF50"",IF(O174&gt;=0.5,""#FFA500"",""#F44336""))})"),"")</f>
        <v/>
      </c>
      <c r="S174" s="40"/>
      <c r="T174" s="40"/>
      <c r="U174" s="40"/>
      <c r="V174" s="40"/>
      <c r="W174" s="40"/>
      <c r="X174" s="40"/>
      <c r="Y174" s="40"/>
      <c r="Z174" s="40"/>
      <c r="AA174" s="40"/>
    </row>
    <row r="175" ht="22.5" customHeight="1">
      <c r="A175" s="74" t="s">
        <v>116</v>
      </c>
      <c r="B175" s="75" t="s">
        <v>62</v>
      </c>
      <c r="C175" s="75" t="s">
        <v>162</v>
      </c>
      <c r="D175" s="61">
        <v>36.0</v>
      </c>
      <c r="E175" s="62">
        <v>46150.0</v>
      </c>
      <c r="F175" s="68" t="str">
        <f>IFERROR(__xludf.DUMMYFUNCTION("""COMPUTED_VALUE"""),"Fabricación")</f>
        <v>Fabricación</v>
      </c>
      <c r="G175" s="68" t="str">
        <f>IFERROR(__xludf.DUMMYFUNCTION("""COMPUTED_VALUE"""),"Embalaje/carga/descarga material")</f>
        <v>Embalaje/carga/descarga material</v>
      </c>
      <c r="H175" s="63">
        <f>IFERROR(__xludf.DUMMYFUNCTION("(IFERROR(FILTER(BBDD!$J:$J,BBDD!$G:$G=C175,BBDD!$H:$H=F175,BBDD!$I:$I=G175),""NO TIENE PROCESO""))*D175"),6.12)</f>
        <v>6.12</v>
      </c>
      <c r="I175" s="46">
        <f t="shared" si="1"/>
        <v>2</v>
      </c>
      <c r="J175" s="46">
        <f>SUMIFS('👷horas'!$J:$J,'👷horas'!$D:$D,A175,'👷horas'!$E:$E,B175,'👷horas'!$F:$F,F175,'👷horas'!$G:$G,G175)</f>
        <v>2</v>
      </c>
      <c r="K175" s="47">
        <f>SUMIFS('👷horas'!$K:$K,'👷horas'!$D:$D,A175,'👷horas'!$E:$E,B175,'👷horas'!$F:$F,F175,'👷horas'!$G:$G,G175)</f>
        <v>0</v>
      </c>
      <c r="L175" s="64">
        <f t="shared" si="2"/>
        <v>0.05555555556</v>
      </c>
      <c r="M175" s="65">
        <f t="shared" si="3"/>
        <v>0</v>
      </c>
      <c r="N175" s="50">
        <f t="shared" si="4"/>
        <v>0.6732026144</v>
      </c>
      <c r="O175" s="66">
        <f t="shared" si="5"/>
        <v>1</v>
      </c>
      <c r="P175" s="69" t="s">
        <v>193</v>
      </c>
      <c r="Q175" s="67" t="str">
        <f t="shared" si="6"/>
        <v>En proceso</v>
      </c>
      <c r="R175" s="67" t="str">
        <f>IFERROR(__xludf.DUMMYFUNCTION("SPARKLINE(O175,{""charttype"",""bar"";""max"",1;""color1"",IF(P175=""Terminado"",""#4CAF50"",IF(O175&gt;=0.5,""#FFA500"",""#F44336""))})"),"")</f>
        <v/>
      </c>
      <c r="S175" s="40"/>
      <c r="T175" s="40"/>
      <c r="U175" s="40"/>
      <c r="V175" s="40"/>
      <c r="W175" s="40"/>
      <c r="X175" s="40"/>
      <c r="Y175" s="40"/>
      <c r="Z175" s="40"/>
      <c r="AA175" s="40"/>
    </row>
    <row r="176" ht="22.5" customHeight="1">
      <c r="A176" s="74" t="s">
        <v>116</v>
      </c>
      <c r="B176" s="75" t="s">
        <v>155</v>
      </c>
      <c r="C176" s="60" t="s">
        <v>122</v>
      </c>
      <c r="D176" s="61">
        <v>5.04</v>
      </c>
      <c r="E176" s="62">
        <v>46150.0</v>
      </c>
      <c r="F176" s="68" t="str">
        <f>IFERROR(__xludf.DUMMYFUNCTION("FILTER(BBDD!H:H,BBDD!G:G=C176)"),"CNC")</f>
        <v>CNC</v>
      </c>
      <c r="G176" s="68" t="str">
        <f>IFERROR(__xludf.DUMMYFUNCTION("FILTER(BBDD!I:I,BBDD!G:G=C176)"),"CNC")</f>
        <v>CNC</v>
      </c>
      <c r="H176" s="63">
        <f>IFERROR(__xludf.DUMMYFUNCTION("(IFERROR(FILTER(BBDD!$J:$J,BBDD!$G:$G=C176,BBDD!$H:$H=F176,BBDD!$I:$I=G176),""NO TIENE PROCESO""))*D176"),1.4616)</f>
        <v>1.4616</v>
      </c>
      <c r="I176" s="46">
        <f t="shared" si="1"/>
        <v>0</v>
      </c>
      <c r="J176" s="46">
        <f>SUMIFS('👷horas'!$J:$J,'👷horas'!$D:$D,A176,'👷horas'!$E:$E,B176,'👷horas'!$F:$F,F176,'👷horas'!$G:$G,G176)</f>
        <v>0</v>
      </c>
      <c r="K176" s="47">
        <f>SUMIFS('👷horas'!$K:$K,'👷horas'!$D:$D,A176,'👷horas'!$E:$E,B176,'👷horas'!$F:$F,F176,'👷horas'!$G:$G,G176)</f>
        <v>0</v>
      </c>
      <c r="L176" s="64">
        <f t="shared" si="2"/>
        <v>0</v>
      </c>
      <c r="M176" s="77">
        <f t="shared" si="3"/>
        <v>1.4616</v>
      </c>
      <c r="N176" s="50">
        <f t="shared" si="4"/>
        <v>1</v>
      </c>
      <c r="O176" s="66">
        <f t="shared" si="5"/>
        <v>0</v>
      </c>
      <c r="P176" s="76" t="s">
        <v>12</v>
      </c>
      <c r="Q176" s="67" t="str">
        <f t="shared" si="6"/>
        <v>En proceso</v>
      </c>
      <c r="R176" s="67" t="str">
        <f>IFERROR(__xludf.DUMMYFUNCTION("SPARKLINE(O176,{""charttype"",""bar"";""max"",1;""color1"",IF(P176=""Terminado"",""#4CAF50"",IF(O176&gt;=0.5,""#FFA500"",""#F44336""))})"),"")</f>
        <v/>
      </c>
      <c r="S176" s="40"/>
      <c r="T176" s="40"/>
      <c r="U176" s="40"/>
      <c r="V176" s="40"/>
      <c r="W176" s="40"/>
      <c r="X176" s="40"/>
      <c r="Y176" s="40"/>
      <c r="Z176" s="40"/>
      <c r="AA176" s="40"/>
    </row>
    <row r="177" ht="22.5" customHeight="1">
      <c r="A177" s="74" t="s">
        <v>116</v>
      </c>
      <c r="B177" s="75" t="s">
        <v>155</v>
      </c>
      <c r="C177" s="60" t="s">
        <v>122</v>
      </c>
      <c r="D177" s="61">
        <v>5.04</v>
      </c>
      <c r="E177" s="62">
        <v>46150.0</v>
      </c>
      <c r="F177" s="68" t="str">
        <f>IFERROR(__xludf.DUMMYFUNCTION("""COMPUTED_VALUE"""),"Fabricación")</f>
        <v>Fabricación</v>
      </c>
      <c r="G177" s="68" t="str">
        <f>IFERROR(__xludf.DUMMYFUNCTION("""COMPUTED_VALUE"""),"Ensamblaje")</f>
        <v>Ensamblaje</v>
      </c>
      <c r="H177" s="63">
        <f>IFERROR(__xludf.DUMMYFUNCTION("(IFERROR(FILTER(BBDD!$J:$J,BBDD!$G:$G=C177,BBDD!$H:$H=F177,BBDD!$I:$I=G177),""NO TIENE PROCESO""))*D177"),5.04)</f>
        <v>5.04</v>
      </c>
      <c r="I177" s="46">
        <f t="shared" si="1"/>
        <v>0</v>
      </c>
      <c r="J177" s="46">
        <f>SUMIFS('👷horas'!$J:$J,'👷horas'!$D:$D,A177,'👷horas'!$E:$E,B177,'👷horas'!$F:$F,F177,'👷horas'!$G:$G,G177)</f>
        <v>0</v>
      </c>
      <c r="K177" s="47">
        <f>SUMIFS('👷horas'!$K:$K,'👷horas'!$D:$D,A177,'👷horas'!$E:$E,B177,'👷horas'!$F:$F,F177,'👷horas'!$G:$G,G177)</f>
        <v>0</v>
      </c>
      <c r="L177" s="64">
        <f t="shared" si="2"/>
        <v>0</v>
      </c>
      <c r="M177" s="77">
        <f t="shared" si="3"/>
        <v>5.04</v>
      </c>
      <c r="N177" s="50">
        <f t="shared" si="4"/>
        <v>1</v>
      </c>
      <c r="O177" s="66">
        <f t="shared" si="5"/>
        <v>0</v>
      </c>
      <c r="P177" s="76" t="s">
        <v>12</v>
      </c>
      <c r="Q177" s="67" t="str">
        <f t="shared" si="6"/>
        <v>En proceso</v>
      </c>
      <c r="R177" s="67" t="str">
        <f>IFERROR(__xludf.DUMMYFUNCTION("SPARKLINE(O177,{""charttype"",""bar"";""max"",1;""color1"",IF(P177=""Terminado"",""#4CAF50"",IF(O177&gt;=0.5,""#FFA500"",""#F44336""))})"),"")</f>
        <v/>
      </c>
      <c r="S177" s="40"/>
      <c r="T177" s="40"/>
      <c r="U177" s="40"/>
      <c r="V177" s="40"/>
      <c r="W177" s="40"/>
      <c r="X177" s="40"/>
      <c r="Y177" s="40"/>
      <c r="Z177" s="40"/>
      <c r="AA177" s="40"/>
    </row>
    <row r="178" ht="22.5" customHeight="1">
      <c r="A178" s="74" t="s">
        <v>116</v>
      </c>
      <c r="B178" s="75" t="s">
        <v>155</v>
      </c>
      <c r="C178" s="60" t="s">
        <v>122</v>
      </c>
      <c r="D178" s="61">
        <v>5.04</v>
      </c>
      <c r="E178" s="62">
        <v>46150.0</v>
      </c>
      <c r="F178" s="68" t="str">
        <f>IFERROR(__xludf.DUMMYFUNCTION("""COMPUTED_VALUE"""),"Fabricación")</f>
        <v>Fabricación</v>
      </c>
      <c r="G178" s="68" t="str">
        <f>IFERROR(__xludf.DUMMYFUNCTION("""COMPUTED_VALUE"""),"Colocación de perfiles")</f>
        <v>Colocación de perfiles</v>
      </c>
      <c r="H178" s="63">
        <f>IFERROR(__xludf.DUMMYFUNCTION("(IFERROR(FILTER(BBDD!$J:$J,BBDD!$G:$G=C178,BBDD!$H:$H=F178,BBDD!$I:$I=G178),""NO TIENE PROCESO""))*D178"),1.008)</f>
        <v>1.008</v>
      </c>
      <c r="I178" s="46">
        <f t="shared" si="1"/>
        <v>0</v>
      </c>
      <c r="J178" s="46">
        <f>SUMIFS('👷horas'!$J:$J,'👷horas'!$D:$D,A178,'👷horas'!$E:$E,B178,'👷horas'!$F:$F,F178,'👷horas'!$G:$G,G178)</f>
        <v>0</v>
      </c>
      <c r="K178" s="47">
        <f>SUMIFS('👷horas'!$K:$K,'👷horas'!$D:$D,A178,'👷horas'!$E:$E,B178,'👷horas'!$F:$F,F178,'👷horas'!$G:$G,G178)</f>
        <v>0</v>
      </c>
      <c r="L178" s="64">
        <f t="shared" si="2"/>
        <v>0</v>
      </c>
      <c r="M178" s="77">
        <f t="shared" si="3"/>
        <v>1.008</v>
      </c>
      <c r="N178" s="50">
        <f t="shared" si="4"/>
        <v>1</v>
      </c>
      <c r="O178" s="66">
        <f t="shared" si="5"/>
        <v>0</v>
      </c>
      <c r="P178" s="76" t="s">
        <v>12</v>
      </c>
      <c r="Q178" s="67" t="str">
        <f t="shared" si="6"/>
        <v>En proceso</v>
      </c>
      <c r="R178" s="67" t="str">
        <f>IFERROR(__xludf.DUMMYFUNCTION("SPARKLINE(O178,{""charttype"",""bar"";""max"",1;""color1"",IF(P178=""Terminado"",""#4CAF50"",IF(O178&gt;=0.5,""#FFA500"",""#F44336""))})"),"")</f>
        <v/>
      </c>
      <c r="S178" s="40"/>
      <c r="T178" s="40"/>
      <c r="U178" s="40"/>
      <c r="V178" s="40"/>
      <c r="W178" s="40"/>
      <c r="X178" s="40"/>
      <c r="Y178" s="40"/>
      <c r="Z178" s="40"/>
      <c r="AA178" s="40"/>
    </row>
    <row r="179" ht="22.5" customHeight="1">
      <c r="A179" s="74" t="s">
        <v>116</v>
      </c>
      <c r="B179" s="75" t="s">
        <v>155</v>
      </c>
      <c r="C179" s="60" t="s">
        <v>122</v>
      </c>
      <c r="D179" s="61">
        <v>5.04</v>
      </c>
      <c r="E179" s="62">
        <v>46150.0</v>
      </c>
      <c r="F179" s="68" t="str">
        <f>IFERROR(__xludf.DUMMYFUNCTION("""COMPUTED_VALUE"""),"Fabricación")</f>
        <v>Fabricación</v>
      </c>
      <c r="G179" s="68" t="str">
        <f>IFERROR(__xludf.DUMMYFUNCTION("""COMPUTED_VALUE"""),"Embalaje/carga/descarga material")</f>
        <v>Embalaje/carga/descarga material</v>
      </c>
      <c r="H179" s="63">
        <f>IFERROR(__xludf.DUMMYFUNCTION("(IFERROR(FILTER(BBDD!$J:$J,BBDD!$G:$G=C179,BBDD!$H:$H=F179,BBDD!$I:$I=G179),""NO TIENE PROCESO""))*D179"),0.756)</f>
        <v>0.756</v>
      </c>
      <c r="I179" s="46">
        <f t="shared" si="1"/>
        <v>0</v>
      </c>
      <c r="J179" s="46">
        <f>SUMIFS('👷horas'!$J:$J,'👷horas'!$D:$D,A179,'👷horas'!$E:$E,B179,'👷horas'!$F:$F,F179,'👷horas'!$G:$G,G179)</f>
        <v>0</v>
      </c>
      <c r="K179" s="47">
        <f>SUMIFS('👷horas'!$K:$K,'👷horas'!$D:$D,A179,'👷horas'!$E:$E,B179,'👷horas'!$F:$F,F179,'👷horas'!$G:$G,G179)</f>
        <v>0</v>
      </c>
      <c r="L179" s="64">
        <f t="shared" si="2"/>
        <v>0</v>
      </c>
      <c r="M179" s="77">
        <f t="shared" si="3"/>
        <v>0.756</v>
      </c>
      <c r="N179" s="50">
        <f t="shared" si="4"/>
        <v>1</v>
      </c>
      <c r="O179" s="66">
        <f t="shared" si="5"/>
        <v>0</v>
      </c>
      <c r="P179" s="76" t="s">
        <v>12</v>
      </c>
      <c r="Q179" s="67" t="str">
        <f t="shared" si="6"/>
        <v>En proceso</v>
      </c>
      <c r="R179" s="67" t="str">
        <f>IFERROR(__xludf.DUMMYFUNCTION("SPARKLINE(O179,{""charttype"",""bar"";""max"",1;""color1"",IF(P179=""Terminado"",""#4CAF50"",IF(O179&gt;=0.5,""#FFA500"",""#F44336""))})"),"")</f>
        <v/>
      </c>
      <c r="S179" s="40"/>
      <c r="T179" s="40"/>
      <c r="U179" s="40"/>
      <c r="V179" s="40"/>
      <c r="W179" s="40"/>
      <c r="X179" s="40"/>
      <c r="Y179" s="40"/>
      <c r="Z179" s="40"/>
      <c r="AA179" s="40"/>
    </row>
    <row r="180" ht="22.5" customHeight="1">
      <c r="A180" s="74" t="s">
        <v>116</v>
      </c>
      <c r="B180" s="75" t="s">
        <v>155</v>
      </c>
      <c r="C180" s="60" t="s">
        <v>122</v>
      </c>
      <c r="D180" s="61">
        <v>5.04</v>
      </c>
      <c r="E180" s="62">
        <v>46150.0</v>
      </c>
      <c r="F180" s="68" t="str">
        <f>IFERROR(__xludf.DUMMYFUNCTION("""COMPUTED_VALUE"""),"Pintura")</f>
        <v>Pintura</v>
      </c>
      <c r="G180" s="68" t="str">
        <f>IFERROR(__xludf.DUMMYFUNCTION("""COMPUTED_VALUE"""),"Lijado y/o Masillado")</f>
        <v>Lijado y/o Masillado</v>
      </c>
      <c r="H180" s="63">
        <f>IFERROR(__xludf.DUMMYFUNCTION("(IFERROR(FILTER(BBDD!$J:$J,BBDD!$G:$G=C180,BBDD!$H:$H=F180,BBDD!$I:$I=G180),""NO TIENE PROCESO""))*D180"),3.024)</f>
        <v>3.024</v>
      </c>
      <c r="I180" s="46">
        <f t="shared" si="1"/>
        <v>0</v>
      </c>
      <c r="J180" s="46">
        <f>SUMIFS('👷horas'!$J:$J,'👷horas'!$D:$D,A180,'👷horas'!$E:$E,B180,'👷horas'!$F:$F,F180,'👷horas'!$G:$G,G180)</f>
        <v>0</v>
      </c>
      <c r="K180" s="47">
        <f>SUMIFS('👷horas'!$K:$K,'👷horas'!$D:$D,A180,'👷horas'!$E:$E,B180,'👷horas'!$F:$F,F180,'👷horas'!$G:$G,G180)</f>
        <v>0</v>
      </c>
      <c r="L180" s="64">
        <f t="shared" si="2"/>
        <v>0</v>
      </c>
      <c r="M180" s="77">
        <f t="shared" si="3"/>
        <v>3.024</v>
      </c>
      <c r="N180" s="50">
        <f t="shared" si="4"/>
        <v>1</v>
      </c>
      <c r="O180" s="66">
        <f t="shared" si="5"/>
        <v>0</v>
      </c>
      <c r="P180" s="76" t="s">
        <v>12</v>
      </c>
      <c r="Q180" s="67" t="str">
        <f t="shared" si="6"/>
        <v>En proceso</v>
      </c>
      <c r="R180" s="67" t="str">
        <f>IFERROR(__xludf.DUMMYFUNCTION("SPARKLINE(O180,{""charttype"",""bar"";""max"",1;""color1"",IF(P180=""Terminado"",""#4CAF50"",IF(O180&gt;=0.5,""#FFA500"",""#F44336""))})"),"")</f>
        <v/>
      </c>
      <c r="S180" s="40"/>
      <c r="T180" s="40"/>
      <c r="U180" s="40"/>
      <c r="V180" s="40"/>
      <c r="W180" s="40"/>
      <c r="X180" s="40"/>
      <c r="Y180" s="40"/>
      <c r="Z180" s="40"/>
      <c r="AA180" s="40"/>
    </row>
    <row r="181" ht="22.5" customHeight="1">
      <c r="A181" s="74" t="s">
        <v>116</v>
      </c>
      <c r="B181" s="75" t="s">
        <v>155</v>
      </c>
      <c r="C181" s="60" t="s">
        <v>122</v>
      </c>
      <c r="D181" s="61">
        <v>5.04</v>
      </c>
      <c r="E181" s="62">
        <v>46150.0</v>
      </c>
      <c r="F181" s="68" t="str">
        <f>IFERROR(__xludf.DUMMYFUNCTION("""COMPUTED_VALUE"""),"Pintura")</f>
        <v>Pintura</v>
      </c>
      <c r="G181" s="68" t="str">
        <f>IFERROR(__xludf.DUMMYFUNCTION("""COMPUTED_VALUE"""),"Imprimación/Pintura")</f>
        <v>Imprimación/Pintura</v>
      </c>
      <c r="H181" s="63">
        <f>IFERROR(__xludf.DUMMYFUNCTION("(IFERROR(FILTER(BBDD!$J:$J,BBDD!$G:$G=C181,BBDD!$H:$H=F181,BBDD!$I:$I=G181),""NO TIENE PROCESO""))*D181"),2.52)</f>
        <v>2.52</v>
      </c>
      <c r="I181" s="46">
        <f t="shared" si="1"/>
        <v>0</v>
      </c>
      <c r="J181" s="46">
        <f>SUMIFS('👷horas'!$J:$J,'👷horas'!$D:$D,A181,'👷horas'!$E:$E,B181,'👷horas'!$F:$F,F181,'👷horas'!$G:$G,G181)</f>
        <v>0</v>
      </c>
      <c r="K181" s="47">
        <f>SUMIFS('👷horas'!$K:$K,'👷horas'!$D:$D,A181,'👷horas'!$E:$E,B181,'👷horas'!$F:$F,F181,'👷horas'!$G:$G,G181)</f>
        <v>0</v>
      </c>
      <c r="L181" s="64">
        <f t="shared" si="2"/>
        <v>0</v>
      </c>
      <c r="M181" s="77">
        <f t="shared" si="3"/>
        <v>2.52</v>
      </c>
      <c r="N181" s="50">
        <f t="shared" si="4"/>
        <v>1</v>
      </c>
      <c r="O181" s="66">
        <f t="shared" si="5"/>
        <v>0</v>
      </c>
      <c r="P181" s="76" t="s">
        <v>12</v>
      </c>
      <c r="Q181" s="67" t="str">
        <f t="shared" si="6"/>
        <v>En proceso</v>
      </c>
      <c r="R181" s="67" t="str">
        <f>IFERROR(__xludf.DUMMYFUNCTION("SPARKLINE(O181,{""charttype"",""bar"";""max"",1;""color1"",IF(P181=""Terminado"",""#4CAF50"",IF(O181&gt;=0.5,""#FFA500"",""#F44336""))})"),"")</f>
        <v/>
      </c>
      <c r="S181" s="40"/>
      <c r="T181" s="40"/>
      <c r="U181" s="40"/>
      <c r="V181" s="40"/>
      <c r="W181" s="40"/>
      <c r="X181" s="40"/>
      <c r="Y181" s="40"/>
      <c r="Z181" s="40"/>
      <c r="AA181" s="40"/>
    </row>
    <row r="182" ht="22.5" customHeight="1">
      <c r="A182" s="74" t="s">
        <v>118</v>
      </c>
      <c r="B182" s="75" t="s">
        <v>151</v>
      </c>
      <c r="C182" s="75" t="s">
        <v>176</v>
      </c>
      <c r="D182" s="61">
        <v>7.3</v>
      </c>
      <c r="E182" s="62">
        <v>46150.0</v>
      </c>
      <c r="F182" s="68" t="s">
        <v>13</v>
      </c>
      <c r="G182" s="68" t="s">
        <v>13</v>
      </c>
      <c r="H182" s="63">
        <v>3.5</v>
      </c>
      <c r="I182" s="46">
        <f t="shared" si="1"/>
        <v>0</v>
      </c>
      <c r="J182" s="46">
        <f>SUMIFS('👷horas'!$J:$J,'👷horas'!$D:$D,A182,'👷horas'!$E:$E,B182,'👷horas'!$F:$F,F182,'👷horas'!$G:$G,G182)</f>
        <v>0</v>
      </c>
      <c r="K182" s="47">
        <f>SUMIFS('👷horas'!$K:$K,'👷horas'!$D:$D,A182,'👷horas'!$E:$E,B182,'👷horas'!$F:$F,F182,'👷horas'!$G:$G,G182)</f>
        <v>0</v>
      </c>
      <c r="L182" s="64">
        <f t="shared" si="2"/>
        <v>0</v>
      </c>
      <c r="M182" s="77">
        <f t="shared" si="3"/>
        <v>3.5</v>
      </c>
      <c r="N182" s="50">
        <f t="shared" si="4"/>
        <v>1</v>
      </c>
      <c r="O182" s="66">
        <f t="shared" si="5"/>
        <v>0</v>
      </c>
      <c r="P182" s="76" t="s">
        <v>12</v>
      </c>
      <c r="Q182" s="67" t="str">
        <f t="shared" si="6"/>
        <v>Pendiente</v>
      </c>
      <c r="R182" s="67" t="str">
        <f>IFERROR(__xludf.DUMMYFUNCTION("SPARKLINE(O182,{""charttype"",""bar"";""max"",1;""color1"",IF(P182=""Terminado"",""#4CAF50"",IF(O182&gt;=0.5,""#FFA500"",""#F44336""))})"),"")</f>
        <v/>
      </c>
      <c r="S182" s="40"/>
      <c r="T182" s="40"/>
      <c r="U182" s="40"/>
      <c r="V182" s="40"/>
      <c r="W182" s="40"/>
      <c r="X182" s="40"/>
      <c r="Y182" s="40"/>
      <c r="Z182" s="40"/>
      <c r="AA182" s="40"/>
    </row>
    <row r="183" ht="22.5" customHeight="1">
      <c r="A183" s="74" t="s">
        <v>118</v>
      </c>
      <c r="B183" s="75" t="s">
        <v>151</v>
      </c>
      <c r="C183" s="75" t="s">
        <v>176</v>
      </c>
      <c r="D183" s="61">
        <v>7.3</v>
      </c>
      <c r="E183" s="62">
        <v>46150.0</v>
      </c>
      <c r="F183" s="68" t="s">
        <v>20</v>
      </c>
      <c r="G183" s="68" t="s">
        <v>22</v>
      </c>
      <c r="H183" s="63">
        <v>16.0</v>
      </c>
      <c r="I183" s="46">
        <f t="shared" si="1"/>
        <v>0</v>
      </c>
      <c r="J183" s="46">
        <f>SUMIFS('👷horas'!$J:$J,'👷horas'!$D:$D,A183,'👷horas'!$E:$E,B183,'👷horas'!$F:$F,F183,'👷horas'!$G:$G,G183)</f>
        <v>0</v>
      </c>
      <c r="K183" s="47">
        <f>SUMIFS('👷horas'!$K:$K,'👷horas'!$D:$D,A183,'👷horas'!$E:$E,B183,'👷horas'!$F:$F,F183,'👷horas'!$G:$G,G183)</f>
        <v>0</v>
      </c>
      <c r="L183" s="64">
        <f t="shared" si="2"/>
        <v>0</v>
      </c>
      <c r="M183" s="77">
        <f t="shared" si="3"/>
        <v>16</v>
      </c>
      <c r="N183" s="50">
        <f t="shared" si="4"/>
        <v>1</v>
      </c>
      <c r="O183" s="66">
        <f t="shared" si="5"/>
        <v>0</v>
      </c>
      <c r="P183" s="76" t="s">
        <v>12</v>
      </c>
      <c r="Q183" s="67" t="str">
        <f t="shared" si="6"/>
        <v>Pendiente</v>
      </c>
      <c r="R183" s="67" t="str">
        <f>IFERROR(__xludf.DUMMYFUNCTION("SPARKLINE(O183,{""charttype"",""bar"";""max"",1;""color1"",IF(P183=""Terminado"",""#4CAF50"",IF(O183&gt;=0.5,""#FFA500"",""#F44336""))})"),"")</f>
        <v/>
      </c>
      <c r="S183" s="40"/>
      <c r="T183" s="40"/>
      <c r="U183" s="40"/>
      <c r="V183" s="40"/>
      <c r="W183" s="40"/>
      <c r="X183" s="40"/>
      <c r="Y183" s="40"/>
      <c r="Z183" s="40"/>
      <c r="AA183" s="40"/>
    </row>
    <row r="184" ht="22.5" customHeight="1">
      <c r="A184" s="74" t="s">
        <v>118</v>
      </c>
      <c r="B184" s="75" t="s">
        <v>151</v>
      </c>
      <c r="C184" s="75" t="s">
        <v>176</v>
      </c>
      <c r="D184" s="61">
        <v>7.3</v>
      </c>
      <c r="E184" s="62">
        <v>46150.0</v>
      </c>
      <c r="F184" s="68" t="s">
        <v>20</v>
      </c>
      <c r="G184" s="68" t="s">
        <v>30</v>
      </c>
      <c r="H184" s="63">
        <v>2.0</v>
      </c>
      <c r="I184" s="46">
        <f t="shared" si="1"/>
        <v>0</v>
      </c>
      <c r="J184" s="46">
        <f>SUMIFS('👷horas'!$J:$J,'👷horas'!$D:$D,A184,'👷horas'!$E:$E,B184,'👷horas'!$F:$F,F184,'👷horas'!$G:$G,G184)</f>
        <v>0</v>
      </c>
      <c r="K184" s="47">
        <f>SUMIFS('👷horas'!$K:$K,'👷horas'!$D:$D,A184,'👷horas'!$E:$E,B184,'👷horas'!$F:$F,F184,'👷horas'!$G:$G,G184)</f>
        <v>0</v>
      </c>
      <c r="L184" s="64">
        <f t="shared" si="2"/>
        <v>0</v>
      </c>
      <c r="M184" s="77">
        <f t="shared" si="3"/>
        <v>2</v>
      </c>
      <c r="N184" s="50">
        <f t="shared" si="4"/>
        <v>1</v>
      </c>
      <c r="O184" s="66">
        <f t="shared" si="5"/>
        <v>0</v>
      </c>
      <c r="P184" s="76" t="s">
        <v>12</v>
      </c>
      <c r="Q184" s="67" t="str">
        <f t="shared" si="6"/>
        <v>Pendiente</v>
      </c>
      <c r="R184" s="67" t="str">
        <f>IFERROR(__xludf.DUMMYFUNCTION("SPARKLINE(O184,{""charttype"",""bar"";""max"",1;""color1"",IF(P184=""Terminado"",""#4CAF50"",IF(O184&gt;=0.5,""#FFA500"",""#F44336""))})"),"")</f>
        <v/>
      </c>
      <c r="S184" s="40"/>
      <c r="T184" s="40"/>
      <c r="U184" s="40"/>
      <c r="V184" s="40"/>
      <c r="W184" s="40"/>
      <c r="X184" s="40"/>
      <c r="Y184" s="40"/>
      <c r="Z184" s="40"/>
      <c r="AA184" s="40"/>
    </row>
    <row r="185" ht="22.5" customHeight="1">
      <c r="A185" s="74" t="s">
        <v>118</v>
      </c>
      <c r="B185" s="75" t="s">
        <v>151</v>
      </c>
      <c r="C185" s="75" t="s">
        <v>176</v>
      </c>
      <c r="D185" s="61">
        <v>7.3</v>
      </c>
      <c r="E185" s="62">
        <v>46150.0</v>
      </c>
      <c r="F185" s="68" t="s">
        <v>20</v>
      </c>
      <c r="G185" s="70" t="s">
        <v>35</v>
      </c>
      <c r="H185" s="63">
        <v>1.0</v>
      </c>
      <c r="I185" s="46">
        <f t="shared" si="1"/>
        <v>0</v>
      </c>
      <c r="J185" s="46">
        <f>SUMIFS('👷horas'!$J:$J,'👷horas'!$D:$D,A185,'👷horas'!$E:$E,B185,'👷horas'!$F:$F,F185,'👷horas'!$G:$G,G185)</f>
        <v>0</v>
      </c>
      <c r="K185" s="47">
        <f>SUMIFS('👷horas'!$K:$K,'👷horas'!$D:$D,A185,'👷horas'!$E:$E,B185,'👷horas'!$F:$F,F185,'👷horas'!$G:$G,G185)</f>
        <v>0</v>
      </c>
      <c r="L185" s="64">
        <f t="shared" si="2"/>
        <v>0</v>
      </c>
      <c r="M185" s="77">
        <f t="shared" si="3"/>
        <v>1</v>
      </c>
      <c r="N185" s="50">
        <f t="shared" si="4"/>
        <v>1</v>
      </c>
      <c r="O185" s="66">
        <f t="shared" si="5"/>
        <v>0</v>
      </c>
      <c r="P185" s="76" t="s">
        <v>12</v>
      </c>
      <c r="Q185" s="67" t="str">
        <f t="shared" si="6"/>
        <v>Pendiente</v>
      </c>
      <c r="R185" s="67" t="str">
        <f>IFERROR(__xludf.DUMMYFUNCTION("SPARKLINE(O185,{""charttype"",""bar"";""max"",1;""color1"",IF(P185=""Terminado"",""#4CAF50"",IF(O185&gt;=0.5,""#FFA500"",""#F44336""))})"),"")</f>
        <v/>
      </c>
      <c r="S185" s="40"/>
      <c r="T185" s="40"/>
      <c r="U185" s="40"/>
      <c r="V185" s="40"/>
      <c r="W185" s="40"/>
      <c r="X185" s="40"/>
      <c r="Y185" s="40"/>
      <c r="Z185" s="40"/>
      <c r="AA185" s="40"/>
    </row>
    <row r="186" ht="22.5" customHeight="1">
      <c r="A186" s="74" t="s">
        <v>118</v>
      </c>
      <c r="B186" s="75" t="s">
        <v>151</v>
      </c>
      <c r="C186" s="75" t="s">
        <v>176</v>
      </c>
      <c r="D186" s="61">
        <v>7.3</v>
      </c>
      <c r="E186" s="62">
        <v>46150.0</v>
      </c>
      <c r="F186" s="68" t="s">
        <v>24</v>
      </c>
      <c r="G186" s="68" t="s">
        <v>25</v>
      </c>
      <c r="H186" s="63">
        <v>1.58</v>
      </c>
      <c r="I186" s="46">
        <f t="shared" si="1"/>
        <v>0</v>
      </c>
      <c r="J186" s="46">
        <f>SUMIFS('👷horas'!$J:$J,'👷horas'!$D:$D,A186,'👷horas'!$E:$E,B186,'👷horas'!$F:$F,F186,'👷horas'!$G:$G,G186)</f>
        <v>0</v>
      </c>
      <c r="K186" s="47">
        <f>SUMIFS('👷horas'!$K:$K,'👷horas'!$D:$D,A186,'👷horas'!$E:$E,B186,'👷horas'!$F:$F,F186,'👷horas'!$G:$G,G186)</f>
        <v>0</v>
      </c>
      <c r="L186" s="64">
        <f t="shared" si="2"/>
        <v>0</v>
      </c>
      <c r="M186" s="77">
        <f t="shared" si="3"/>
        <v>1.58</v>
      </c>
      <c r="N186" s="50">
        <f t="shared" si="4"/>
        <v>1</v>
      </c>
      <c r="O186" s="66">
        <f t="shared" si="5"/>
        <v>0</v>
      </c>
      <c r="P186" s="76" t="s">
        <v>12</v>
      </c>
      <c r="Q186" s="67" t="str">
        <f t="shared" si="6"/>
        <v>Pendiente</v>
      </c>
      <c r="R186" s="67" t="str">
        <f>IFERROR(__xludf.DUMMYFUNCTION("SPARKLINE(O186,{""charttype"",""bar"";""max"",1;""color1"",IF(P186=""Terminado"",""#4CAF50"",IF(O186&gt;=0.5,""#FFA500"",""#F44336""))})"),"")</f>
        <v/>
      </c>
      <c r="S186" s="40"/>
      <c r="T186" s="40"/>
      <c r="U186" s="40"/>
      <c r="V186" s="40"/>
      <c r="W186" s="40"/>
      <c r="X186" s="40"/>
      <c r="Y186" s="40"/>
      <c r="Z186" s="40"/>
      <c r="AA186" s="40"/>
    </row>
    <row r="187" ht="22.5" customHeight="1">
      <c r="A187" s="74" t="s">
        <v>118</v>
      </c>
      <c r="B187" s="75" t="s">
        <v>151</v>
      </c>
      <c r="C187" s="75" t="s">
        <v>176</v>
      </c>
      <c r="D187" s="61">
        <v>7.3</v>
      </c>
      <c r="E187" s="62">
        <v>46150.0</v>
      </c>
      <c r="F187" s="68" t="s">
        <v>24</v>
      </c>
      <c r="G187" s="68" t="s">
        <v>31</v>
      </c>
      <c r="H187" s="63">
        <v>2.973</v>
      </c>
      <c r="I187" s="46">
        <f t="shared" si="1"/>
        <v>0</v>
      </c>
      <c r="J187" s="46">
        <f>SUMIFS('👷horas'!$J:$J,'👷horas'!$D:$D,A187,'👷horas'!$E:$E,B187,'👷horas'!$F:$F,F187,'👷horas'!$G:$G,G187)</f>
        <v>0</v>
      </c>
      <c r="K187" s="47">
        <f>SUMIFS('👷horas'!$K:$K,'👷horas'!$D:$D,A187,'👷horas'!$E:$E,B187,'👷horas'!$F:$F,F187,'👷horas'!$G:$G,G187)</f>
        <v>0</v>
      </c>
      <c r="L187" s="64">
        <f t="shared" si="2"/>
        <v>0</v>
      </c>
      <c r="M187" s="77">
        <f t="shared" si="3"/>
        <v>2.973</v>
      </c>
      <c r="N187" s="50">
        <f t="shared" si="4"/>
        <v>1</v>
      </c>
      <c r="O187" s="66">
        <f t="shared" si="5"/>
        <v>0</v>
      </c>
      <c r="P187" s="76" t="s">
        <v>12</v>
      </c>
      <c r="Q187" s="67" t="str">
        <f t="shared" si="6"/>
        <v>Pendiente</v>
      </c>
      <c r="R187" s="67" t="str">
        <f>IFERROR(__xludf.DUMMYFUNCTION("SPARKLINE(O187,{""charttype"",""bar"";""max"",1;""color1"",IF(P187=""Terminado"",""#4CAF50"",IF(O187&gt;=0.5,""#FFA500"",""#F44336""))})"),"")</f>
        <v/>
      </c>
      <c r="S187" s="40"/>
      <c r="T187" s="40"/>
      <c r="U187" s="40"/>
      <c r="V187" s="40"/>
      <c r="W187" s="40"/>
      <c r="X187" s="40"/>
      <c r="Y187" s="40"/>
      <c r="Z187" s="40"/>
      <c r="AA187" s="40"/>
    </row>
    <row r="188" ht="22.5" customHeight="1">
      <c r="A188" s="74" t="s">
        <v>56</v>
      </c>
      <c r="B188" s="75" t="s">
        <v>132</v>
      </c>
      <c r="C188" s="75" t="s">
        <v>178</v>
      </c>
      <c r="D188" s="61">
        <v>1.0</v>
      </c>
      <c r="E188" s="62">
        <v>46150.0</v>
      </c>
      <c r="F188" s="68" t="s">
        <v>20</v>
      </c>
      <c r="G188" s="68" t="s">
        <v>22</v>
      </c>
      <c r="H188" s="71">
        <v>40.0</v>
      </c>
      <c r="I188" s="46">
        <f t="shared" si="1"/>
        <v>33.5</v>
      </c>
      <c r="J188" s="46">
        <f>SUMIFS('👷horas'!$J:$J,'👷horas'!$D:$D,A188,'👷horas'!$E:$E,B188,'👷horas'!$F:$F,F188,'👷horas'!$G:$G,G188)</f>
        <v>32</v>
      </c>
      <c r="K188" s="47">
        <f>SUMIFS('👷horas'!$K:$K,'👷horas'!$D:$D,A188,'👷horas'!$E:$E,B188,'👷horas'!$F:$F,F188,'👷horas'!$G:$G,G188)</f>
        <v>1.5</v>
      </c>
      <c r="L188" s="64">
        <f t="shared" si="2"/>
        <v>33.5</v>
      </c>
      <c r="M188" s="77">
        <f t="shared" si="3"/>
        <v>6.5</v>
      </c>
      <c r="N188" s="50">
        <f t="shared" si="4"/>
        <v>0.1625</v>
      </c>
      <c r="O188" s="66">
        <f t="shared" si="5"/>
        <v>0.8</v>
      </c>
      <c r="P188" s="76" t="s">
        <v>195</v>
      </c>
      <c r="Q188" s="67" t="str">
        <f t="shared" si="6"/>
        <v>En proceso</v>
      </c>
      <c r="R188" s="67" t="str">
        <f>IFERROR(__xludf.DUMMYFUNCTION("SPARKLINE(O188,{""charttype"",""bar"";""max"",1;""color1"",IF(P188=""Terminado"",""#4CAF50"",IF(O188&gt;=0.5,""#FFA500"",""#F44336""))})"),"")</f>
        <v/>
      </c>
      <c r="S188" s="40"/>
      <c r="T188" s="40"/>
      <c r="U188" s="40"/>
      <c r="V188" s="40"/>
      <c r="W188" s="40"/>
      <c r="X188" s="40"/>
      <c r="Y188" s="40"/>
      <c r="Z188" s="40"/>
      <c r="AA188" s="40"/>
    </row>
    <row r="189" ht="22.5" customHeight="1">
      <c r="A189" s="74" t="s">
        <v>56</v>
      </c>
      <c r="B189" s="75" t="s">
        <v>132</v>
      </c>
      <c r="C189" s="75" t="s">
        <v>178</v>
      </c>
      <c r="D189" s="61">
        <v>1.0</v>
      </c>
      <c r="E189" s="62">
        <v>46150.0</v>
      </c>
      <c r="F189" s="70" t="s">
        <v>13</v>
      </c>
      <c r="G189" s="70" t="s">
        <v>13</v>
      </c>
      <c r="H189" s="71">
        <v>9.5</v>
      </c>
      <c r="I189" s="46">
        <f t="shared" si="1"/>
        <v>8.017966667</v>
      </c>
      <c r="J189" s="46">
        <f>SUMIFS('👷horas'!$J:$J,'👷horas'!$D:$D,A189,'👷horas'!$E:$E,B189,'👷horas'!$F:$F,F189,'👷horas'!$G:$G,G189)</f>
        <v>8.017966667</v>
      </c>
      <c r="K189" s="47">
        <f>SUMIFS('👷horas'!$K:$K,'👷horas'!$D:$D,A189,'👷horas'!$E:$E,B189,'👷horas'!$F:$F,F189,'👷horas'!$G:$G,G189)</f>
        <v>0</v>
      </c>
      <c r="L189" s="64">
        <f t="shared" si="2"/>
        <v>8.017966667</v>
      </c>
      <c r="M189" s="77">
        <f t="shared" si="3"/>
        <v>1.482033333</v>
      </c>
      <c r="N189" s="50">
        <f t="shared" si="4"/>
        <v>0.1560035088</v>
      </c>
      <c r="O189" s="66">
        <f t="shared" si="5"/>
        <v>0.8439964912</v>
      </c>
      <c r="P189" s="69" t="s">
        <v>195</v>
      </c>
      <c r="Q189" s="67" t="str">
        <f t="shared" si="6"/>
        <v>En proceso</v>
      </c>
      <c r="R189" s="67" t="str">
        <f>IFERROR(__xludf.DUMMYFUNCTION("SPARKLINE(O189,{""charttype"",""bar"";""max"",1;""color1"",IF(P189=""Terminado"",""#4CAF50"",IF(O189&gt;=0.5,""#FFA500"",""#F44336""))})"),"")</f>
        <v/>
      </c>
      <c r="S189" s="40"/>
      <c r="T189" s="40"/>
      <c r="U189" s="40"/>
      <c r="V189" s="40"/>
      <c r="W189" s="40"/>
      <c r="X189" s="40"/>
      <c r="Y189" s="40"/>
      <c r="Z189" s="40"/>
      <c r="AA189" s="40"/>
    </row>
    <row r="190" ht="22.5" customHeight="1">
      <c r="A190" s="74" t="s">
        <v>56</v>
      </c>
      <c r="B190" s="75" t="s">
        <v>132</v>
      </c>
      <c r="C190" s="75" t="s">
        <v>178</v>
      </c>
      <c r="D190" s="61">
        <v>1.0</v>
      </c>
      <c r="E190" s="62">
        <v>46150.0</v>
      </c>
      <c r="F190" s="68" t="s">
        <v>24</v>
      </c>
      <c r="G190" s="68" t="s">
        <v>25</v>
      </c>
      <c r="H190" s="71">
        <v>14.0</v>
      </c>
      <c r="I190" s="46">
        <f t="shared" si="1"/>
        <v>12.5</v>
      </c>
      <c r="J190" s="46">
        <f>SUMIFS('👷horas'!$J:$J,'👷horas'!$D:$D,A190,'👷horas'!$E:$E,B190,'👷horas'!$F:$F,F190,'👷horas'!$G:$G,G190)</f>
        <v>12.5</v>
      </c>
      <c r="K190" s="47">
        <f>SUMIFS('👷horas'!$K:$K,'👷horas'!$D:$D,A190,'👷horas'!$E:$E,B190,'👷horas'!$F:$F,F190,'👷horas'!$G:$G,G190)</f>
        <v>0</v>
      </c>
      <c r="L190" s="64">
        <f t="shared" si="2"/>
        <v>12.5</v>
      </c>
      <c r="M190" s="77">
        <f t="shared" si="3"/>
        <v>1.5</v>
      </c>
      <c r="N190" s="50">
        <f t="shared" si="4"/>
        <v>0.1071428571</v>
      </c>
      <c r="O190" s="66">
        <f t="shared" si="5"/>
        <v>0.8928571429</v>
      </c>
      <c r="P190" s="69" t="s">
        <v>195</v>
      </c>
      <c r="Q190" s="67" t="str">
        <f t="shared" si="6"/>
        <v>En proceso</v>
      </c>
      <c r="R190" s="67" t="str">
        <f>IFERROR(__xludf.DUMMYFUNCTION("SPARKLINE(O190,{""charttype"",""bar"";""max"",1;""color1"",IF(P190=""Terminado"",""#4CAF50"",IF(O190&gt;=0.5,""#FFA500"",""#F44336""))})"),"")</f>
        <v/>
      </c>
      <c r="S190" s="40"/>
      <c r="T190" s="40"/>
      <c r="U190" s="40"/>
      <c r="V190" s="40"/>
      <c r="W190" s="40"/>
      <c r="X190" s="40"/>
      <c r="Y190" s="40"/>
      <c r="Z190" s="40"/>
      <c r="AA190" s="40"/>
    </row>
    <row r="191" ht="22.5" customHeight="1">
      <c r="A191" s="74" t="s">
        <v>56</v>
      </c>
      <c r="B191" s="75" t="s">
        <v>132</v>
      </c>
      <c r="C191" s="75" t="s">
        <v>178</v>
      </c>
      <c r="D191" s="61">
        <v>1.0</v>
      </c>
      <c r="E191" s="62">
        <v>46150.0</v>
      </c>
      <c r="F191" s="68" t="s">
        <v>24</v>
      </c>
      <c r="G191" s="68" t="s">
        <v>31</v>
      </c>
      <c r="H191" s="71">
        <v>7.0</v>
      </c>
      <c r="I191" s="46">
        <f t="shared" si="1"/>
        <v>7</v>
      </c>
      <c r="J191" s="46">
        <f>SUMIFS('👷horas'!$J:$J,'👷horas'!$D:$D,A191,'👷horas'!$E:$E,B191,'👷horas'!$F:$F,F191,'👷horas'!$G:$G,G191)</f>
        <v>7</v>
      </c>
      <c r="K191" s="47">
        <f>SUMIFS('👷horas'!$K:$K,'👷horas'!$D:$D,A191,'👷horas'!$E:$E,B191,'👷horas'!$F:$F,F191,'👷horas'!$G:$G,G191)</f>
        <v>0</v>
      </c>
      <c r="L191" s="64">
        <f t="shared" si="2"/>
        <v>7</v>
      </c>
      <c r="M191" s="77">
        <f t="shared" si="3"/>
        <v>0</v>
      </c>
      <c r="N191" s="50">
        <f t="shared" si="4"/>
        <v>0</v>
      </c>
      <c r="O191" s="66">
        <f t="shared" si="5"/>
        <v>1</v>
      </c>
      <c r="P191" s="69" t="s">
        <v>195</v>
      </c>
      <c r="Q191" s="67" t="str">
        <f t="shared" si="6"/>
        <v>En proceso</v>
      </c>
      <c r="R191" s="67" t="str">
        <f>IFERROR(__xludf.DUMMYFUNCTION("SPARKLINE(O191,{""charttype"",""bar"";""max"",1;""color1"",IF(P191=""Terminado"",""#4CAF50"",IF(O191&gt;=0.5,""#FFA500"",""#F44336""))})"),"")</f>
        <v/>
      </c>
      <c r="S191" s="40"/>
      <c r="T191" s="40"/>
      <c r="U191" s="40"/>
      <c r="V191" s="40"/>
      <c r="W191" s="40"/>
      <c r="X191" s="40"/>
      <c r="Y191" s="40"/>
      <c r="Z191" s="40"/>
      <c r="AA191" s="40"/>
    </row>
    <row r="192" ht="22.5" customHeight="1">
      <c r="A192" s="59" t="s">
        <v>120</v>
      </c>
      <c r="B192" s="60" t="s">
        <v>56</v>
      </c>
      <c r="C192" s="75" t="s">
        <v>178</v>
      </c>
      <c r="D192" s="61">
        <v>1.0</v>
      </c>
      <c r="E192" s="62">
        <v>46146.0</v>
      </c>
      <c r="F192" s="68" t="s">
        <v>13</v>
      </c>
      <c r="G192" s="68" t="s">
        <v>13</v>
      </c>
      <c r="H192" s="63">
        <v>3.0</v>
      </c>
      <c r="I192" s="46">
        <f t="shared" si="1"/>
        <v>2.616666667</v>
      </c>
      <c r="J192" s="46">
        <f>SUMIFS('👷horas'!$J:$J,'👷horas'!$D:$D,A192,'👷horas'!$E:$E,B192,'👷horas'!$F:$F,F192,'👷horas'!$G:$G,G192)</f>
        <v>2.616666667</v>
      </c>
      <c r="K192" s="47">
        <f>SUMIFS('👷horas'!$K:$K,'👷horas'!$D:$D,A192,'👷horas'!$E:$E,B192,'👷horas'!$F:$F,F192,'👷horas'!$G:$G,G192)</f>
        <v>0</v>
      </c>
      <c r="L192" s="64">
        <f t="shared" si="2"/>
        <v>2.616666667</v>
      </c>
      <c r="M192" s="65">
        <f t="shared" si="3"/>
        <v>0</v>
      </c>
      <c r="N192" s="50">
        <f t="shared" si="4"/>
        <v>0.1277777778</v>
      </c>
      <c r="O192" s="66">
        <f t="shared" si="5"/>
        <v>1</v>
      </c>
      <c r="P192" s="69" t="s">
        <v>193</v>
      </c>
      <c r="Q192" s="67" t="str">
        <f t="shared" si="6"/>
        <v>Terminado</v>
      </c>
      <c r="R192" s="67" t="str">
        <f>IFERROR(__xludf.DUMMYFUNCTION("SPARKLINE(O192,{""charttype"",""bar"";""max"",1;""color1"",IF(P192=""Terminado"",""#4CAF50"",IF(O192&gt;=0.5,""#FFA500"",""#F44336""))})"),"")</f>
        <v/>
      </c>
      <c r="S192" s="40"/>
      <c r="T192" s="40"/>
      <c r="U192" s="40"/>
      <c r="V192" s="40"/>
      <c r="W192" s="40"/>
      <c r="X192" s="40"/>
      <c r="Y192" s="40"/>
      <c r="Z192" s="40"/>
      <c r="AA192" s="40"/>
    </row>
    <row r="193" ht="22.5" customHeight="1">
      <c r="A193" s="59" t="s">
        <v>120</v>
      </c>
      <c r="B193" s="60" t="s">
        <v>56</v>
      </c>
      <c r="C193" s="75" t="s">
        <v>178</v>
      </c>
      <c r="D193" s="61">
        <v>1.0</v>
      </c>
      <c r="E193" s="62">
        <v>46146.0</v>
      </c>
      <c r="F193" s="68" t="s">
        <v>20</v>
      </c>
      <c r="G193" s="68" t="s">
        <v>21</v>
      </c>
      <c r="H193" s="71">
        <v>2.5</v>
      </c>
      <c r="I193" s="46">
        <f t="shared" si="1"/>
        <v>2.5</v>
      </c>
      <c r="J193" s="46">
        <f>SUMIFS('👷horas'!$J:$J,'👷horas'!$D:$D,A193,'👷horas'!$E:$E,B193,'👷horas'!$F:$F,F193,'👷horas'!$G:$G,G193)</f>
        <v>2.5</v>
      </c>
      <c r="K193" s="47">
        <f>SUMIFS('👷horas'!$K:$K,'👷horas'!$D:$D,A193,'👷horas'!$E:$E,B193,'👷horas'!$F:$F,F193,'👷horas'!$G:$G,G193)</f>
        <v>0</v>
      </c>
      <c r="L193" s="64">
        <f t="shared" si="2"/>
        <v>2.5</v>
      </c>
      <c r="M193" s="65">
        <f t="shared" si="3"/>
        <v>0</v>
      </c>
      <c r="N193" s="50">
        <f t="shared" si="4"/>
        <v>0</v>
      </c>
      <c r="O193" s="66">
        <f t="shared" si="5"/>
        <v>1</v>
      </c>
      <c r="P193" s="69" t="s">
        <v>193</v>
      </c>
      <c r="Q193" s="67" t="str">
        <f t="shared" si="6"/>
        <v>Terminado</v>
      </c>
      <c r="R193" s="67" t="str">
        <f>IFERROR(__xludf.DUMMYFUNCTION("SPARKLINE(O193,{""charttype"",""bar"";""max"",1;""color1"",IF(P193=""Terminado"",""#4CAF50"",IF(O193&gt;=0.5,""#FFA500"",""#F44336""))})"),"")</f>
        <v/>
      </c>
      <c r="S193" s="40"/>
      <c r="T193" s="40"/>
      <c r="U193" s="40"/>
      <c r="V193" s="40"/>
      <c r="W193" s="40"/>
      <c r="X193" s="40"/>
      <c r="Y193" s="40"/>
      <c r="Z193" s="40"/>
      <c r="AA193" s="40"/>
    </row>
    <row r="194" ht="22.5" customHeight="1">
      <c r="A194" s="59" t="s">
        <v>120</v>
      </c>
      <c r="B194" s="60" t="s">
        <v>56</v>
      </c>
      <c r="C194" s="75" t="s">
        <v>178</v>
      </c>
      <c r="D194" s="61">
        <v>1.0</v>
      </c>
      <c r="E194" s="62">
        <v>46146.0</v>
      </c>
      <c r="F194" s="68" t="s">
        <v>20</v>
      </c>
      <c r="G194" s="70" t="s">
        <v>22</v>
      </c>
      <c r="H194" s="71">
        <v>5.0</v>
      </c>
      <c r="I194" s="46">
        <f t="shared" si="1"/>
        <v>10</v>
      </c>
      <c r="J194" s="46">
        <f>SUMIFS('👷horas'!$J:$J,'👷horas'!$D:$D,A194,'👷horas'!$E:$E,B194,'👷horas'!$F:$F,F194,'👷horas'!$G:$G,G194)</f>
        <v>10</v>
      </c>
      <c r="K194" s="47">
        <f>SUMIFS('👷horas'!$K:$K,'👷horas'!$D:$D,A194,'👷horas'!$E:$E,B194,'👷horas'!$F:$F,F194,'👷horas'!$G:$G,G194)</f>
        <v>0</v>
      </c>
      <c r="L194" s="64">
        <f t="shared" si="2"/>
        <v>10</v>
      </c>
      <c r="M194" s="65">
        <f t="shared" si="3"/>
        <v>0</v>
      </c>
      <c r="N194" s="50">
        <f t="shared" si="4"/>
        <v>-1</v>
      </c>
      <c r="O194" s="66">
        <f t="shared" si="5"/>
        <v>1</v>
      </c>
      <c r="P194" s="69" t="s">
        <v>193</v>
      </c>
      <c r="Q194" s="67" t="str">
        <f t="shared" si="6"/>
        <v>Terminado</v>
      </c>
      <c r="R194" s="67" t="str">
        <f>IFERROR(__xludf.DUMMYFUNCTION("SPARKLINE(O194,{""charttype"",""bar"";""max"",1;""color1"",IF(P194=""Terminado"",""#4CAF50"",IF(O194&gt;=0.5,""#FFA500"",""#F44336""))})"),"")</f>
        <v/>
      </c>
      <c r="S194" s="40"/>
      <c r="T194" s="40"/>
      <c r="U194" s="40"/>
      <c r="V194" s="40"/>
      <c r="W194" s="40"/>
      <c r="X194" s="40"/>
      <c r="Y194" s="40"/>
      <c r="Z194" s="40"/>
      <c r="AA194" s="40"/>
    </row>
    <row r="195" ht="22.5" customHeight="1">
      <c r="A195" s="59" t="s">
        <v>120</v>
      </c>
      <c r="B195" s="60" t="s">
        <v>56</v>
      </c>
      <c r="C195" s="75" t="s">
        <v>178</v>
      </c>
      <c r="D195" s="61">
        <v>1.0</v>
      </c>
      <c r="E195" s="62">
        <v>46146.0</v>
      </c>
      <c r="F195" s="68" t="s">
        <v>24</v>
      </c>
      <c r="G195" s="68" t="s">
        <v>31</v>
      </c>
      <c r="H195" s="63">
        <v>30.0</v>
      </c>
      <c r="I195" s="46">
        <f t="shared" si="1"/>
        <v>26</v>
      </c>
      <c r="J195" s="46">
        <f>SUMIFS('👷horas'!$J:$J,'👷horas'!$D:$D,A195,'👷horas'!$E:$E,B195,'👷horas'!$F:$F,F195,'👷horas'!$G:$G,G195)</f>
        <v>26</v>
      </c>
      <c r="K195" s="47">
        <f>SUMIFS('👷horas'!$K:$K,'👷horas'!$D:$D,A195,'👷horas'!$E:$E,B195,'👷horas'!$F:$F,F195,'👷horas'!$G:$G,G195)</f>
        <v>0</v>
      </c>
      <c r="L195" s="64">
        <f t="shared" si="2"/>
        <v>26</v>
      </c>
      <c r="M195" s="65">
        <f t="shared" si="3"/>
        <v>0</v>
      </c>
      <c r="N195" s="50">
        <f t="shared" si="4"/>
        <v>0.1333333333</v>
      </c>
      <c r="O195" s="66">
        <f t="shared" si="5"/>
        <v>1</v>
      </c>
      <c r="P195" s="69" t="s">
        <v>193</v>
      </c>
      <c r="Q195" s="67" t="str">
        <f t="shared" si="6"/>
        <v>Terminado</v>
      </c>
      <c r="R195" s="67" t="str">
        <f>IFERROR(__xludf.DUMMYFUNCTION("SPARKLINE(O195,{""charttype"",""bar"";""max"",1;""color1"",IF(P195=""Terminado"",""#4CAF50"",IF(O195&gt;=0.5,""#FFA500"",""#F44336""))})"),"")</f>
        <v/>
      </c>
      <c r="S195" s="40"/>
      <c r="T195" s="40"/>
      <c r="U195" s="40"/>
      <c r="V195" s="40"/>
      <c r="W195" s="40"/>
      <c r="X195" s="40"/>
      <c r="Y195" s="40"/>
      <c r="Z195" s="40"/>
      <c r="AA195" s="40"/>
    </row>
    <row r="196" ht="22.5" customHeight="1">
      <c r="A196" s="59" t="s">
        <v>120</v>
      </c>
      <c r="B196" s="60" t="s">
        <v>56</v>
      </c>
      <c r="C196" s="75" t="s">
        <v>178</v>
      </c>
      <c r="D196" s="61">
        <v>1.0</v>
      </c>
      <c r="E196" s="62">
        <v>46146.0</v>
      </c>
      <c r="F196" s="68" t="s">
        <v>24</v>
      </c>
      <c r="G196" s="68" t="s">
        <v>25</v>
      </c>
      <c r="H196" s="71">
        <v>15.0</v>
      </c>
      <c r="I196" s="46">
        <f t="shared" si="1"/>
        <v>13.5</v>
      </c>
      <c r="J196" s="46">
        <f>SUMIFS('👷horas'!$J:$J,'👷horas'!$D:$D,A196,'👷horas'!$E:$E,B196,'👷horas'!$F:$F,F196,'👷horas'!$G:$G,G196)</f>
        <v>13.5</v>
      </c>
      <c r="K196" s="47">
        <f>SUMIFS('👷horas'!$K:$K,'👷horas'!$D:$D,A196,'👷horas'!$E:$E,B196,'👷horas'!$F:$F,F196,'👷horas'!$G:$G,G196)</f>
        <v>0</v>
      </c>
      <c r="L196" s="64">
        <f t="shared" si="2"/>
        <v>13.5</v>
      </c>
      <c r="M196" s="65">
        <f t="shared" si="3"/>
        <v>0</v>
      </c>
      <c r="N196" s="50">
        <f t="shared" si="4"/>
        <v>0.1</v>
      </c>
      <c r="O196" s="66">
        <f t="shared" si="5"/>
        <v>1</v>
      </c>
      <c r="P196" s="69" t="s">
        <v>193</v>
      </c>
      <c r="Q196" s="67" t="str">
        <f t="shared" si="6"/>
        <v>Terminado</v>
      </c>
      <c r="R196" s="67" t="str">
        <f>IFERROR(__xludf.DUMMYFUNCTION("SPARKLINE(O196,{""charttype"",""bar"";""max"",1;""color1"",IF(P196=""Terminado"",""#4CAF50"",IF(O196&gt;=0.5,""#FFA500"",""#F44336""))})"),"")</f>
        <v/>
      </c>
      <c r="S196" s="40"/>
      <c r="T196" s="40"/>
      <c r="U196" s="40"/>
      <c r="V196" s="40"/>
      <c r="W196" s="40"/>
      <c r="X196" s="40"/>
      <c r="Y196" s="40"/>
      <c r="Z196" s="40"/>
      <c r="AA196" s="40"/>
    </row>
    <row r="197" ht="22.5" customHeight="1">
      <c r="A197" s="59" t="s">
        <v>120</v>
      </c>
      <c r="B197" s="60" t="s">
        <v>157</v>
      </c>
      <c r="C197" s="75" t="s">
        <v>178</v>
      </c>
      <c r="D197" s="61">
        <v>1.0</v>
      </c>
      <c r="E197" s="62">
        <v>46146.0</v>
      </c>
      <c r="F197" s="68" t="s">
        <v>13</v>
      </c>
      <c r="G197" s="68" t="s">
        <v>13</v>
      </c>
      <c r="H197" s="71">
        <v>5.0</v>
      </c>
      <c r="I197" s="46">
        <f t="shared" si="1"/>
        <v>4.183333333</v>
      </c>
      <c r="J197" s="46">
        <f>SUMIFS('👷horas'!$J:$J,'👷horas'!$D:$D,A197,'👷horas'!$E:$E,B197,'👷horas'!$F:$F,F197,'👷horas'!$G:$G,G197)</f>
        <v>4.183333333</v>
      </c>
      <c r="K197" s="47">
        <f>SUMIFS('👷horas'!$K:$K,'👷horas'!$D:$D,A197,'👷horas'!$E:$E,B197,'👷horas'!$F:$F,F197,'👷horas'!$G:$G,G197)</f>
        <v>0</v>
      </c>
      <c r="L197" s="64">
        <f t="shared" si="2"/>
        <v>4.183333333</v>
      </c>
      <c r="M197" s="65">
        <f t="shared" si="3"/>
        <v>0</v>
      </c>
      <c r="N197" s="50">
        <f t="shared" si="4"/>
        <v>0.1633333333</v>
      </c>
      <c r="O197" s="66">
        <f t="shared" si="5"/>
        <v>1</v>
      </c>
      <c r="P197" s="69" t="s">
        <v>193</v>
      </c>
      <c r="Q197" s="67" t="str">
        <f t="shared" si="6"/>
        <v>Terminado</v>
      </c>
      <c r="R197" s="67" t="str">
        <f>IFERROR(__xludf.DUMMYFUNCTION("SPARKLINE(O197,{""charttype"",""bar"";""max"",1;""color1"",IF(P197=""Terminado"",""#4CAF50"",IF(O197&gt;=0.5,""#FFA500"",""#F44336""))})"),"")</f>
        <v/>
      </c>
      <c r="S197" s="40"/>
      <c r="T197" s="40"/>
      <c r="U197" s="40"/>
      <c r="V197" s="40"/>
      <c r="W197" s="40"/>
      <c r="X197" s="40"/>
      <c r="Y197" s="40"/>
      <c r="Z197" s="40"/>
      <c r="AA197" s="40"/>
    </row>
    <row r="198" ht="22.5" customHeight="1">
      <c r="A198" s="59" t="s">
        <v>120</v>
      </c>
      <c r="B198" s="60" t="s">
        <v>157</v>
      </c>
      <c r="C198" s="75" t="s">
        <v>178</v>
      </c>
      <c r="D198" s="61">
        <v>1.0</v>
      </c>
      <c r="E198" s="62">
        <v>46146.0</v>
      </c>
      <c r="F198" s="68" t="s">
        <v>20</v>
      </c>
      <c r="G198" s="68" t="s">
        <v>21</v>
      </c>
      <c r="H198" s="71">
        <v>2.0</v>
      </c>
      <c r="I198" s="46">
        <f t="shared" si="1"/>
        <v>1</v>
      </c>
      <c r="J198" s="46">
        <f>SUMIFS('👷horas'!$J:$J,'👷horas'!$D:$D,A198,'👷horas'!$E:$E,B198,'👷horas'!$F:$F,F198,'👷horas'!$G:$G,G198)</f>
        <v>1</v>
      </c>
      <c r="K198" s="47">
        <f>SUMIFS('👷horas'!$K:$K,'👷horas'!$D:$D,A198,'👷horas'!$E:$E,B198,'👷horas'!$F:$F,F198,'👷horas'!$G:$G,G198)</f>
        <v>0</v>
      </c>
      <c r="L198" s="64">
        <f t="shared" si="2"/>
        <v>1</v>
      </c>
      <c r="M198" s="65">
        <f t="shared" si="3"/>
        <v>0</v>
      </c>
      <c r="N198" s="50">
        <f t="shared" si="4"/>
        <v>0.5</v>
      </c>
      <c r="O198" s="66">
        <f t="shared" si="5"/>
        <v>1</v>
      </c>
      <c r="P198" s="69" t="s">
        <v>193</v>
      </c>
      <c r="Q198" s="67" t="str">
        <f t="shared" si="6"/>
        <v>Terminado</v>
      </c>
      <c r="R198" s="67" t="str">
        <f>IFERROR(__xludf.DUMMYFUNCTION("SPARKLINE(O198,{""charttype"",""bar"";""max"",1;""color1"",IF(P198=""Terminado"",""#4CAF50"",IF(O198&gt;=0.5,""#FFA500"",""#F44336""))})"),"")</f>
        <v/>
      </c>
      <c r="S198" s="40"/>
      <c r="T198" s="40"/>
      <c r="U198" s="40"/>
      <c r="V198" s="40"/>
      <c r="W198" s="40"/>
      <c r="X198" s="40"/>
      <c r="Y198" s="40"/>
      <c r="Z198" s="40"/>
      <c r="AA198" s="40"/>
    </row>
    <row r="199" ht="22.5" customHeight="1">
      <c r="A199" s="59" t="s">
        <v>120</v>
      </c>
      <c r="B199" s="60" t="s">
        <v>157</v>
      </c>
      <c r="C199" s="75" t="s">
        <v>178</v>
      </c>
      <c r="D199" s="61">
        <v>1.0</v>
      </c>
      <c r="E199" s="62">
        <v>46146.0</v>
      </c>
      <c r="F199" s="68" t="s">
        <v>20</v>
      </c>
      <c r="G199" s="70" t="s">
        <v>22</v>
      </c>
      <c r="H199" s="71">
        <v>9.0</v>
      </c>
      <c r="I199" s="46">
        <f t="shared" si="1"/>
        <v>22.25</v>
      </c>
      <c r="J199" s="46">
        <f>SUMIFS('👷horas'!$J:$J,'👷horas'!$D:$D,A199,'👷horas'!$E:$E,B199,'👷horas'!$F:$F,F199,'👷horas'!$G:$G,G199)</f>
        <v>22.25</v>
      </c>
      <c r="K199" s="47">
        <f>SUMIFS('👷horas'!$K:$K,'👷horas'!$D:$D,A199,'👷horas'!$E:$E,B199,'👷horas'!$F:$F,F199,'👷horas'!$G:$G,G199)</f>
        <v>0</v>
      </c>
      <c r="L199" s="64">
        <f t="shared" si="2"/>
        <v>22.25</v>
      </c>
      <c r="M199" s="65">
        <f t="shared" si="3"/>
        <v>0</v>
      </c>
      <c r="N199" s="50">
        <f t="shared" si="4"/>
        <v>-1.472222222</v>
      </c>
      <c r="O199" s="66">
        <f t="shared" si="5"/>
        <v>1</v>
      </c>
      <c r="P199" s="69" t="s">
        <v>193</v>
      </c>
      <c r="Q199" s="67" t="str">
        <f t="shared" si="6"/>
        <v>Terminado</v>
      </c>
      <c r="R199" s="67" t="str">
        <f>IFERROR(__xludf.DUMMYFUNCTION("SPARKLINE(O199,{""charttype"",""bar"";""max"",1;""color1"",IF(P199=""Terminado"",""#4CAF50"",IF(O199&gt;=0.5,""#FFA500"",""#F44336""))})"),"")</f>
        <v/>
      </c>
      <c r="S199" s="40"/>
      <c r="T199" s="40"/>
      <c r="U199" s="40"/>
      <c r="V199" s="40"/>
      <c r="W199" s="40"/>
      <c r="X199" s="40"/>
      <c r="Y199" s="40"/>
      <c r="Z199" s="40"/>
      <c r="AA199" s="40"/>
    </row>
    <row r="200" ht="22.5" customHeight="1">
      <c r="A200" s="59" t="s">
        <v>120</v>
      </c>
      <c r="B200" s="60" t="s">
        <v>157</v>
      </c>
      <c r="C200" s="75" t="s">
        <v>178</v>
      </c>
      <c r="D200" s="61">
        <v>1.0</v>
      </c>
      <c r="E200" s="62">
        <v>46146.0</v>
      </c>
      <c r="F200" s="68" t="s">
        <v>24</v>
      </c>
      <c r="G200" s="68" t="s">
        <v>31</v>
      </c>
      <c r="H200" s="71">
        <v>3.0</v>
      </c>
      <c r="I200" s="46">
        <f t="shared" si="1"/>
        <v>5</v>
      </c>
      <c r="J200" s="46">
        <f>SUMIFS('👷horas'!$J:$J,'👷horas'!$D:$D,A200,'👷horas'!$E:$E,B200,'👷horas'!$F:$F,F200,'👷horas'!$G:$G,G200)</f>
        <v>5</v>
      </c>
      <c r="K200" s="47">
        <f>SUMIFS('👷horas'!$K:$K,'👷horas'!$D:$D,A200,'👷horas'!$E:$E,B200,'👷horas'!$F:$F,F200,'👷horas'!$G:$G,G200)</f>
        <v>0</v>
      </c>
      <c r="L200" s="64">
        <f t="shared" si="2"/>
        <v>5</v>
      </c>
      <c r="M200" s="65">
        <f t="shared" si="3"/>
        <v>0</v>
      </c>
      <c r="N200" s="50">
        <f t="shared" si="4"/>
        <v>-0.6666666667</v>
      </c>
      <c r="O200" s="66">
        <f t="shared" si="5"/>
        <v>1</v>
      </c>
      <c r="P200" s="69" t="s">
        <v>193</v>
      </c>
      <c r="Q200" s="67" t="str">
        <f t="shared" si="6"/>
        <v>Terminado</v>
      </c>
      <c r="R200" s="67" t="str">
        <f>IFERROR(__xludf.DUMMYFUNCTION("SPARKLINE(O200,{""charttype"",""bar"";""max"",1;""color1"",IF(P200=""Terminado"",""#4CAF50"",IF(O200&gt;=0.5,""#FFA500"",""#F44336""))})"),"")</f>
        <v/>
      </c>
      <c r="S200" s="40"/>
      <c r="T200" s="40"/>
      <c r="U200" s="40"/>
      <c r="V200" s="40"/>
      <c r="W200" s="40"/>
      <c r="X200" s="40"/>
      <c r="Y200" s="40"/>
      <c r="Z200" s="40"/>
      <c r="AA200" s="40"/>
    </row>
    <row r="201" ht="22.5" customHeight="1">
      <c r="A201" s="59" t="s">
        <v>120</v>
      </c>
      <c r="B201" s="60" t="s">
        <v>157</v>
      </c>
      <c r="C201" s="75" t="s">
        <v>178</v>
      </c>
      <c r="D201" s="61">
        <v>1.0</v>
      </c>
      <c r="E201" s="62">
        <v>46146.0</v>
      </c>
      <c r="F201" s="68" t="s">
        <v>24</v>
      </c>
      <c r="G201" s="68" t="s">
        <v>25</v>
      </c>
      <c r="H201" s="71">
        <v>6.0</v>
      </c>
      <c r="I201" s="46">
        <f t="shared" si="1"/>
        <v>19.66</v>
      </c>
      <c r="J201" s="46">
        <f>SUMIFS('👷horas'!$J:$J,'👷horas'!$D:$D,A201,'👷horas'!$E:$E,B201,'👷horas'!$F:$F,F201,'👷horas'!$G:$G,G201)</f>
        <v>19.66</v>
      </c>
      <c r="K201" s="47">
        <f>SUMIFS('👷horas'!$K:$K,'👷horas'!$D:$D,A201,'👷horas'!$E:$E,B201,'👷horas'!$F:$F,F201,'👷horas'!$G:$G,G201)</f>
        <v>0</v>
      </c>
      <c r="L201" s="64">
        <f t="shared" si="2"/>
        <v>19.66</v>
      </c>
      <c r="M201" s="65">
        <f t="shared" si="3"/>
        <v>0</v>
      </c>
      <c r="N201" s="50">
        <f t="shared" si="4"/>
        <v>-2.276666667</v>
      </c>
      <c r="O201" s="66">
        <f t="shared" si="5"/>
        <v>1</v>
      </c>
      <c r="P201" s="69" t="s">
        <v>193</v>
      </c>
      <c r="Q201" s="67" t="str">
        <f t="shared" si="6"/>
        <v>Terminado</v>
      </c>
      <c r="R201" s="67" t="str">
        <f>IFERROR(__xludf.DUMMYFUNCTION("SPARKLINE(O201,{""charttype"",""bar"";""max"",1;""color1"",IF(P201=""Terminado"",""#4CAF50"",IF(O201&gt;=0.5,""#FFA500"",""#F44336""))})"),"")</f>
        <v/>
      </c>
      <c r="S201" s="40"/>
      <c r="T201" s="40"/>
      <c r="U201" s="40"/>
      <c r="V201" s="40"/>
      <c r="W201" s="40"/>
      <c r="X201" s="40"/>
      <c r="Y201" s="40"/>
      <c r="Z201" s="40"/>
      <c r="AA201" s="40"/>
    </row>
    <row r="202" ht="22.5" customHeight="1">
      <c r="A202" s="59" t="s">
        <v>120</v>
      </c>
      <c r="B202" s="60" t="s">
        <v>157</v>
      </c>
      <c r="C202" s="75" t="s">
        <v>178</v>
      </c>
      <c r="D202" s="61">
        <v>1.0</v>
      </c>
      <c r="E202" s="62">
        <v>46146.0</v>
      </c>
      <c r="F202" s="68" t="str">
        <f>IFERROR(__xludf.DUMMYFUNCTION("FILTER(BBDD!H:H,BBDD!G:G=C202)"),"Fabricación")</f>
        <v>Fabricación</v>
      </c>
      <c r="G202" s="70" t="s">
        <v>30</v>
      </c>
      <c r="H202" s="71">
        <v>1.5</v>
      </c>
      <c r="I202" s="46">
        <f t="shared" si="1"/>
        <v>0</v>
      </c>
      <c r="J202" s="46">
        <f>SUMIFS('👷horas'!$J:$J,'👷horas'!$D:$D,A202,'👷horas'!$E:$E,B202,'👷horas'!$F:$F,F202,'👷horas'!$G:$G,G202)</f>
        <v>0</v>
      </c>
      <c r="K202" s="47">
        <f>SUMIFS('👷horas'!$K:$K,'👷horas'!$D:$D,A202,'👷horas'!$E:$E,B202,'👷horas'!$F:$F,F202,'👷horas'!$G:$G,G202)</f>
        <v>0</v>
      </c>
      <c r="L202" s="64">
        <f t="shared" si="2"/>
        <v>0</v>
      </c>
      <c r="M202" s="65">
        <f t="shared" si="3"/>
        <v>0</v>
      </c>
      <c r="N202" s="50">
        <f t="shared" si="4"/>
        <v>1</v>
      </c>
      <c r="O202" s="66">
        <f t="shared" si="5"/>
        <v>1</v>
      </c>
      <c r="P202" s="69" t="s">
        <v>193</v>
      </c>
      <c r="Q202" s="67" t="str">
        <f t="shared" si="6"/>
        <v>Terminado</v>
      </c>
      <c r="R202" s="67" t="str">
        <f>IFERROR(__xludf.DUMMYFUNCTION("SPARKLINE(O202,{""charttype"",""bar"";""max"",1;""color1"",IF(P202=""Terminado"",""#4CAF50"",IF(O202&gt;=0.5,""#FFA500"",""#F44336""))})"),"")</f>
        <v/>
      </c>
      <c r="S202" s="40"/>
      <c r="T202" s="40"/>
      <c r="U202" s="40"/>
      <c r="V202" s="40"/>
      <c r="W202" s="40"/>
      <c r="X202" s="40"/>
      <c r="Y202" s="40"/>
      <c r="Z202" s="40"/>
      <c r="AA202" s="40"/>
    </row>
    <row r="203" ht="22.5" customHeight="1">
      <c r="A203" s="59" t="s">
        <v>120</v>
      </c>
      <c r="B203" s="60" t="s">
        <v>157</v>
      </c>
      <c r="C203" s="75" t="s">
        <v>178</v>
      </c>
      <c r="D203" s="61">
        <v>1.0</v>
      </c>
      <c r="E203" s="62">
        <v>46146.0</v>
      </c>
      <c r="F203" s="68" t="str">
        <f>IFERROR(__xludf.DUMMYFUNCTION("FILTER(BBDD!H:H,BBDD!G:G=C203)"),"Fabricación")</f>
        <v>Fabricación</v>
      </c>
      <c r="G203" s="70" t="s">
        <v>78</v>
      </c>
      <c r="H203" s="71">
        <v>0.5</v>
      </c>
      <c r="I203" s="46">
        <f t="shared" si="1"/>
        <v>0</v>
      </c>
      <c r="J203" s="46">
        <f>SUMIFS('👷horas'!$J:$J,'👷horas'!$D:$D,A203,'👷horas'!$E:$E,B203,'👷horas'!$F:$F,F203,'👷horas'!$G:$G,G203)</f>
        <v>0</v>
      </c>
      <c r="K203" s="47">
        <f>SUMIFS('👷horas'!$K:$K,'👷horas'!$D:$D,A203,'👷horas'!$E:$E,B203,'👷horas'!$F:$F,F203,'👷horas'!$G:$G,G203)</f>
        <v>0</v>
      </c>
      <c r="L203" s="64">
        <f t="shared" si="2"/>
        <v>0</v>
      </c>
      <c r="M203" s="65">
        <f t="shared" si="3"/>
        <v>0</v>
      </c>
      <c r="N203" s="50">
        <f t="shared" si="4"/>
        <v>1</v>
      </c>
      <c r="O203" s="66">
        <f t="shared" si="5"/>
        <v>1</v>
      </c>
      <c r="P203" s="69" t="s">
        <v>193</v>
      </c>
      <c r="Q203" s="67" t="str">
        <f t="shared" si="6"/>
        <v>Terminado</v>
      </c>
      <c r="R203" s="67" t="str">
        <f>IFERROR(__xludf.DUMMYFUNCTION("SPARKLINE(O203,{""charttype"",""bar"";""max"",1;""color1"",IF(P203=""Terminado"",""#4CAF50"",IF(O203&gt;=0.5,""#FFA500"",""#F44336""))})"),"")</f>
        <v/>
      </c>
      <c r="S203" s="40"/>
      <c r="T203" s="40"/>
      <c r="U203" s="40"/>
      <c r="V203" s="40"/>
      <c r="W203" s="40"/>
      <c r="X203" s="40"/>
      <c r="Y203" s="40"/>
      <c r="Z203" s="40"/>
      <c r="AA203" s="40"/>
    </row>
    <row r="204" ht="22.5" customHeight="1">
      <c r="A204" s="59" t="s">
        <v>120</v>
      </c>
      <c r="B204" s="60" t="s">
        <v>158</v>
      </c>
      <c r="C204" s="75" t="s">
        <v>178</v>
      </c>
      <c r="D204" s="61">
        <v>1.0</v>
      </c>
      <c r="E204" s="62">
        <v>46146.0</v>
      </c>
      <c r="F204" s="78" t="s">
        <v>20</v>
      </c>
      <c r="G204" s="78" t="s">
        <v>22</v>
      </c>
      <c r="H204" s="71">
        <v>7.0</v>
      </c>
      <c r="I204" s="46">
        <f t="shared" si="1"/>
        <v>7.25</v>
      </c>
      <c r="J204" s="46">
        <f>SUMIFS('👷horas'!$J:$J,'👷horas'!$D:$D,A204,'👷horas'!$E:$E,B204,'👷horas'!$F:$F,F204,'👷horas'!$G:$G,G204)</f>
        <v>7.25</v>
      </c>
      <c r="K204" s="47">
        <f>SUMIFS('👷horas'!$K:$K,'👷horas'!$D:$D,A204,'👷horas'!$E:$E,B204,'👷horas'!$F:$F,F204,'👷horas'!$G:$G,G204)</f>
        <v>0</v>
      </c>
      <c r="L204" s="64">
        <f t="shared" si="2"/>
        <v>7.25</v>
      </c>
      <c r="M204" s="65">
        <f t="shared" si="3"/>
        <v>0</v>
      </c>
      <c r="N204" s="50">
        <f t="shared" si="4"/>
        <v>-0.03571428571</v>
      </c>
      <c r="O204" s="66">
        <f t="shared" si="5"/>
        <v>1</v>
      </c>
      <c r="P204" s="69" t="s">
        <v>193</v>
      </c>
      <c r="Q204" s="67" t="str">
        <f t="shared" si="6"/>
        <v>Terminado</v>
      </c>
      <c r="R204" s="67" t="str">
        <f>IFERROR(__xludf.DUMMYFUNCTION("SPARKLINE(O204,{""charttype"",""bar"";""max"",1;""color1"",IF(P204=""Terminado"",""#4CAF50"",IF(O204&gt;=0.5,""#FFA500"",""#F44336""))})"),"")</f>
        <v/>
      </c>
      <c r="S204" s="40"/>
      <c r="T204" s="40"/>
      <c r="U204" s="40"/>
      <c r="V204" s="40"/>
      <c r="W204" s="40"/>
      <c r="X204" s="40"/>
      <c r="Y204" s="40"/>
      <c r="Z204" s="40"/>
      <c r="AA204" s="40"/>
    </row>
    <row r="205" ht="22.5" customHeight="1">
      <c r="A205" s="59" t="s">
        <v>120</v>
      </c>
      <c r="B205" s="60" t="s">
        <v>158</v>
      </c>
      <c r="C205" s="75" t="s">
        <v>178</v>
      </c>
      <c r="D205" s="61">
        <v>1.0</v>
      </c>
      <c r="E205" s="62">
        <v>46146.0</v>
      </c>
      <c r="F205" s="78" t="s">
        <v>20</v>
      </c>
      <c r="G205" s="14" t="s">
        <v>35</v>
      </c>
      <c r="H205" s="71">
        <v>2.0</v>
      </c>
      <c r="I205" s="46">
        <f t="shared" si="1"/>
        <v>1</v>
      </c>
      <c r="J205" s="46">
        <f>SUMIFS('👷horas'!$J:$J,'👷horas'!$D:$D,A205,'👷horas'!$E:$E,B205,'👷horas'!$F:$F,F205,'👷horas'!$G:$G,G205)</f>
        <v>1</v>
      </c>
      <c r="K205" s="47">
        <f>SUMIFS('👷horas'!$K:$K,'👷horas'!$D:$D,A205,'👷horas'!$E:$E,B205,'👷horas'!$F:$F,F205,'👷horas'!$G:$G,G205)</f>
        <v>0</v>
      </c>
      <c r="L205" s="64">
        <f t="shared" si="2"/>
        <v>1</v>
      </c>
      <c r="M205" s="65">
        <f t="shared" si="3"/>
        <v>0</v>
      </c>
      <c r="N205" s="50">
        <f t="shared" si="4"/>
        <v>0.5</v>
      </c>
      <c r="O205" s="66">
        <f t="shared" si="5"/>
        <v>1</v>
      </c>
      <c r="P205" s="69" t="s">
        <v>193</v>
      </c>
      <c r="Q205" s="67" t="str">
        <f t="shared" si="6"/>
        <v>Terminado</v>
      </c>
      <c r="R205" s="67" t="str">
        <f>IFERROR(__xludf.DUMMYFUNCTION("SPARKLINE(O205,{""charttype"",""bar"";""max"",1;""color1"",IF(P205=""Terminado"",""#4CAF50"",IF(O205&gt;=0.5,""#FFA500"",""#F44336""))})"),"")</f>
        <v/>
      </c>
      <c r="S205" s="40"/>
      <c r="T205" s="40"/>
      <c r="U205" s="40"/>
      <c r="V205" s="40"/>
      <c r="W205" s="40"/>
      <c r="X205" s="40"/>
      <c r="Y205" s="40"/>
      <c r="Z205" s="40"/>
      <c r="AA205" s="40"/>
    </row>
    <row r="206" ht="22.5" customHeight="1">
      <c r="A206" s="74" t="s">
        <v>123</v>
      </c>
      <c r="B206" s="75" t="s">
        <v>28</v>
      </c>
      <c r="C206" s="41" t="s">
        <v>67</v>
      </c>
      <c r="D206" s="61">
        <v>9.85</v>
      </c>
      <c r="E206" s="62">
        <v>46164.0</v>
      </c>
      <c r="F206" s="68" t="str">
        <f>IFERROR(__xludf.DUMMYFUNCTION("FILTER(BBDD!H:H,BBDD!G:G=C206)"),"CNC")</f>
        <v>CNC</v>
      </c>
      <c r="G206" s="68" t="str">
        <f>IFERROR(__xludf.DUMMYFUNCTION("FILTER(BBDD!I:I,BBDD!G:G=C206)"),"CNC")</f>
        <v>CNC</v>
      </c>
      <c r="H206" s="63">
        <f>IFERROR(__xludf.DUMMYFUNCTION("(IFERROR(FILTER(BBDD!$J:$J,BBDD!$G:$G=C206,BBDD!$H:$H=F206,BBDD!$I:$I=G206),""NO TIENE PROCESO""))*D206"),1.97)</f>
        <v>1.97</v>
      </c>
      <c r="I206" s="46">
        <f t="shared" si="1"/>
        <v>0.84375</v>
      </c>
      <c r="J206" s="46">
        <f>SUMIFS('👷horas'!$J:$J,'👷horas'!$D:$D,A206,'👷horas'!$E:$E,B206,'👷horas'!$F:$F,F206,'👷horas'!$G:$G,G206)</f>
        <v>0.84375</v>
      </c>
      <c r="K206" s="47">
        <f>SUMIFS('👷horas'!$K:$K,'👷horas'!$D:$D,A206,'👷horas'!$E:$E,B206,'👷horas'!$F:$F,F206,'👷horas'!$G:$G,G206)</f>
        <v>0</v>
      </c>
      <c r="L206" s="64">
        <f t="shared" si="2"/>
        <v>0.08565989848</v>
      </c>
      <c r="M206" s="65">
        <f t="shared" si="3"/>
        <v>0</v>
      </c>
      <c r="N206" s="50">
        <f t="shared" si="4"/>
        <v>0.5717005076</v>
      </c>
      <c r="O206" s="66">
        <f t="shared" si="5"/>
        <v>1</v>
      </c>
      <c r="P206" s="69" t="s">
        <v>193</v>
      </c>
      <c r="Q206" s="67" t="str">
        <f t="shared" si="6"/>
        <v>En proceso</v>
      </c>
      <c r="R206" s="67" t="str">
        <f>IFERROR(__xludf.DUMMYFUNCTION("SPARKLINE(O206,{""charttype"",""bar"";""max"",1;""color1"",IF(P206=""Terminado"",""#4CAF50"",IF(O206&gt;=0.5,""#FFA500"",""#F44336""))})"),"")</f>
        <v/>
      </c>
      <c r="S206" s="40"/>
      <c r="T206" s="40"/>
      <c r="U206" s="40"/>
      <c r="V206" s="40"/>
      <c r="W206" s="40"/>
      <c r="X206" s="40"/>
      <c r="Y206" s="40"/>
      <c r="Z206" s="40"/>
      <c r="AA206" s="40"/>
    </row>
    <row r="207" ht="22.5" customHeight="1">
      <c r="A207" s="74" t="s">
        <v>123</v>
      </c>
      <c r="B207" s="75" t="s">
        <v>28</v>
      </c>
      <c r="C207" s="41" t="s">
        <v>67</v>
      </c>
      <c r="D207" s="61">
        <v>9.85</v>
      </c>
      <c r="E207" s="62">
        <v>46164.0</v>
      </c>
      <c r="F207" s="68" t="str">
        <f>IFERROR(__xludf.DUMMYFUNCTION("""COMPUTED_VALUE"""),"Fabricación")</f>
        <v>Fabricación</v>
      </c>
      <c r="G207" s="68" t="str">
        <f>IFERROR(__xludf.DUMMYFUNCTION("""COMPUTED_VALUE"""),"Ensamblaje")</f>
        <v>Ensamblaje</v>
      </c>
      <c r="H207" s="63">
        <f>IFERROR(__xludf.DUMMYFUNCTION("(IFERROR(FILTER(BBDD!$J:$J,BBDD!$G:$G=C207,BBDD!$H:$H=F207,BBDD!$I:$I=G207),""NO TIENE PROCESO""))*D207"),7.7815)</f>
        <v>7.7815</v>
      </c>
      <c r="I207" s="46">
        <f t="shared" si="1"/>
        <v>5.17</v>
      </c>
      <c r="J207" s="46">
        <f>SUMIFS('👷horas'!$J:$J,'👷horas'!$D:$D,A207,'👷horas'!$E:$E,B207,'👷horas'!$F:$F,F207,'👷horas'!$G:$G,G207)</f>
        <v>5.17</v>
      </c>
      <c r="K207" s="47">
        <f>SUMIFS('👷horas'!$K:$K,'👷horas'!$D:$D,A207,'👷horas'!$E:$E,B207,'👷horas'!$F:$F,F207,'👷horas'!$G:$G,G207)</f>
        <v>0</v>
      </c>
      <c r="L207" s="64">
        <f t="shared" si="2"/>
        <v>0.5248730964</v>
      </c>
      <c r="M207" s="65">
        <f t="shared" si="3"/>
        <v>0</v>
      </c>
      <c r="N207" s="50">
        <f t="shared" si="4"/>
        <v>0.3356036754</v>
      </c>
      <c r="O207" s="66">
        <f t="shared" si="5"/>
        <v>1</v>
      </c>
      <c r="P207" s="69" t="s">
        <v>193</v>
      </c>
      <c r="Q207" s="67" t="str">
        <f t="shared" si="6"/>
        <v>En proceso</v>
      </c>
      <c r="R207" s="67" t="str">
        <f>IFERROR(__xludf.DUMMYFUNCTION("SPARKLINE(O207,{""charttype"",""bar"";""max"",1;""color1"",IF(P207=""Terminado"",""#4CAF50"",IF(O207&gt;=0.5,""#FFA500"",""#F44336""))})"),"")</f>
        <v/>
      </c>
      <c r="S207" s="40"/>
      <c r="T207" s="40"/>
      <c r="U207" s="40"/>
      <c r="V207" s="40"/>
      <c r="W207" s="40"/>
      <c r="X207" s="40"/>
      <c r="Y207" s="40"/>
      <c r="Z207" s="40"/>
      <c r="AA207" s="40"/>
    </row>
    <row r="208" ht="22.5" customHeight="1">
      <c r="A208" s="74" t="s">
        <v>123</v>
      </c>
      <c r="B208" s="75" t="s">
        <v>28</v>
      </c>
      <c r="C208" s="41" t="s">
        <v>67</v>
      </c>
      <c r="D208" s="61">
        <v>9.85</v>
      </c>
      <c r="E208" s="62">
        <v>46164.0</v>
      </c>
      <c r="F208" s="68" t="str">
        <f>IFERROR(__xludf.DUMMYFUNCTION("""COMPUTED_VALUE"""),"Fabricación")</f>
        <v>Fabricación</v>
      </c>
      <c r="G208" s="68" t="str">
        <f>IFERROR(__xludf.DUMMYFUNCTION("""COMPUTED_VALUE"""),"Colocación de perfiles")</f>
        <v>Colocación de perfiles</v>
      </c>
      <c r="H208" s="63">
        <f>IFERROR(__xludf.DUMMYFUNCTION("(IFERROR(FILTER(BBDD!$J:$J,BBDD!$G:$G=C208,BBDD!$H:$H=F208,BBDD!$I:$I=G208),""NO TIENE PROCESO""))*D208"),1.97)</f>
        <v>1.97</v>
      </c>
      <c r="I208" s="46">
        <f t="shared" si="1"/>
        <v>0</v>
      </c>
      <c r="J208" s="46">
        <f>SUMIFS('👷horas'!$J:$J,'👷horas'!$D:$D,A208,'👷horas'!$E:$E,B208,'👷horas'!$F:$F,F208,'👷horas'!$G:$G,G208)</f>
        <v>0</v>
      </c>
      <c r="K208" s="47">
        <f>SUMIFS('👷horas'!$K:$K,'👷horas'!$D:$D,A208,'👷horas'!$E:$E,B208,'👷horas'!$F:$F,F208,'👷horas'!$G:$G,G208)</f>
        <v>0</v>
      </c>
      <c r="L208" s="64">
        <f t="shared" si="2"/>
        <v>0</v>
      </c>
      <c r="M208" s="77">
        <f t="shared" si="3"/>
        <v>1.97</v>
      </c>
      <c r="N208" s="50">
        <f t="shared" si="4"/>
        <v>1</v>
      </c>
      <c r="O208" s="66">
        <f t="shared" si="5"/>
        <v>0</v>
      </c>
      <c r="P208" s="76" t="s">
        <v>12</v>
      </c>
      <c r="Q208" s="67" t="str">
        <f t="shared" si="6"/>
        <v>En proceso</v>
      </c>
      <c r="R208" s="67" t="str">
        <f>IFERROR(__xludf.DUMMYFUNCTION("SPARKLINE(O208,{""charttype"",""bar"";""max"",1;""color1"",IF(P208=""Terminado"",""#4CAF50"",IF(O208&gt;=0.5,""#FFA500"",""#F44336""))})"),"")</f>
        <v/>
      </c>
      <c r="S208" s="40"/>
      <c r="T208" s="40"/>
      <c r="U208" s="40"/>
      <c r="V208" s="40"/>
      <c r="W208" s="40"/>
      <c r="X208" s="40"/>
      <c r="Y208" s="40"/>
      <c r="Z208" s="40"/>
      <c r="AA208" s="40"/>
    </row>
    <row r="209" ht="22.5" customHeight="1">
      <c r="A209" s="74" t="s">
        <v>123</v>
      </c>
      <c r="B209" s="75" t="s">
        <v>28</v>
      </c>
      <c r="C209" s="41" t="s">
        <v>67</v>
      </c>
      <c r="D209" s="61">
        <v>9.85</v>
      </c>
      <c r="E209" s="62">
        <v>46164.0</v>
      </c>
      <c r="F209" s="68" t="str">
        <f>IFERROR(__xludf.DUMMYFUNCTION("""COMPUTED_VALUE"""),"Fabricación")</f>
        <v>Fabricación</v>
      </c>
      <c r="G209" s="68" t="str">
        <f>IFERROR(__xludf.DUMMYFUNCTION("""COMPUTED_VALUE"""),"Embalaje/carga/descarga material")</f>
        <v>Embalaje/carga/descarga material</v>
      </c>
      <c r="H209" s="63">
        <f>IFERROR(__xludf.DUMMYFUNCTION("(IFERROR(FILTER(BBDD!$J:$J,BBDD!$G:$G=C209,BBDD!$H:$H=F209,BBDD!$I:$I=G209),""NO TIENE PROCESO""))*D209"),1.4774999999999998)</f>
        <v>1.4775</v>
      </c>
      <c r="I209" s="46">
        <f t="shared" si="1"/>
        <v>0</v>
      </c>
      <c r="J209" s="46">
        <f>SUMIFS('👷horas'!$J:$J,'👷horas'!$D:$D,A209,'👷horas'!$E:$E,B209,'👷horas'!$F:$F,F209,'👷horas'!$G:$G,G209)</f>
        <v>0</v>
      </c>
      <c r="K209" s="47">
        <f>SUMIFS('👷horas'!$K:$K,'👷horas'!$D:$D,A209,'👷horas'!$E:$E,B209,'👷horas'!$F:$F,F209,'👷horas'!$G:$G,G209)</f>
        <v>0</v>
      </c>
      <c r="L209" s="64">
        <f t="shared" si="2"/>
        <v>0</v>
      </c>
      <c r="M209" s="77">
        <f t="shared" si="3"/>
        <v>1.4775</v>
      </c>
      <c r="N209" s="50">
        <f t="shared" si="4"/>
        <v>1</v>
      </c>
      <c r="O209" s="66">
        <f t="shared" si="5"/>
        <v>0</v>
      </c>
      <c r="P209" s="76" t="s">
        <v>12</v>
      </c>
      <c r="Q209" s="67" t="str">
        <f t="shared" si="6"/>
        <v>En proceso</v>
      </c>
      <c r="R209" s="67" t="str">
        <f>IFERROR(__xludf.DUMMYFUNCTION("SPARKLINE(O209,{""charttype"",""bar"";""max"",1;""color1"",IF(P209=""Terminado"",""#4CAF50"",IF(O209&gt;=0.5,""#FFA500"",""#F44336""))})"),"")</f>
        <v/>
      </c>
      <c r="S209" s="40"/>
      <c r="T209" s="40"/>
      <c r="U209" s="40"/>
      <c r="V209" s="40"/>
      <c r="W209" s="40"/>
      <c r="X209" s="40"/>
      <c r="Y209" s="40"/>
      <c r="Z209" s="40"/>
      <c r="AA209" s="40"/>
    </row>
    <row r="210" ht="22.5" customHeight="1">
      <c r="A210" s="74" t="s">
        <v>123</v>
      </c>
      <c r="B210" s="75" t="s">
        <v>28</v>
      </c>
      <c r="C210" s="41" t="s">
        <v>67</v>
      </c>
      <c r="D210" s="61">
        <v>9.85</v>
      </c>
      <c r="E210" s="62">
        <v>46164.0</v>
      </c>
      <c r="F210" s="79" t="str">
        <f>IFERROR(__xludf.DUMMYFUNCTION("""COMPUTED_VALUE"""),"Pintura")</f>
        <v>Pintura</v>
      </c>
      <c r="G210" s="79" t="str">
        <f>IFERROR(__xludf.DUMMYFUNCTION("""COMPUTED_VALUE"""),"Lijado y/o Masillado")</f>
        <v>Lijado y/o Masillado</v>
      </c>
      <c r="H210" s="63">
        <f>IFERROR(__xludf.DUMMYFUNCTION("(IFERROR(FILTER(BBDD!$J:$J,BBDD!$G:$G=C210,BBDD!$H:$H=F210,BBDD!$I:$I=G210),""NO TIENE PROCESO""))*D210"),5.909999999999999)</f>
        <v>5.91</v>
      </c>
      <c r="I210" s="46">
        <f t="shared" si="1"/>
        <v>6.5</v>
      </c>
      <c r="J210" s="46">
        <f>SUMIFS('👷horas'!$J:$J,'👷horas'!$D:$D,A210,'👷horas'!$E:$E,B210,'👷horas'!$F:$F,F210,'👷horas'!$G:$G,G210)</f>
        <v>6.5</v>
      </c>
      <c r="K210" s="47">
        <f>SUMIFS('👷horas'!$K:$K,'👷horas'!$D:$D,A210,'👷horas'!$E:$E,B210,'👷horas'!$F:$F,F210,'👷horas'!$G:$G,G210)</f>
        <v>0</v>
      </c>
      <c r="L210" s="64">
        <f t="shared" si="2"/>
        <v>0.6598984772</v>
      </c>
      <c r="M210" s="77">
        <f t="shared" si="3"/>
        <v>-0.59</v>
      </c>
      <c r="N210" s="50">
        <f t="shared" si="4"/>
        <v>-0.09983079526</v>
      </c>
      <c r="O210" s="66">
        <f t="shared" si="5"/>
        <v>1</v>
      </c>
      <c r="P210" s="69" t="s">
        <v>195</v>
      </c>
      <c r="Q210" s="67" t="str">
        <f t="shared" si="6"/>
        <v>En proceso</v>
      </c>
      <c r="R210" s="67" t="str">
        <f>IFERROR(__xludf.DUMMYFUNCTION("SPARKLINE(O210,{""charttype"",""bar"";""max"",1;""color1"",IF(P210=""Terminado"",""#4CAF50"",IF(O210&gt;=0.5,""#FFA500"",""#F44336""))})"),"")</f>
        <v/>
      </c>
      <c r="S210" s="40"/>
      <c r="T210" s="40"/>
      <c r="U210" s="40"/>
      <c r="V210" s="40"/>
      <c r="W210" s="40"/>
      <c r="X210" s="40"/>
      <c r="Y210" s="40"/>
      <c r="Z210" s="40"/>
      <c r="AA210" s="40"/>
    </row>
    <row r="211" ht="22.5" customHeight="1">
      <c r="A211" s="74" t="s">
        <v>123</v>
      </c>
      <c r="B211" s="75" t="s">
        <v>28</v>
      </c>
      <c r="C211" s="41" t="s">
        <v>67</v>
      </c>
      <c r="D211" s="61">
        <v>9.85</v>
      </c>
      <c r="E211" s="62">
        <v>46164.0</v>
      </c>
      <c r="F211" s="68" t="str">
        <f>IFERROR(__xludf.DUMMYFUNCTION("""COMPUTED_VALUE"""),"Pintura")</f>
        <v>Pintura</v>
      </c>
      <c r="G211" s="68" t="str">
        <f>IFERROR(__xludf.DUMMYFUNCTION("""COMPUTED_VALUE"""),"Imprimación/Pintura")</f>
        <v>Imprimación/Pintura</v>
      </c>
      <c r="H211" s="63">
        <f>IFERROR(__xludf.DUMMYFUNCTION("(IFERROR(FILTER(BBDD!$J:$J,BBDD!$G:$G=C211,BBDD!$H:$H=F211,BBDD!$I:$I=G211),""NO TIENE PROCESO""))*D211"),3.94)</f>
        <v>3.94</v>
      </c>
      <c r="I211" s="46">
        <f t="shared" si="1"/>
        <v>2</v>
      </c>
      <c r="J211" s="46">
        <f>SUMIFS('👷horas'!$J:$J,'👷horas'!$D:$D,A211,'👷horas'!$E:$E,B211,'👷horas'!$F:$F,F211,'👷horas'!$G:$G,G211)</f>
        <v>2</v>
      </c>
      <c r="K211" s="47">
        <f>SUMIFS('👷horas'!$K:$K,'👷horas'!$D:$D,A211,'👷horas'!$E:$E,B211,'👷horas'!$F:$F,F211,'👷horas'!$G:$G,G211)</f>
        <v>0</v>
      </c>
      <c r="L211" s="64">
        <f t="shared" si="2"/>
        <v>0.2030456853</v>
      </c>
      <c r="M211" s="77">
        <f t="shared" si="3"/>
        <v>1.94</v>
      </c>
      <c r="N211" s="50">
        <f t="shared" si="4"/>
        <v>0.4923857868</v>
      </c>
      <c r="O211" s="66">
        <f t="shared" si="5"/>
        <v>0.5076142132</v>
      </c>
      <c r="P211" s="69" t="s">
        <v>195</v>
      </c>
      <c r="Q211" s="67" t="str">
        <f t="shared" si="6"/>
        <v>En proceso</v>
      </c>
      <c r="R211" s="67" t="str">
        <f>IFERROR(__xludf.DUMMYFUNCTION("SPARKLINE(O211,{""charttype"",""bar"";""max"",1;""color1"",IF(P211=""Terminado"",""#4CAF50"",IF(O211&gt;=0.5,""#FFA500"",""#F44336""))})"),"")</f>
        <v/>
      </c>
      <c r="S211" s="40"/>
      <c r="T211" s="40"/>
      <c r="U211" s="40"/>
      <c r="V211" s="40"/>
      <c r="W211" s="40"/>
      <c r="X211" s="40"/>
      <c r="Y211" s="40"/>
      <c r="Z211" s="40"/>
      <c r="AA211" s="40"/>
    </row>
    <row r="212" ht="22.5" customHeight="1">
      <c r="A212" s="74" t="s">
        <v>123</v>
      </c>
      <c r="B212" s="75" t="s">
        <v>11</v>
      </c>
      <c r="C212" s="41" t="s">
        <v>14</v>
      </c>
      <c r="D212" s="61">
        <v>9.6</v>
      </c>
      <c r="E212" s="62">
        <v>46164.0</v>
      </c>
      <c r="F212" s="68" t="str">
        <f>IFERROR(__xludf.DUMMYFUNCTION("FILTER(BBDD!H:H,BBDD!G:G=C212)"),"CNC")</f>
        <v>CNC</v>
      </c>
      <c r="G212" s="68" t="str">
        <f>IFERROR(__xludf.DUMMYFUNCTION("FILTER(BBDD!I:I,BBDD!G:G=C212)"),"CNC")</f>
        <v>CNC</v>
      </c>
      <c r="H212" s="63">
        <f>IFERROR(__xludf.DUMMYFUNCTION("(IFERROR(FILTER(BBDD!$J:$J,BBDD!$G:$G=C212,BBDD!$H:$H=F212,BBDD!$I:$I=G212),""NO TIENE PROCESO""))*D212"),1.92)</f>
        <v>1.92</v>
      </c>
      <c r="I212" s="46">
        <f t="shared" si="1"/>
        <v>0.84375</v>
      </c>
      <c r="J212" s="46">
        <f>SUMIFS('👷horas'!$J:$J,'👷horas'!$D:$D,A212,'👷horas'!$E:$E,B212,'👷horas'!$F:$F,F212,'👷horas'!$G:$G,G212)</f>
        <v>0.84375</v>
      </c>
      <c r="K212" s="47">
        <f>SUMIFS('👷horas'!$K:$K,'👷horas'!$D:$D,A212,'👷horas'!$E:$E,B212,'👷horas'!$F:$F,F212,'👷horas'!$G:$G,G212)</f>
        <v>0</v>
      </c>
      <c r="L212" s="64">
        <f t="shared" si="2"/>
        <v>0.087890625</v>
      </c>
      <c r="M212" s="65">
        <f t="shared" si="3"/>
        <v>0</v>
      </c>
      <c r="N212" s="50">
        <f t="shared" si="4"/>
        <v>0.560546875</v>
      </c>
      <c r="O212" s="66">
        <f t="shared" si="5"/>
        <v>1</v>
      </c>
      <c r="P212" s="69" t="s">
        <v>193</v>
      </c>
      <c r="Q212" s="67" t="str">
        <f t="shared" si="6"/>
        <v>En proceso</v>
      </c>
      <c r="R212" s="67" t="str">
        <f>IFERROR(__xludf.DUMMYFUNCTION("SPARKLINE(O212,{""charttype"",""bar"";""max"",1;""color1"",IF(P212=""Terminado"",""#4CAF50"",IF(O212&gt;=0.5,""#FFA500"",""#F44336""))})"),"")</f>
        <v/>
      </c>
      <c r="S212" s="40"/>
      <c r="T212" s="40"/>
      <c r="U212" s="40"/>
      <c r="V212" s="40"/>
      <c r="W212" s="40"/>
      <c r="X212" s="40"/>
      <c r="Y212" s="40"/>
      <c r="Z212" s="40"/>
      <c r="AA212" s="40"/>
    </row>
    <row r="213" ht="22.5" customHeight="1">
      <c r="A213" s="74" t="s">
        <v>123</v>
      </c>
      <c r="B213" s="75" t="s">
        <v>11</v>
      </c>
      <c r="C213" s="41" t="s">
        <v>14</v>
      </c>
      <c r="D213" s="61">
        <v>9.6</v>
      </c>
      <c r="E213" s="62">
        <v>46164.0</v>
      </c>
      <c r="F213" s="68" t="str">
        <f>IFERROR(__xludf.DUMMYFUNCTION("""COMPUTED_VALUE"""),"Fabricación")</f>
        <v>Fabricación</v>
      </c>
      <c r="G213" s="68" t="str">
        <f>IFERROR(__xludf.DUMMYFUNCTION("""COMPUTED_VALUE"""),"Ensamblaje")</f>
        <v>Ensamblaje</v>
      </c>
      <c r="H213" s="63">
        <f>IFERROR(__xludf.DUMMYFUNCTION("(IFERROR(FILTER(BBDD!$J:$J,BBDD!$G:$G=C213,BBDD!$H:$H=F213,BBDD!$I:$I=G213),""NO TIENE PROCESO""))*D213"),5.952)</f>
        <v>5.952</v>
      </c>
      <c r="I213" s="46">
        <f t="shared" si="1"/>
        <v>3</v>
      </c>
      <c r="J213" s="46">
        <f>SUMIFS('👷horas'!$J:$J,'👷horas'!$D:$D,A213,'👷horas'!$E:$E,B213,'👷horas'!$F:$F,F213,'👷horas'!$G:$G,G213)</f>
        <v>3</v>
      </c>
      <c r="K213" s="47">
        <f>SUMIFS('👷horas'!$K:$K,'👷horas'!$D:$D,A213,'👷horas'!$E:$E,B213,'👷horas'!$F:$F,F213,'👷horas'!$G:$G,G213)</f>
        <v>0</v>
      </c>
      <c r="L213" s="64">
        <f t="shared" si="2"/>
        <v>0.3125</v>
      </c>
      <c r="M213" s="65">
        <f t="shared" si="3"/>
        <v>0</v>
      </c>
      <c r="N213" s="50">
        <f t="shared" si="4"/>
        <v>0.4959677419</v>
      </c>
      <c r="O213" s="66">
        <f t="shared" si="5"/>
        <v>1</v>
      </c>
      <c r="P213" s="69" t="s">
        <v>193</v>
      </c>
      <c r="Q213" s="67" t="str">
        <f t="shared" si="6"/>
        <v>En proceso</v>
      </c>
      <c r="R213" s="67" t="str">
        <f>IFERROR(__xludf.DUMMYFUNCTION("SPARKLINE(O213,{""charttype"",""bar"";""max"",1;""color1"",IF(P213=""Terminado"",""#4CAF50"",IF(O213&gt;=0.5,""#FFA500"",""#F44336""))})"),"")</f>
        <v/>
      </c>
      <c r="S213" s="40"/>
      <c r="T213" s="40"/>
      <c r="U213" s="40"/>
      <c r="V213" s="40"/>
      <c r="W213" s="40"/>
      <c r="X213" s="40"/>
      <c r="Y213" s="40"/>
      <c r="Z213" s="40"/>
      <c r="AA213" s="40"/>
    </row>
    <row r="214" ht="22.5" customHeight="1">
      <c r="A214" s="74" t="s">
        <v>123</v>
      </c>
      <c r="B214" s="75" t="s">
        <v>11</v>
      </c>
      <c r="C214" s="41" t="s">
        <v>14</v>
      </c>
      <c r="D214" s="61">
        <v>9.6</v>
      </c>
      <c r="E214" s="62">
        <v>46164.0</v>
      </c>
      <c r="F214" s="68" t="str">
        <f>IFERROR(__xludf.DUMMYFUNCTION("""COMPUTED_VALUE"""),"Fabricación")</f>
        <v>Fabricación</v>
      </c>
      <c r="G214" s="68" t="str">
        <f>IFERROR(__xludf.DUMMYFUNCTION("""COMPUTED_VALUE"""),"Colocación de perfiles")</f>
        <v>Colocación de perfiles</v>
      </c>
      <c r="H214" s="63">
        <f>IFERROR(__xludf.DUMMYFUNCTION("(IFERROR(FILTER(BBDD!$J:$J,BBDD!$G:$G=C214,BBDD!$H:$H=F214,BBDD!$I:$I=G214),""NO TIENE PROCESO""))*D214"),1.92)</f>
        <v>1.92</v>
      </c>
      <c r="I214" s="46">
        <f t="shared" si="1"/>
        <v>0</v>
      </c>
      <c r="J214" s="46">
        <f>SUMIFS('👷horas'!$J:$J,'👷horas'!$D:$D,A214,'👷horas'!$E:$E,B214,'👷horas'!$F:$F,F214,'👷horas'!$G:$G,G214)</f>
        <v>0</v>
      </c>
      <c r="K214" s="47">
        <f>SUMIFS('👷horas'!$K:$K,'👷horas'!$D:$D,A214,'👷horas'!$E:$E,B214,'👷horas'!$F:$F,F214,'👷horas'!$G:$G,G214)</f>
        <v>0</v>
      </c>
      <c r="L214" s="64">
        <f t="shared" si="2"/>
        <v>0</v>
      </c>
      <c r="M214" s="77">
        <f t="shared" si="3"/>
        <v>1.92</v>
      </c>
      <c r="N214" s="50">
        <f t="shared" si="4"/>
        <v>1</v>
      </c>
      <c r="O214" s="66">
        <f t="shared" si="5"/>
        <v>0</v>
      </c>
      <c r="P214" s="76" t="s">
        <v>12</v>
      </c>
      <c r="Q214" s="67" t="str">
        <f t="shared" si="6"/>
        <v>En proceso</v>
      </c>
      <c r="R214" s="67" t="str">
        <f>IFERROR(__xludf.DUMMYFUNCTION("SPARKLINE(O214,{""charttype"",""bar"";""max"",1;""color1"",IF(P214=""Terminado"",""#4CAF50"",IF(O214&gt;=0.5,""#FFA500"",""#F44336""))})"),"")</f>
        <v/>
      </c>
      <c r="S214" s="40"/>
      <c r="T214" s="40"/>
      <c r="U214" s="40"/>
      <c r="V214" s="40"/>
      <c r="W214" s="40"/>
      <c r="X214" s="40"/>
      <c r="Y214" s="40"/>
      <c r="Z214" s="40"/>
      <c r="AA214" s="40"/>
    </row>
    <row r="215" ht="22.5" customHeight="1">
      <c r="A215" s="74" t="s">
        <v>123</v>
      </c>
      <c r="B215" s="75" t="s">
        <v>11</v>
      </c>
      <c r="C215" s="41" t="s">
        <v>14</v>
      </c>
      <c r="D215" s="61">
        <v>9.6</v>
      </c>
      <c r="E215" s="62">
        <v>46164.0</v>
      </c>
      <c r="F215" s="68" t="str">
        <f>IFERROR(__xludf.DUMMYFUNCTION("""COMPUTED_VALUE"""),"Fabricación")</f>
        <v>Fabricación</v>
      </c>
      <c r="G215" s="68" t="str">
        <f>IFERROR(__xludf.DUMMYFUNCTION("""COMPUTED_VALUE"""),"Embalaje/carga/descarga material")</f>
        <v>Embalaje/carga/descarga material</v>
      </c>
      <c r="H215" s="63">
        <f>IFERROR(__xludf.DUMMYFUNCTION("(IFERROR(FILTER(BBDD!$J:$J,BBDD!$G:$G=C215,BBDD!$H:$H=F215,BBDD!$I:$I=G215),""NO TIENE PROCESO""))*D215"),1.44)</f>
        <v>1.44</v>
      </c>
      <c r="I215" s="46">
        <f t="shared" si="1"/>
        <v>0</v>
      </c>
      <c r="J215" s="46">
        <f>SUMIFS('👷horas'!$J:$J,'👷horas'!$D:$D,A215,'👷horas'!$E:$E,B215,'👷horas'!$F:$F,F215,'👷horas'!$G:$G,G215)</f>
        <v>0</v>
      </c>
      <c r="K215" s="47">
        <f>SUMIFS('👷horas'!$K:$K,'👷horas'!$D:$D,A215,'👷horas'!$E:$E,B215,'👷horas'!$F:$F,F215,'👷horas'!$G:$G,G215)</f>
        <v>0</v>
      </c>
      <c r="L215" s="64">
        <f t="shared" si="2"/>
        <v>0</v>
      </c>
      <c r="M215" s="77">
        <f t="shared" si="3"/>
        <v>1.44</v>
      </c>
      <c r="N215" s="50">
        <f t="shared" si="4"/>
        <v>1</v>
      </c>
      <c r="O215" s="66">
        <f t="shared" si="5"/>
        <v>0</v>
      </c>
      <c r="P215" s="76" t="s">
        <v>12</v>
      </c>
      <c r="Q215" s="67" t="str">
        <f t="shared" si="6"/>
        <v>En proceso</v>
      </c>
      <c r="R215" s="67" t="str">
        <f>IFERROR(__xludf.DUMMYFUNCTION("SPARKLINE(O215,{""charttype"",""bar"";""max"",1;""color1"",IF(P215=""Terminado"",""#4CAF50"",IF(O215&gt;=0.5,""#FFA500"",""#F44336""))})"),"")</f>
        <v/>
      </c>
      <c r="S215" s="40"/>
      <c r="T215" s="40"/>
      <c r="U215" s="40"/>
      <c r="V215" s="40"/>
      <c r="W215" s="40"/>
      <c r="X215" s="40"/>
      <c r="Y215" s="40"/>
      <c r="Z215" s="40"/>
      <c r="AA215" s="40"/>
    </row>
    <row r="216" ht="22.5" customHeight="1">
      <c r="A216" s="74" t="s">
        <v>123</v>
      </c>
      <c r="B216" s="75" t="s">
        <v>11</v>
      </c>
      <c r="C216" s="41" t="s">
        <v>14</v>
      </c>
      <c r="D216" s="61">
        <v>9.6</v>
      </c>
      <c r="E216" s="62">
        <v>46164.0</v>
      </c>
      <c r="F216" s="68" t="str">
        <f>IFERROR(__xludf.DUMMYFUNCTION("""COMPUTED_VALUE"""),"Pintura")</f>
        <v>Pintura</v>
      </c>
      <c r="G216" s="68" t="str">
        <f>IFERROR(__xludf.DUMMYFUNCTION("""COMPUTED_VALUE"""),"Lijado y/o Masillado")</f>
        <v>Lijado y/o Masillado</v>
      </c>
      <c r="H216" s="63">
        <f>IFERROR(__xludf.DUMMYFUNCTION("(IFERROR(FILTER(BBDD!$J:$J,BBDD!$G:$G=C216,BBDD!$H:$H=F216,BBDD!$I:$I=G216),""NO TIENE PROCESO""))*D216"),4.8)</f>
        <v>4.8</v>
      </c>
      <c r="I216" s="46">
        <f t="shared" si="1"/>
        <v>5.5</v>
      </c>
      <c r="J216" s="46">
        <f>SUMIFS('👷horas'!$J:$J,'👷horas'!$D:$D,A216,'👷horas'!$E:$E,B216,'👷horas'!$F:$F,F216,'👷horas'!$G:$G,G216)</f>
        <v>5.5</v>
      </c>
      <c r="K216" s="47">
        <f>SUMIFS('👷horas'!$K:$K,'👷horas'!$D:$D,A216,'👷horas'!$E:$E,B216,'👷horas'!$F:$F,F216,'👷horas'!$G:$G,G216)</f>
        <v>0</v>
      </c>
      <c r="L216" s="64">
        <f t="shared" si="2"/>
        <v>0.5729166667</v>
      </c>
      <c r="M216" s="77">
        <f t="shared" si="3"/>
        <v>-0.7</v>
      </c>
      <c r="N216" s="50">
        <f t="shared" si="4"/>
        <v>-0.1458333333</v>
      </c>
      <c r="O216" s="66">
        <f t="shared" si="5"/>
        <v>1</v>
      </c>
      <c r="P216" s="69" t="s">
        <v>195</v>
      </c>
      <c r="Q216" s="67" t="str">
        <f t="shared" si="6"/>
        <v>En proceso</v>
      </c>
      <c r="R216" s="67" t="str">
        <f>IFERROR(__xludf.DUMMYFUNCTION("SPARKLINE(O216,{""charttype"",""bar"";""max"",1;""color1"",IF(P216=""Terminado"",""#4CAF50"",IF(O216&gt;=0.5,""#FFA500"",""#F44336""))})"),"")</f>
        <v/>
      </c>
      <c r="S216" s="40"/>
      <c r="T216" s="40"/>
      <c r="U216" s="40"/>
      <c r="V216" s="40"/>
      <c r="W216" s="40"/>
      <c r="X216" s="40"/>
      <c r="Y216" s="40"/>
      <c r="Z216" s="40"/>
      <c r="AA216" s="40"/>
    </row>
    <row r="217" ht="22.5" customHeight="1">
      <c r="A217" s="74" t="s">
        <v>123</v>
      </c>
      <c r="B217" s="75" t="s">
        <v>11</v>
      </c>
      <c r="C217" s="41" t="s">
        <v>14</v>
      </c>
      <c r="D217" s="61">
        <v>9.6</v>
      </c>
      <c r="E217" s="62">
        <v>46164.0</v>
      </c>
      <c r="F217" s="68" t="str">
        <f>IFERROR(__xludf.DUMMYFUNCTION("""COMPUTED_VALUE"""),"Pintura")</f>
        <v>Pintura</v>
      </c>
      <c r="G217" s="68" t="str">
        <f>IFERROR(__xludf.DUMMYFUNCTION("""COMPUTED_VALUE"""),"Imprimación/Pintura")</f>
        <v>Imprimación/Pintura</v>
      </c>
      <c r="H217" s="63">
        <f>IFERROR(__xludf.DUMMYFUNCTION("(IFERROR(FILTER(BBDD!$J:$J,BBDD!$G:$G=C217,BBDD!$H:$H=F217,BBDD!$I:$I=G217),""NO TIENE PROCESO""))*D217"),3.84)</f>
        <v>3.84</v>
      </c>
      <c r="I217" s="46">
        <f t="shared" si="1"/>
        <v>3.5</v>
      </c>
      <c r="J217" s="46">
        <f>SUMIFS('👷horas'!$J:$J,'👷horas'!$D:$D,A217,'👷horas'!$E:$E,B217,'👷horas'!$F:$F,F217,'👷horas'!$G:$G,G217)</f>
        <v>3.5</v>
      </c>
      <c r="K217" s="47">
        <f>SUMIFS('👷horas'!$K:$K,'👷horas'!$D:$D,A217,'👷horas'!$E:$E,B217,'👷horas'!$F:$F,F217,'👷horas'!$G:$G,G217)</f>
        <v>0</v>
      </c>
      <c r="L217" s="64">
        <f t="shared" si="2"/>
        <v>0.3645833333</v>
      </c>
      <c r="M217" s="65">
        <f t="shared" si="3"/>
        <v>0</v>
      </c>
      <c r="N217" s="50">
        <f t="shared" si="4"/>
        <v>0.08854166667</v>
      </c>
      <c r="O217" s="66">
        <f t="shared" si="5"/>
        <v>1</v>
      </c>
      <c r="P217" s="69" t="s">
        <v>193</v>
      </c>
      <c r="Q217" s="67" t="str">
        <f t="shared" si="6"/>
        <v>En proceso</v>
      </c>
      <c r="R217" s="67" t="str">
        <f>IFERROR(__xludf.DUMMYFUNCTION("SPARKLINE(O217,{""charttype"",""bar"";""max"",1;""color1"",IF(P217=""Terminado"",""#4CAF50"",IF(O217&gt;=0.5,""#FFA500"",""#F44336""))})"),"")</f>
        <v/>
      </c>
      <c r="S217" s="40"/>
      <c r="T217" s="40"/>
      <c r="U217" s="40"/>
      <c r="V217" s="40"/>
      <c r="W217" s="40"/>
      <c r="X217" s="40"/>
      <c r="Y217" s="40"/>
      <c r="Z217" s="40"/>
      <c r="AA217" s="40"/>
    </row>
    <row r="218" ht="22.5" customHeight="1">
      <c r="A218" s="74" t="s">
        <v>123</v>
      </c>
      <c r="B218" s="75" t="s">
        <v>19</v>
      </c>
      <c r="C218" s="41" t="s">
        <v>67</v>
      </c>
      <c r="D218" s="61">
        <v>21.24</v>
      </c>
      <c r="E218" s="62">
        <v>46164.0</v>
      </c>
      <c r="F218" s="68" t="str">
        <f>IFERROR(__xludf.DUMMYFUNCTION("FILTER(BBDD!H:H,BBDD!G:G=C218)"),"CNC")</f>
        <v>CNC</v>
      </c>
      <c r="G218" s="68" t="str">
        <f>IFERROR(__xludf.DUMMYFUNCTION("FILTER(BBDD!I:I,BBDD!G:G=C218)"),"CNC")</f>
        <v>CNC</v>
      </c>
      <c r="H218" s="63">
        <f>IFERROR(__xludf.DUMMYFUNCTION("(IFERROR(FILTER(BBDD!$J:$J,BBDD!$G:$G=C218,BBDD!$H:$H=F218,BBDD!$I:$I=G218),""NO TIENE PROCESO""))*D218"),4.248)</f>
        <v>4.248</v>
      </c>
      <c r="I218" s="46">
        <f t="shared" si="1"/>
        <v>1.6875</v>
      </c>
      <c r="J218" s="46">
        <f>SUMIFS('👷horas'!$J:$J,'👷horas'!$D:$D,A218,'👷horas'!$E:$E,B218,'👷horas'!$F:$F,F218,'👷horas'!$G:$G,G218)</f>
        <v>1.6875</v>
      </c>
      <c r="K218" s="47">
        <f>SUMIFS('👷horas'!$K:$K,'👷horas'!$D:$D,A218,'👷horas'!$E:$E,B218,'👷horas'!$F:$F,F218,'👷horas'!$G:$G,G218)</f>
        <v>0</v>
      </c>
      <c r="L218" s="64">
        <f t="shared" si="2"/>
        <v>0.07944915254</v>
      </c>
      <c r="M218" s="65">
        <f t="shared" si="3"/>
        <v>0</v>
      </c>
      <c r="N218" s="50">
        <f t="shared" si="4"/>
        <v>0.6027542373</v>
      </c>
      <c r="O218" s="66">
        <f t="shared" si="5"/>
        <v>1</v>
      </c>
      <c r="P218" s="69" t="s">
        <v>193</v>
      </c>
      <c r="Q218" s="67" t="str">
        <f t="shared" si="6"/>
        <v>En proceso</v>
      </c>
      <c r="R218" s="67" t="str">
        <f>IFERROR(__xludf.DUMMYFUNCTION("SPARKLINE(O218,{""charttype"",""bar"";""max"",1;""color1"",IF(P218=""Terminado"",""#4CAF50"",IF(O218&gt;=0.5,""#FFA500"",""#F44336""))})"),"")</f>
        <v/>
      </c>
      <c r="S218" s="40"/>
      <c r="T218" s="40"/>
      <c r="U218" s="40"/>
      <c r="V218" s="40"/>
      <c r="W218" s="40"/>
      <c r="X218" s="40"/>
      <c r="Y218" s="40"/>
      <c r="Z218" s="40"/>
      <c r="AA218" s="40"/>
    </row>
    <row r="219" ht="22.5" customHeight="1">
      <c r="A219" s="74" t="s">
        <v>123</v>
      </c>
      <c r="B219" s="75" t="s">
        <v>19</v>
      </c>
      <c r="C219" s="41" t="s">
        <v>67</v>
      </c>
      <c r="D219" s="61">
        <v>21.24</v>
      </c>
      <c r="E219" s="62">
        <v>46164.0</v>
      </c>
      <c r="F219" s="68" t="str">
        <f>IFERROR(__xludf.DUMMYFUNCTION("""COMPUTED_VALUE"""),"Fabricación")</f>
        <v>Fabricación</v>
      </c>
      <c r="G219" s="68" t="str">
        <f>IFERROR(__xludf.DUMMYFUNCTION("""COMPUTED_VALUE"""),"Ensamblaje")</f>
        <v>Ensamblaje</v>
      </c>
      <c r="H219" s="63">
        <f>IFERROR(__xludf.DUMMYFUNCTION("(IFERROR(FILTER(BBDD!$J:$J,BBDD!$G:$G=C219,BBDD!$H:$H=F219,BBDD!$I:$I=G219),""NO TIENE PROCESO""))*D219"),16.7796)</f>
        <v>16.7796</v>
      </c>
      <c r="I219" s="46">
        <f t="shared" si="1"/>
        <v>9</v>
      </c>
      <c r="J219" s="46">
        <f>SUMIFS('👷horas'!$J:$J,'👷horas'!$D:$D,A219,'👷horas'!$E:$E,B219,'👷horas'!$F:$F,F219,'👷horas'!$G:$G,G219)</f>
        <v>9</v>
      </c>
      <c r="K219" s="47">
        <f>SUMIFS('👷horas'!$K:$K,'👷horas'!$D:$D,A219,'👷horas'!$E:$E,B219,'👷horas'!$F:$F,F219,'👷horas'!$G:$G,G219)</f>
        <v>0</v>
      </c>
      <c r="L219" s="64">
        <f t="shared" si="2"/>
        <v>0.4237288136</v>
      </c>
      <c r="M219" s="65">
        <f t="shared" si="3"/>
        <v>0</v>
      </c>
      <c r="N219" s="50">
        <f t="shared" si="4"/>
        <v>0.4636344132</v>
      </c>
      <c r="O219" s="66">
        <f t="shared" si="5"/>
        <v>1</v>
      </c>
      <c r="P219" s="69" t="s">
        <v>193</v>
      </c>
      <c r="Q219" s="67" t="str">
        <f t="shared" si="6"/>
        <v>En proceso</v>
      </c>
      <c r="R219" s="67" t="str">
        <f>IFERROR(__xludf.DUMMYFUNCTION("SPARKLINE(O219,{""charttype"",""bar"";""max"",1;""color1"",IF(P219=""Terminado"",""#4CAF50"",IF(O219&gt;=0.5,""#FFA500"",""#F44336""))})"),"")</f>
        <v/>
      </c>
      <c r="S219" s="40"/>
      <c r="T219" s="40"/>
      <c r="U219" s="40"/>
      <c r="V219" s="40"/>
      <c r="W219" s="40"/>
      <c r="X219" s="40"/>
      <c r="Y219" s="40"/>
      <c r="Z219" s="40"/>
      <c r="AA219" s="40"/>
    </row>
    <row r="220" ht="22.5" customHeight="1">
      <c r="A220" s="74" t="s">
        <v>123</v>
      </c>
      <c r="B220" s="75" t="s">
        <v>19</v>
      </c>
      <c r="C220" s="41" t="s">
        <v>67</v>
      </c>
      <c r="D220" s="61">
        <v>21.24</v>
      </c>
      <c r="E220" s="62">
        <v>46164.0</v>
      </c>
      <c r="F220" s="68" t="str">
        <f>IFERROR(__xludf.DUMMYFUNCTION("""COMPUTED_VALUE"""),"Fabricación")</f>
        <v>Fabricación</v>
      </c>
      <c r="G220" s="68" t="str">
        <f>IFERROR(__xludf.DUMMYFUNCTION("""COMPUTED_VALUE"""),"Colocación de perfiles")</f>
        <v>Colocación de perfiles</v>
      </c>
      <c r="H220" s="63">
        <f>IFERROR(__xludf.DUMMYFUNCTION("(IFERROR(FILTER(BBDD!$J:$J,BBDD!$G:$G=C220,BBDD!$H:$H=F220,BBDD!$I:$I=G220),""NO TIENE PROCESO""))*D220"),4.248)</f>
        <v>4.248</v>
      </c>
      <c r="I220" s="46">
        <f t="shared" si="1"/>
        <v>0</v>
      </c>
      <c r="J220" s="46">
        <f>SUMIFS('👷horas'!$J:$J,'👷horas'!$D:$D,A220,'👷horas'!$E:$E,B220,'👷horas'!$F:$F,F220,'👷horas'!$G:$G,G220)</f>
        <v>0</v>
      </c>
      <c r="K220" s="47">
        <f>SUMIFS('👷horas'!$K:$K,'👷horas'!$D:$D,A220,'👷horas'!$E:$E,B220,'👷horas'!$F:$F,F220,'👷horas'!$G:$G,G220)</f>
        <v>0</v>
      </c>
      <c r="L220" s="64">
        <f t="shared" si="2"/>
        <v>0</v>
      </c>
      <c r="M220" s="77">
        <f t="shared" si="3"/>
        <v>4.248</v>
      </c>
      <c r="N220" s="50">
        <f t="shared" si="4"/>
        <v>1</v>
      </c>
      <c r="O220" s="66">
        <f t="shared" si="5"/>
        <v>0</v>
      </c>
      <c r="P220" s="76" t="s">
        <v>12</v>
      </c>
      <c r="Q220" s="67" t="str">
        <f t="shared" si="6"/>
        <v>En proceso</v>
      </c>
      <c r="R220" s="67" t="str">
        <f>IFERROR(__xludf.DUMMYFUNCTION("SPARKLINE(O220,{""charttype"",""bar"";""max"",1;""color1"",IF(P220=""Terminado"",""#4CAF50"",IF(O220&gt;=0.5,""#FFA500"",""#F44336""))})"),"")</f>
        <v/>
      </c>
      <c r="S220" s="40"/>
      <c r="T220" s="40"/>
      <c r="U220" s="40"/>
      <c r="V220" s="40"/>
      <c r="W220" s="40"/>
      <c r="X220" s="40"/>
      <c r="Y220" s="40"/>
      <c r="Z220" s="40"/>
      <c r="AA220" s="40"/>
    </row>
    <row r="221" ht="22.5" customHeight="1">
      <c r="A221" s="74" t="s">
        <v>123</v>
      </c>
      <c r="B221" s="75" t="s">
        <v>19</v>
      </c>
      <c r="C221" s="41" t="s">
        <v>67</v>
      </c>
      <c r="D221" s="61">
        <v>21.24</v>
      </c>
      <c r="E221" s="62">
        <v>46164.0</v>
      </c>
      <c r="F221" s="68" t="str">
        <f>IFERROR(__xludf.DUMMYFUNCTION("""COMPUTED_VALUE"""),"Fabricación")</f>
        <v>Fabricación</v>
      </c>
      <c r="G221" s="68" t="str">
        <f>IFERROR(__xludf.DUMMYFUNCTION("""COMPUTED_VALUE"""),"Embalaje/carga/descarga material")</f>
        <v>Embalaje/carga/descarga material</v>
      </c>
      <c r="H221" s="63">
        <f>IFERROR(__xludf.DUMMYFUNCTION("(IFERROR(FILTER(BBDD!$J:$J,BBDD!$G:$G=C221,BBDD!$H:$H=F221,BBDD!$I:$I=G221),""NO TIENE PROCESO""))*D221"),3.1859999999999995)</f>
        <v>3.186</v>
      </c>
      <c r="I221" s="46">
        <f t="shared" si="1"/>
        <v>0</v>
      </c>
      <c r="J221" s="46">
        <f>SUMIFS('👷horas'!$J:$J,'👷horas'!$D:$D,A221,'👷horas'!$E:$E,B221,'👷horas'!$F:$F,F221,'👷horas'!$G:$G,G221)</f>
        <v>0</v>
      </c>
      <c r="K221" s="47">
        <f>SUMIFS('👷horas'!$K:$K,'👷horas'!$D:$D,A221,'👷horas'!$E:$E,B221,'👷horas'!$F:$F,F221,'👷horas'!$G:$G,G221)</f>
        <v>0</v>
      </c>
      <c r="L221" s="64">
        <f t="shared" si="2"/>
        <v>0</v>
      </c>
      <c r="M221" s="77">
        <f t="shared" si="3"/>
        <v>3.186</v>
      </c>
      <c r="N221" s="50">
        <f t="shared" si="4"/>
        <v>1</v>
      </c>
      <c r="O221" s="66">
        <f t="shared" si="5"/>
        <v>0</v>
      </c>
      <c r="P221" s="76" t="s">
        <v>12</v>
      </c>
      <c r="Q221" s="67" t="str">
        <f t="shared" si="6"/>
        <v>En proceso</v>
      </c>
      <c r="R221" s="67" t="str">
        <f>IFERROR(__xludf.DUMMYFUNCTION("SPARKLINE(O221,{""charttype"",""bar"";""max"",1;""color1"",IF(P221=""Terminado"",""#4CAF50"",IF(O221&gt;=0.5,""#FFA500"",""#F44336""))})"),"")</f>
        <v/>
      </c>
      <c r="S221" s="40"/>
      <c r="T221" s="40"/>
      <c r="U221" s="40"/>
      <c r="V221" s="40"/>
      <c r="W221" s="40"/>
      <c r="X221" s="40"/>
      <c r="Y221" s="40"/>
      <c r="Z221" s="40"/>
      <c r="AA221" s="40"/>
    </row>
    <row r="222" ht="22.5" customHeight="1">
      <c r="A222" s="74" t="s">
        <v>123</v>
      </c>
      <c r="B222" s="75" t="s">
        <v>19</v>
      </c>
      <c r="C222" s="41" t="s">
        <v>67</v>
      </c>
      <c r="D222" s="61">
        <v>21.24</v>
      </c>
      <c r="E222" s="62">
        <v>46164.0</v>
      </c>
      <c r="F222" s="79" t="str">
        <f>IFERROR(__xludf.DUMMYFUNCTION("""COMPUTED_VALUE"""),"Pintura")</f>
        <v>Pintura</v>
      </c>
      <c r="G222" s="79" t="str">
        <f>IFERROR(__xludf.DUMMYFUNCTION("""COMPUTED_VALUE"""),"Lijado y/o Masillado")</f>
        <v>Lijado y/o Masillado</v>
      </c>
      <c r="H222" s="63">
        <f>IFERROR(__xludf.DUMMYFUNCTION("(IFERROR(FILTER(BBDD!$J:$J,BBDD!$G:$G=C222,BBDD!$H:$H=F222,BBDD!$I:$I=G222),""NO TIENE PROCESO""))*D222"),12.743999999999998)</f>
        <v>12.744</v>
      </c>
      <c r="I222" s="46">
        <f t="shared" si="1"/>
        <v>12</v>
      </c>
      <c r="J222" s="46">
        <f>SUMIFS('👷horas'!$J:$J,'👷horas'!$D:$D,A222,'👷horas'!$E:$E,B222,'👷horas'!$F:$F,F222,'👷horas'!$G:$G,G222)</f>
        <v>12</v>
      </c>
      <c r="K222" s="47">
        <f>SUMIFS('👷horas'!$K:$K,'👷horas'!$D:$D,A222,'👷horas'!$E:$E,B222,'👷horas'!$F:$F,F222,'👷horas'!$G:$G,G222)</f>
        <v>0</v>
      </c>
      <c r="L222" s="64">
        <f t="shared" si="2"/>
        <v>0.5649717514</v>
      </c>
      <c r="M222" s="77">
        <f t="shared" si="3"/>
        <v>0.744</v>
      </c>
      <c r="N222" s="50">
        <f t="shared" si="4"/>
        <v>0.05838041431</v>
      </c>
      <c r="O222" s="66">
        <f t="shared" si="5"/>
        <v>0.9416195857</v>
      </c>
      <c r="P222" s="69" t="s">
        <v>195</v>
      </c>
      <c r="Q222" s="67" t="str">
        <f t="shared" si="6"/>
        <v>En proceso</v>
      </c>
      <c r="R222" s="67" t="str">
        <f>IFERROR(__xludf.DUMMYFUNCTION("SPARKLINE(O222,{""charttype"",""bar"";""max"",1;""color1"",IF(P222=""Terminado"",""#4CAF50"",IF(O222&gt;=0.5,""#FFA500"",""#F44336""))})"),"")</f>
        <v/>
      </c>
      <c r="S222" s="40"/>
      <c r="T222" s="40"/>
      <c r="U222" s="40"/>
      <c r="V222" s="40"/>
      <c r="W222" s="40"/>
      <c r="X222" s="40"/>
      <c r="Y222" s="40"/>
      <c r="Z222" s="40"/>
      <c r="AA222" s="40"/>
    </row>
    <row r="223" ht="22.5" customHeight="1">
      <c r="A223" s="74" t="s">
        <v>123</v>
      </c>
      <c r="B223" s="75" t="s">
        <v>19</v>
      </c>
      <c r="C223" s="41" t="s">
        <v>67</v>
      </c>
      <c r="D223" s="61">
        <v>21.24</v>
      </c>
      <c r="E223" s="62">
        <v>46164.0</v>
      </c>
      <c r="F223" s="68" t="str">
        <f>IFERROR(__xludf.DUMMYFUNCTION("""COMPUTED_VALUE"""),"Pintura")</f>
        <v>Pintura</v>
      </c>
      <c r="G223" s="68" t="str">
        <f>IFERROR(__xludf.DUMMYFUNCTION("""COMPUTED_VALUE"""),"Imprimación/Pintura")</f>
        <v>Imprimación/Pintura</v>
      </c>
      <c r="H223" s="63">
        <f>IFERROR(__xludf.DUMMYFUNCTION("(IFERROR(FILTER(BBDD!$J:$J,BBDD!$G:$G=C223,BBDD!$H:$H=F223,BBDD!$I:$I=G223),""NO TIENE PROCESO""))*D223"),8.496)</f>
        <v>8.496</v>
      </c>
      <c r="I223" s="46">
        <f t="shared" si="1"/>
        <v>4.5</v>
      </c>
      <c r="J223" s="46">
        <f>SUMIFS('👷horas'!$J:$J,'👷horas'!$D:$D,A223,'👷horas'!$E:$E,B223,'👷horas'!$F:$F,F223,'👷horas'!$G:$G,G223)</f>
        <v>4.5</v>
      </c>
      <c r="K223" s="47">
        <f>SUMIFS('👷horas'!$K:$K,'👷horas'!$D:$D,A223,'👷horas'!$E:$E,B223,'👷horas'!$F:$F,F223,'👷horas'!$G:$G,G223)</f>
        <v>0</v>
      </c>
      <c r="L223" s="64">
        <f t="shared" si="2"/>
        <v>0.2118644068</v>
      </c>
      <c r="M223" s="77">
        <f t="shared" si="3"/>
        <v>3.996</v>
      </c>
      <c r="N223" s="50">
        <f t="shared" si="4"/>
        <v>0.4703389831</v>
      </c>
      <c r="O223" s="66">
        <f t="shared" si="5"/>
        <v>0.5296610169</v>
      </c>
      <c r="P223" s="69" t="s">
        <v>195</v>
      </c>
      <c r="Q223" s="67" t="str">
        <f t="shared" si="6"/>
        <v>En proceso</v>
      </c>
      <c r="R223" s="67" t="str">
        <f>IFERROR(__xludf.DUMMYFUNCTION("SPARKLINE(O223,{""charttype"",""bar"";""max"",1;""color1"",IF(P223=""Terminado"",""#4CAF50"",IF(O223&gt;=0.5,""#FFA500"",""#F44336""))})"),"")</f>
        <v/>
      </c>
      <c r="S223" s="40"/>
      <c r="T223" s="40"/>
      <c r="U223" s="40"/>
      <c r="V223" s="40"/>
      <c r="W223" s="40"/>
      <c r="X223" s="40"/>
      <c r="Y223" s="40"/>
      <c r="Z223" s="40"/>
      <c r="AA223" s="40"/>
    </row>
    <row r="224" ht="22.5" customHeight="1">
      <c r="A224" s="74" t="s">
        <v>123</v>
      </c>
      <c r="B224" s="75" t="s">
        <v>62</v>
      </c>
      <c r="C224" s="75" t="s">
        <v>162</v>
      </c>
      <c r="D224" s="61">
        <v>46.8</v>
      </c>
      <c r="E224" s="62">
        <v>46164.0</v>
      </c>
      <c r="F224" s="68" t="str">
        <f>IFERROR(__xludf.DUMMYFUNCTION("FILTER(BBDD!H:H,BBDD!G:G=C224)"),"Fabricación")</f>
        <v>Fabricación</v>
      </c>
      <c r="G224" s="68" t="str">
        <f>IFERROR(__xludf.DUMMYFUNCTION("FILTER(BBDD!I:I,BBDD!G:G=C224)"),"Ensamblaje")</f>
        <v>Ensamblaje</v>
      </c>
      <c r="H224" s="63">
        <f>IFERROR(__xludf.DUMMYFUNCTION("(IFERROR(FILTER(BBDD!$J:$J,BBDD!$G:$G=C224,BBDD!$H:$H=F224,BBDD!$I:$I=G224),""NO TIENE PROCESO""))*D224"),42.11999999999999)</f>
        <v>42.12</v>
      </c>
      <c r="I224" s="46">
        <f t="shared" si="1"/>
        <v>33.5</v>
      </c>
      <c r="J224" s="46">
        <f>SUMIFS('👷horas'!$J:$J,'👷horas'!$D:$D,A224,'👷horas'!$E:$E,B224,'👷horas'!$F:$F,F224,'👷horas'!$G:$G,G224)</f>
        <v>33.5</v>
      </c>
      <c r="K224" s="47">
        <f>SUMIFS('👷horas'!$K:$K,'👷horas'!$D:$D,A224,'👷horas'!$E:$E,B224,'👷horas'!$F:$F,F224,'👷horas'!$G:$G,G224)</f>
        <v>0</v>
      </c>
      <c r="L224" s="64">
        <f t="shared" si="2"/>
        <v>0.7158119658</v>
      </c>
      <c r="M224" s="65">
        <f t="shared" si="3"/>
        <v>0</v>
      </c>
      <c r="N224" s="50">
        <f t="shared" si="4"/>
        <v>0.2046533713</v>
      </c>
      <c r="O224" s="66">
        <f t="shared" si="5"/>
        <v>1</v>
      </c>
      <c r="P224" s="69" t="s">
        <v>193</v>
      </c>
      <c r="Q224" s="67" t="str">
        <f t="shared" si="6"/>
        <v>En proceso</v>
      </c>
      <c r="R224" s="67" t="str">
        <f>IFERROR(__xludf.DUMMYFUNCTION("SPARKLINE(O224,{""charttype"",""bar"";""max"",1;""color1"",IF(P224=""Terminado"",""#4CAF50"",IF(O224&gt;=0.5,""#FFA500"",""#F44336""))})"),"")</f>
        <v/>
      </c>
      <c r="S224" s="40"/>
      <c r="T224" s="40"/>
      <c r="U224" s="40"/>
      <c r="V224" s="40"/>
      <c r="W224" s="40"/>
      <c r="X224" s="40"/>
      <c r="Y224" s="40"/>
      <c r="Z224" s="40"/>
      <c r="AA224" s="40"/>
    </row>
    <row r="225" ht="22.5" customHeight="1">
      <c r="A225" s="74" t="s">
        <v>123</v>
      </c>
      <c r="B225" s="75" t="s">
        <v>62</v>
      </c>
      <c r="C225" s="75" t="s">
        <v>162</v>
      </c>
      <c r="D225" s="61">
        <v>46.8</v>
      </c>
      <c r="E225" s="62">
        <v>46164.0</v>
      </c>
      <c r="F225" s="68" t="str">
        <f>IFERROR(__xludf.DUMMYFUNCTION("""COMPUTED_VALUE"""),"Fabricación")</f>
        <v>Fabricación</v>
      </c>
      <c r="G225" s="68" t="str">
        <f>IFERROR(__xludf.DUMMYFUNCTION("""COMPUTED_VALUE"""),"Embalaje/carga/descarga material")</f>
        <v>Embalaje/carga/descarga material</v>
      </c>
      <c r="H225" s="63">
        <f>IFERROR(__xludf.DUMMYFUNCTION("(IFERROR(FILTER(BBDD!$J:$J,BBDD!$G:$G=C225,BBDD!$H:$H=F225,BBDD!$I:$I=G225),""NO TIENE PROCESO""))*D225"),7.956)</f>
        <v>7.956</v>
      </c>
      <c r="I225" s="46">
        <f t="shared" si="1"/>
        <v>3.5</v>
      </c>
      <c r="J225" s="46">
        <f>SUMIFS('👷horas'!$J:$J,'👷horas'!$D:$D,A225,'👷horas'!$E:$E,B225,'👷horas'!$F:$F,F225,'👷horas'!$G:$G,G225)</f>
        <v>3.5</v>
      </c>
      <c r="K225" s="47">
        <f>SUMIFS('👷horas'!$K:$K,'👷horas'!$D:$D,A225,'👷horas'!$E:$E,B225,'👷horas'!$F:$F,F225,'👷horas'!$G:$G,G225)</f>
        <v>0</v>
      </c>
      <c r="L225" s="64">
        <f t="shared" si="2"/>
        <v>0.07478632479</v>
      </c>
      <c r="M225" s="77">
        <f t="shared" si="3"/>
        <v>4.456</v>
      </c>
      <c r="N225" s="50">
        <f t="shared" si="4"/>
        <v>0.5600804424</v>
      </c>
      <c r="O225" s="66">
        <f t="shared" si="5"/>
        <v>0.4399195576</v>
      </c>
      <c r="P225" s="69" t="s">
        <v>195</v>
      </c>
      <c r="Q225" s="67" t="str">
        <f t="shared" si="6"/>
        <v>En proceso</v>
      </c>
      <c r="R225" s="67" t="str">
        <f>IFERROR(__xludf.DUMMYFUNCTION("SPARKLINE(O225,{""charttype"",""bar"";""max"",1;""color1"",IF(P225=""Terminado"",""#4CAF50"",IF(O225&gt;=0.5,""#FFA500"",""#F44336""))})"),"")</f>
        <v/>
      </c>
      <c r="S225" s="40"/>
      <c r="T225" s="40"/>
      <c r="U225" s="40"/>
      <c r="V225" s="40"/>
      <c r="W225" s="40"/>
      <c r="X225" s="40"/>
      <c r="Y225" s="40"/>
      <c r="Z225" s="40"/>
      <c r="AA225" s="40"/>
    </row>
    <row r="226" ht="22.5" customHeight="1">
      <c r="A226" s="74" t="s">
        <v>123</v>
      </c>
      <c r="B226" s="75" t="s">
        <v>39</v>
      </c>
      <c r="C226" s="75" t="s">
        <v>135</v>
      </c>
      <c r="D226" s="61">
        <v>14.28</v>
      </c>
      <c r="E226" s="62">
        <v>46164.0</v>
      </c>
      <c r="F226" s="68" t="str">
        <f>IFERROR(__xludf.DUMMYFUNCTION("FILTER(BBDD!H:H,BBDD!G:G=C226)"),"Fabricación")</f>
        <v>Fabricación</v>
      </c>
      <c r="G226" s="54" t="str">
        <f>IFERROR(__xludf.DUMMYFUNCTION("FILTER(BBDD!I:I,BBDD!G:G=C226)"),"Pegado de composite/chapa")</f>
        <v>Pegado de composite/chapa</v>
      </c>
      <c r="H226" s="63">
        <f>IFERROR(__xludf.DUMMYFUNCTION("(IFERROR(FILTER(BBDD!$J:$J,BBDD!$G:$G=C226,BBDD!$H:$H=F226,BBDD!$I:$I=G226),""NO TIENE PROCESO""))*D226"),7.4256)</f>
        <v>7.4256</v>
      </c>
      <c r="I226" s="46">
        <f t="shared" si="1"/>
        <v>6.5</v>
      </c>
      <c r="J226" s="46">
        <f>SUMIFS('👷horas'!$J:$J,'👷horas'!$D:$D,A226,'👷horas'!$E:$E,B226,'👷horas'!$F:$F,F226,'👷horas'!$G:$G,G226)</f>
        <v>6.5</v>
      </c>
      <c r="K226" s="47">
        <f>SUMIFS('👷horas'!$K:$K,'👷horas'!$D:$D,A226,'👷horas'!$E:$E,B226,'👷horas'!$F:$F,F226,'👷horas'!$G:$G,G226)</f>
        <v>0</v>
      </c>
      <c r="L226" s="64">
        <f t="shared" si="2"/>
        <v>0.4551820728</v>
      </c>
      <c r="M226" s="77">
        <f t="shared" si="3"/>
        <v>0.9256</v>
      </c>
      <c r="N226" s="50">
        <f t="shared" si="4"/>
        <v>0.1246498599</v>
      </c>
      <c r="O226" s="66">
        <f t="shared" si="5"/>
        <v>0.8753501401</v>
      </c>
      <c r="P226" s="69" t="s">
        <v>195</v>
      </c>
      <c r="Q226" s="67" t="str">
        <f t="shared" si="6"/>
        <v>En proceso</v>
      </c>
      <c r="R226" s="67" t="str">
        <f>IFERROR(__xludf.DUMMYFUNCTION("SPARKLINE(O226,{""charttype"",""bar"";""max"",1;""color1"",IF(P226=""Terminado"",""#4CAF50"",IF(O226&gt;=0.5,""#FFA500"",""#F44336""))})"),"")</f>
        <v/>
      </c>
      <c r="S226" s="40"/>
      <c r="T226" s="40"/>
      <c r="U226" s="40"/>
      <c r="V226" s="40"/>
      <c r="W226" s="40"/>
      <c r="X226" s="40"/>
      <c r="Y226" s="40"/>
      <c r="Z226" s="40"/>
      <c r="AA226" s="40"/>
    </row>
    <row r="227" ht="22.5" customHeight="1">
      <c r="A227" s="74" t="s">
        <v>123</v>
      </c>
      <c r="B227" s="75" t="s">
        <v>39</v>
      </c>
      <c r="C227" s="75" t="s">
        <v>135</v>
      </c>
      <c r="D227" s="61">
        <v>14.28</v>
      </c>
      <c r="E227" s="62">
        <v>46164.0</v>
      </c>
      <c r="F227" s="68" t="str">
        <f>IFERROR(__xludf.DUMMYFUNCTION("""COMPUTED_VALUE"""),"Fabricación")</f>
        <v>Fabricación</v>
      </c>
      <c r="G227" s="68" t="str">
        <f>IFERROR(__xludf.DUMMYFUNCTION("""COMPUTED_VALUE"""),"Embalaje/carga/descarga material")</f>
        <v>Embalaje/carga/descarga material</v>
      </c>
      <c r="H227" s="63">
        <f>IFERROR(__xludf.DUMMYFUNCTION("(IFERROR(FILTER(BBDD!$J:$J,BBDD!$G:$G=C227,BBDD!$H:$H=F227,BBDD!$I:$I=G227),""NO TIENE PROCESO""))*D227"),6.5687999999999995)</f>
        <v>6.5688</v>
      </c>
      <c r="I227" s="46">
        <f t="shared" si="1"/>
        <v>1</v>
      </c>
      <c r="J227" s="46">
        <f>SUMIFS('👷horas'!$J:$J,'👷horas'!$D:$D,A227,'👷horas'!$E:$E,B227,'👷horas'!$F:$F,F227,'👷horas'!$G:$G,G227)</f>
        <v>1</v>
      </c>
      <c r="K227" s="47">
        <f>SUMIFS('👷horas'!$K:$K,'👷horas'!$D:$D,A227,'👷horas'!$E:$E,B227,'👷horas'!$F:$F,F227,'👷horas'!$G:$G,G227)</f>
        <v>0</v>
      </c>
      <c r="L227" s="64">
        <f t="shared" si="2"/>
        <v>0.0700280112</v>
      </c>
      <c r="M227" s="77">
        <f t="shared" si="3"/>
        <v>5.5688</v>
      </c>
      <c r="N227" s="50">
        <f t="shared" si="4"/>
        <v>0.847765193</v>
      </c>
      <c r="O227" s="66">
        <f t="shared" si="5"/>
        <v>0.152234807</v>
      </c>
      <c r="P227" s="76" t="s">
        <v>12</v>
      </c>
      <c r="Q227" s="67" t="str">
        <f t="shared" si="6"/>
        <v>En proceso</v>
      </c>
      <c r="R227" s="67" t="str">
        <f>IFERROR(__xludf.DUMMYFUNCTION("SPARKLINE(O227,{""charttype"",""bar"";""max"",1;""color1"",IF(P227=""Terminado"",""#4CAF50"",IF(O227&gt;=0.5,""#FFA500"",""#F44336""))})"),"")</f>
        <v/>
      </c>
      <c r="S227" s="40"/>
      <c r="T227" s="40"/>
      <c r="U227" s="40"/>
      <c r="V227" s="40"/>
      <c r="W227" s="40"/>
      <c r="X227" s="40"/>
      <c r="Y227" s="40"/>
      <c r="Z227" s="40"/>
      <c r="AA227" s="40"/>
    </row>
    <row r="228" ht="22.5" customHeight="1">
      <c r="A228" s="74" t="s">
        <v>123</v>
      </c>
      <c r="B228" s="75" t="s">
        <v>39</v>
      </c>
      <c r="C228" s="75" t="s">
        <v>135</v>
      </c>
      <c r="D228" s="61">
        <v>11.0</v>
      </c>
      <c r="E228" s="62">
        <v>46164.0</v>
      </c>
      <c r="F228" s="68" t="str">
        <f>IFERROR(__xludf.DUMMYFUNCTION("""COMPUTED_VALUE"""),"CNC")</f>
        <v>CNC</v>
      </c>
      <c r="G228" s="68" t="str">
        <f>IFERROR(__xludf.DUMMYFUNCTION("""COMPUTED_VALUE"""),"CNC")</f>
        <v>CNC</v>
      </c>
      <c r="H228" s="63">
        <f>IFERROR(__xludf.DUMMYFUNCTION("(IFERROR(FILTER(BBDD!$J:$J,BBDD!$G:$G=C228,BBDD!$H:$H=F228,BBDD!$I:$I=G228),""NO TIENE PROCESO""))*D228"),4.07)</f>
        <v>4.07</v>
      </c>
      <c r="I228" s="46">
        <f t="shared" si="1"/>
        <v>3.833333333</v>
      </c>
      <c r="J228" s="46">
        <f>SUMIFS('👷horas'!$J:$J,'👷horas'!$D:$D,A228,'👷horas'!$E:$E,B228,'👷horas'!$F:$F,F228,'👷horas'!$G:$G,G228)</f>
        <v>3.833333333</v>
      </c>
      <c r="K228" s="47">
        <f>SUMIFS('👷horas'!$K:$K,'👷horas'!$D:$D,A228,'👷horas'!$E:$E,B228,'👷horas'!$F:$F,F228,'👷horas'!$G:$G,G228)</f>
        <v>0</v>
      </c>
      <c r="L228" s="64">
        <f t="shared" si="2"/>
        <v>0.3484848485</v>
      </c>
      <c r="M228" s="65">
        <f t="shared" si="3"/>
        <v>0</v>
      </c>
      <c r="N228" s="50">
        <f t="shared" si="4"/>
        <v>0.05814905815</v>
      </c>
      <c r="O228" s="66">
        <f t="shared" si="5"/>
        <v>1</v>
      </c>
      <c r="P228" s="69" t="s">
        <v>193</v>
      </c>
      <c r="Q228" s="67" t="str">
        <f t="shared" si="6"/>
        <v>En proceso</v>
      </c>
      <c r="R228" s="67" t="str">
        <f>IFERROR(__xludf.DUMMYFUNCTION("SPARKLINE(O228,{""charttype"",""bar"";""max"",1;""color1"",IF(P228=""Terminado"",""#4CAF50"",IF(O228&gt;=0.5,""#FFA500"",""#F44336""))})"),"")</f>
        <v/>
      </c>
      <c r="S228" s="40"/>
      <c r="T228" s="40"/>
      <c r="U228" s="40"/>
      <c r="V228" s="40"/>
      <c r="W228" s="40"/>
      <c r="X228" s="40"/>
      <c r="Y228" s="40"/>
      <c r="Z228" s="40"/>
      <c r="AA228" s="40"/>
    </row>
    <row r="229" ht="22.5" customHeight="1">
      <c r="A229" s="74" t="s">
        <v>123</v>
      </c>
      <c r="B229" s="75" t="s">
        <v>39</v>
      </c>
      <c r="C229" s="75" t="s">
        <v>135</v>
      </c>
      <c r="D229" s="61">
        <v>11.0</v>
      </c>
      <c r="E229" s="62">
        <v>46164.0</v>
      </c>
      <c r="F229" s="68" t="str">
        <f>IFERROR(__xludf.DUMMYFUNCTION("""COMPUTED_VALUE"""),"Fabricación")</f>
        <v>Fabricación</v>
      </c>
      <c r="G229" s="68" t="str">
        <f>IFERROR(__xludf.DUMMYFUNCTION("""COMPUTED_VALUE"""),"Ensamblaje")</f>
        <v>Ensamblaje</v>
      </c>
      <c r="H229" s="63">
        <f>IFERROR(__xludf.DUMMYFUNCTION("(IFERROR(FILTER(BBDD!$J:$J,BBDD!$G:$G=C229,BBDD!$H:$H=F229,BBDD!$I:$I=G229),""NO TIENE PROCESO""))*D229"),3.52)</f>
        <v>3.52</v>
      </c>
      <c r="I229" s="46">
        <f t="shared" si="1"/>
        <v>3</v>
      </c>
      <c r="J229" s="46">
        <f>SUMIFS('👷horas'!$J:$J,'👷horas'!$D:$D,A229,'👷horas'!$E:$E,B229,'👷horas'!$F:$F,F229,'👷horas'!$G:$G,G229)</f>
        <v>3</v>
      </c>
      <c r="K229" s="47">
        <f>SUMIFS('👷horas'!$K:$K,'👷horas'!$D:$D,A229,'👷horas'!$E:$E,B229,'👷horas'!$F:$F,F229,'👷horas'!$G:$G,G229)</f>
        <v>0</v>
      </c>
      <c r="L229" s="64">
        <f t="shared" si="2"/>
        <v>0.2727272727</v>
      </c>
      <c r="M229" s="65">
        <f t="shared" si="3"/>
        <v>0</v>
      </c>
      <c r="N229" s="50">
        <f t="shared" si="4"/>
        <v>0.1477272727</v>
      </c>
      <c r="O229" s="66">
        <f t="shared" si="5"/>
        <v>1</v>
      </c>
      <c r="P229" s="69" t="s">
        <v>193</v>
      </c>
      <c r="Q229" s="67" t="str">
        <f t="shared" si="6"/>
        <v>En proceso</v>
      </c>
      <c r="R229" s="67" t="str">
        <f>IFERROR(__xludf.DUMMYFUNCTION("SPARKLINE(O229,{""charttype"",""bar"";""max"",1;""color1"",IF(P229=""Terminado"",""#4CAF50"",IF(O229&gt;=0.5,""#FFA500"",""#F44336""))})"),"")</f>
        <v/>
      </c>
      <c r="S229" s="40"/>
      <c r="T229" s="40"/>
      <c r="U229" s="40"/>
      <c r="V229" s="40"/>
      <c r="W229" s="40"/>
      <c r="X229" s="40"/>
      <c r="Y229" s="40"/>
      <c r="Z229" s="40"/>
      <c r="AA229" s="40"/>
    </row>
    <row r="230" ht="22.5" customHeight="1">
      <c r="A230" s="74" t="s">
        <v>123</v>
      </c>
      <c r="B230" s="75" t="s">
        <v>39</v>
      </c>
      <c r="C230" s="75" t="s">
        <v>135</v>
      </c>
      <c r="D230" s="61">
        <v>11.0</v>
      </c>
      <c r="E230" s="62">
        <v>46164.0</v>
      </c>
      <c r="F230" s="68" t="str">
        <f>IFERROR(__xludf.DUMMYFUNCTION("""COMPUTED_VALUE"""),"Fabricación")</f>
        <v>Fabricación</v>
      </c>
      <c r="G230" s="68" t="str">
        <f>IFERROR(__xludf.DUMMYFUNCTION("""COMPUTED_VALUE"""),"Colocación de perfiles")</f>
        <v>Colocación de perfiles</v>
      </c>
      <c r="H230" s="63">
        <f>IFERROR(__xludf.DUMMYFUNCTION("(IFERROR(FILTER(BBDD!$J:$J,BBDD!$G:$G=C230,BBDD!$H:$H=F230,BBDD!$I:$I=G230),""NO TIENE PROCESO""))*D230"),1.65)</f>
        <v>1.65</v>
      </c>
      <c r="I230" s="46">
        <f t="shared" si="1"/>
        <v>2.5</v>
      </c>
      <c r="J230" s="46">
        <f>SUMIFS('👷horas'!$J:$J,'👷horas'!$D:$D,A230,'👷horas'!$E:$E,B230,'👷horas'!$F:$F,F230,'👷horas'!$G:$G,G230)</f>
        <v>2.5</v>
      </c>
      <c r="K230" s="47">
        <f>SUMIFS('👷horas'!$K:$K,'👷horas'!$D:$D,A230,'👷horas'!$E:$E,B230,'👷horas'!$F:$F,F230,'👷horas'!$G:$G,G230)</f>
        <v>0</v>
      </c>
      <c r="L230" s="64">
        <f t="shared" si="2"/>
        <v>0.2272727273</v>
      </c>
      <c r="M230" s="77">
        <f t="shared" si="3"/>
        <v>-0.85</v>
      </c>
      <c r="N230" s="50">
        <f t="shared" si="4"/>
        <v>-0.5151515152</v>
      </c>
      <c r="O230" s="66">
        <f t="shared" si="5"/>
        <v>1</v>
      </c>
      <c r="P230" s="76" t="s">
        <v>12</v>
      </c>
      <c r="Q230" s="67" t="str">
        <f t="shared" si="6"/>
        <v>En proceso</v>
      </c>
      <c r="R230" s="67" t="str">
        <f>IFERROR(__xludf.DUMMYFUNCTION("SPARKLINE(O230,{""charttype"",""bar"";""max"",1;""color1"",IF(P230=""Terminado"",""#4CAF50"",IF(O230&gt;=0.5,""#FFA500"",""#F44336""))})"),"")</f>
        <v/>
      </c>
      <c r="S230" s="40"/>
      <c r="T230" s="40"/>
      <c r="U230" s="40"/>
      <c r="V230" s="40"/>
      <c r="W230" s="40"/>
      <c r="X230" s="40"/>
      <c r="Y230" s="40"/>
      <c r="Z230" s="40"/>
      <c r="AA230" s="40"/>
    </row>
    <row r="231" ht="22.5" customHeight="1">
      <c r="A231" s="74" t="s">
        <v>123</v>
      </c>
      <c r="B231" s="75" t="s">
        <v>39</v>
      </c>
      <c r="C231" s="75" t="s">
        <v>135</v>
      </c>
      <c r="D231" s="61">
        <v>11.0</v>
      </c>
      <c r="E231" s="62">
        <v>46164.0</v>
      </c>
      <c r="F231" s="68" t="str">
        <f>IFERROR(__xludf.DUMMYFUNCTION("""COMPUTED_VALUE"""),"Pintura")</f>
        <v>Pintura</v>
      </c>
      <c r="G231" s="68" t="str">
        <f>IFERROR(__xludf.DUMMYFUNCTION("""COMPUTED_VALUE"""),"Imprimación/Pintura")</f>
        <v>Imprimación/Pintura</v>
      </c>
      <c r="H231" s="63">
        <f>IFERROR(__xludf.DUMMYFUNCTION("(IFERROR(FILTER(BBDD!$J:$J,BBDD!$G:$G=C231,BBDD!$H:$H=F231,BBDD!$I:$I=G231),""NO TIENE PROCESO""))*D231"),1.1)</f>
        <v>1.1</v>
      </c>
      <c r="I231" s="46">
        <f t="shared" si="1"/>
        <v>8.5</v>
      </c>
      <c r="J231" s="46">
        <f>SUMIFS('👷horas'!$J:$J,'👷horas'!$D:$D,A231,'👷horas'!$E:$E,B231,'👷horas'!$F:$F,F231,'👷horas'!$G:$G,G231)</f>
        <v>8.5</v>
      </c>
      <c r="K231" s="47">
        <f>SUMIFS('👷horas'!$K:$K,'👷horas'!$D:$D,A231,'👷horas'!$E:$E,B231,'👷horas'!$F:$F,F231,'👷horas'!$G:$G,G231)</f>
        <v>0</v>
      </c>
      <c r="L231" s="64">
        <f t="shared" si="2"/>
        <v>0.7727272727</v>
      </c>
      <c r="M231" s="65">
        <f t="shared" si="3"/>
        <v>0</v>
      </c>
      <c r="N231" s="50">
        <f t="shared" si="4"/>
        <v>-6.727272727</v>
      </c>
      <c r="O231" s="66">
        <f t="shared" si="5"/>
        <v>1</v>
      </c>
      <c r="P231" s="69" t="s">
        <v>193</v>
      </c>
      <c r="Q231" s="67" t="str">
        <f t="shared" si="6"/>
        <v>En proceso</v>
      </c>
      <c r="R231" s="67" t="str">
        <f>IFERROR(__xludf.DUMMYFUNCTION("SPARKLINE(O231,{""charttype"",""bar"";""max"",1;""color1"",IF(P231=""Terminado"",""#4CAF50"",IF(O231&gt;=0.5,""#FFA500"",""#F44336""))})"),"")</f>
        <v/>
      </c>
      <c r="S231" s="40"/>
      <c r="T231" s="40"/>
      <c r="U231" s="40"/>
      <c r="V231" s="40"/>
      <c r="W231" s="40"/>
      <c r="X231" s="40"/>
      <c r="Y231" s="40"/>
      <c r="Z231" s="40"/>
      <c r="AA231" s="40"/>
    </row>
    <row r="232" ht="22.5" customHeight="1">
      <c r="A232" s="74" t="s">
        <v>123</v>
      </c>
      <c r="B232" s="75" t="s">
        <v>80</v>
      </c>
      <c r="C232" s="75" t="s">
        <v>172</v>
      </c>
      <c r="D232" s="61">
        <f>22+80+16+24</f>
        <v>142</v>
      </c>
      <c r="E232" s="62">
        <v>46164.0</v>
      </c>
      <c r="F232" s="68" t="str">
        <f>IFERROR(__xludf.DUMMYFUNCTION("FILTER(BBDD!H:H,BBDD!G:G=C232)"),"Fabricación")</f>
        <v>Fabricación</v>
      </c>
      <c r="G232" s="68" t="str">
        <f>IFERROR(__xludf.DUMMYFUNCTION("FILTER(BBDD!I:I,BBDD!G:G=C232)"),"Embalaje/carga/descarga material")</f>
        <v>Embalaje/carga/descarga material</v>
      </c>
      <c r="H232" s="63">
        <f>IFERROR(__xludf.DUMMYFUNCTION("(IFERROR(FILTER(BBDD!$J:$J,BBDD!$G:$G=C232,BBDD!$H:$H=F232,BBDD!$I:$I=G232),""NO TIENE PROCESO""))*D232"),3.5500000000000003)</f>
        <v>3.55</v>
      </c>
      <c r="I232" s="46">
        <f t="shared" si="1"/>
        <v>0</v>
      </c>
      <c r="J232" s="46">
        <f>SUMIFS('👷horas'!$J:$J,'👷horas'!$D:$D,A232,'👷horas'!$E:$E,B232,'👷horas'!$F:$F,F232,'👷horas'!$G:$G,G232)</f>
        <v>0</v>
      </c>
      <c r="K232" s="47">
        <f>SUMIFS('👷horas'!$K:$K,'👷horas'!$D:$D,A232,'👷horas'!$E:$E,B232,'👷horas'!$F:$F,F232,'👷horas'!$G:$G,G232)</f>
        <v>0</v>
      </c>
      <c r="L232" s="64">
        <f t="shared" si="2"/>
        <v>0</v>
      </c>
      <c r="M232" s="77">
        <f t="shared" si="3"/>
        <v>3.55</v>
      </c>
      <c r="N232" s="50">
        <f t="shared" si="4"/>
        <v>1</v>
      </c>
      <c r="O232" s="66">
        <f t="shared" si="5"/>
        <v>0</v>
      </c>
      <c r="P232" s="76" t="s">
        <v>12</v>
      </c>
      <c r="Q232" s="67" t="str">
        <f t="shared" si="6"/>
        <v>En proceso</v>
      </c>
      <c r="R232" s="67" t="str">
        <f>IFERROR(__xludf.DUMMYFUNCTION("SPARKLINE(O232,{""charttype"",""bar"";""max"",1;""color1"",IF(P232=""Terminado"",""#4CAF50"",IF(O232&gt;=0.5,""#FFA500"",""#F44336""))})"),"")</f>
        <v/>
      </c>
      <c r="S232" s="40"/>
      <c r="T232" s="40"/>
      <c r="U232" s="40"/>
      <c r="V232" s="40"/>
      <c r="W232" s="40"/>
      <c r="X232" s="40"/>
      <c r="Y232" s="40"/>
      <c r="Z232" s="40"/>
      <c r="AA232" s="40"/>
    </row>
    <row r="233" ht="22.5" customHeight="1">
      <c r="A233" s="74" t="s">
        <v>125</v>
      </c>
      <c r="B233" s="75" t="s">
        <v>153</v>
      </c>
      <c r="C233" s="75" t="s">
        <v>163</v>
      </c>
      <c r="D233" s="61">
        <v>6.28</v>
      </c>
      <c r="E233" s="62">
        <v>46171.0</v>
      </c>
      <c r="F233" s="68" t="str">
        <f>IFERROR(__xludf.DUMMYFUNCTION("FILTER(BBDD!H:H,BBDD!G:G=C233)"),"Fabricación")</f>
        <v>Fabricación</v>
      </c>
      <c r="G233" s="68" t="str">
        <f>IFERROR(__xludf.DUMMYFUNCTION("FILTER(BBDD!I:I,BBDD!G:G=C233)"),"Ensamblaje")</f>
        <v>Ensamblaje</v>
      </c>
      <c r="H233" s="63">
        <f>IFERROR(__xludf.DUMMYFUNCTION("(IFERROR(FILTER(BBDD!$J:$J,BBDD!$G:$G=C233,BBDD!$H:$H=F233,BBDD!$I:$I=G233),""NO TIENE PROCESO""))*D233"),15.700000000000001)</f>
        <v>15.7</v>
      </c>
      <c r="I233" s="46">
        <f t="shared" si="1"/>
        <v>0</v>
      </c>
      <c r="J233" s="46">
        <f>SUMIFS('👷horas'!$J:$J,'👷horas'!$D:$D,A233,'👷horas'!$E:$E,B233,'👷horas'!$F:$F,F233,'👷horas'!$G:$G,G233)</f>
        <v>0</v>
      </c>
      <c r="K233" s="47">
        <f>SUMIFS('👷horas'!$K:$K,'👷horas'!$D:$D,A233,'👷horas'!$E:$E,B233,'👷horas'!$F:$F,F233,'👷horas'!$G:$G,G233)</f>
        <v>0</v>
      </c>
      <c r="L233" s="64">
        <f t="shared" si="2"/>
        <v>0</v>
      </c>
      <c r="M233" s="77">
        <f t="shared" si="3"/>
        <v>15.7</v>
      </c>
      <c r="N233" s="50">
        <f t="shared" si="4"/>
        <v>1</v>
      </c>
      <c r="O233" s="66">
        <f t="shared" si="5"/>
        <v>0</v>
      </c>
      <c r="P233" s="76" t="s">
        <v>12</v>
      </c>
      <c r="Q233" s="67" t="str">
        <f t="shared" si="6"/>
        <v>Pendiente</v>
      </c>
      <c r="R233" s="67" t="str">
        <f>IFERROR(__xludf.DUMMYFUNCTION("SPARKLINE(O233,{""charttype"",""bar"";""max"",1;""color1"",IF(P233=""Terminado"",""#4CAF50"",IF(O233&gt;=0.5,""#FFA500"",""#F44336""))})"),"")</f>
        <v/>
      </c>
      <c r="S233" s="40"/>
      <c r="T233" s="40"/>
      <c r="U233" s="40"/>
      <c r="V233" s="40"/>
      <c r="W233" s="40"/>
      <c r="X233" s="40"/>
      <c r="Y233" s="40"/>
      <c r="Z233" s="40"/>
      <c r="AA233" s="40"/>
    </row>
    <row r="234" ht="22.5" customHeight="1">
      <c r="A234" s="74" t="s">
        <v>125</v>
      </c>
      <c r="B234" s="75" t="s">
        <v>153</v>
      </c>
      <c r="C234" s="75" t="s">
        <v>163</v>
      </c>
      <c r="D234" s="61">
        <v>6.28</v>
      </c>
      <c r="E234" s="62">
        <v>46171.0</v>
      </c>
      <c r="F234" s="68" t="str">
        <f>IFERROR(__xludf.DUMMYFUNCTION("""COMPUTED_VALUE"""),"Fabricación")</f>
        <v>Fabricación</v>
      </c>
      <c r="G234" s="68" t="str">
        <f>IFERROR(__xludf.DUMMYFUNCTION("""COMPUTED_VALUE"""),"Embalaje/carga/descarga material")</f>
        <v>Embalaje/carga/descarga material</v>
      </c>
      <c r="H234" s="63">
        <f>IFERROR(__xludf.DUMMYFUNCTION("(IFERROR(FILTER(BBDD!$J:$J,BBDD!$G:$G=C234,BBDD!$H:$H=F234,BBDD!$I:$I=G234),""NO TIENE PROCESO""))*D234"),0.8164)</f>
        <v>0.8164</v>
      </c>
      <c r="I234" s="46">
        <f t="shared" si="1"/>
        <v>0</v>
      </c>
      <c r="J234" s="46">
        <f>SUMIFS('👷horas'!$J:$J,'👷horas'!$D:$D,A234,'👷horas'!$E:$E,B234,'👷horas'!$F:$F,F234,'👷horas'!$G:$G,G234)</f>
        <v>0</v>
      </c>
      <c r="K234" s="47">
        <f>SUMIFS('👷horas'!$K:$K,'👷horas'!$D:$D,A234,'👷horas'!$E:$E,B234,'👷horas'!$F:$F,F234,'👷horas'!$G:$G,G234)</f>
        <v>0</v>
      </c>
      <c r="L234" s="64">
        <f t="shared" si="2"/>
        <v>0</v>
      </c>
      <c r="M234" s="77">
        <f t="shared" si="3"/>
        <v>0.8164</v>
      </c>
      <c r="N234" s="50">
        <f t="shared" si="4"/>
        <v>1</v>
      </c>
      <c r="O234" s="66">
        <f t="shared" si="5"/>
        <v>0</v>
      </c>
      <c r="P234" s="76" t="s">
        <v>12</v>
      </c>
      <c r="Q234" s="67" t="str">
        <f t="shared" si="6"/>
        <v>Pendiente</v>
      </c>
      <c r="R234" s="67" t="str">
        <f>IFERROR(__xludf.DUMMYFUNCTION("SPARKLINE(O234,{""charttype"",""bar"";""max"",1;""color1"",IF(P234=""Terminado"",""#4CAF50"",IF(O234&gt;=0.5,""#FFA500"",""#F44336""))})"),"")</f>
        <v/>
      </c>
      <c r="S234" s="40"/>
      <c r="T234" s="40"/>
      <c r="U234" s="40"/>
      <c r="V234" s="40"/>
      <c r="W234" s="40"/>
      <c r="X234" s="40"/>
      <c r="Y234" s="40"/>
      <c r="Z234" s="40"/>
      <c r="AA234" s="40"/>
    </row>
    <row r="235" ht="22.5" customHeight="1">
      <c r="A235" s="59" t="s">
        <v>129</v>
      </c>
      <c r="B235" s="60" t="s">
        <v>77</v>
      </c>
      <c r="C235" s="60" t="s">
        <v>147</v>
      </c>
      <c r="D235" s="61">
        <v>1.7</v>
      </c>
      <c r="E235" s="62">
        <v>46150.0</v>
      </c>
      <c r="F235" s="68" t="str">
        <f>IFERROR(__xludf.DUMMYFUNCTION("FILTER(BBDD!H:H,BBDD!G:G=C235)"),"CNC")</f>
        <v>CNC</v>
      </c>
      <c r="G235" s="68" t="str">
        <f>IFERROR(__xludf.DUMMYFUNCTION("FILTER(BBDD!I:I,BBDD!G:G=C235)"),"CNC")</f>
        <v>CNC</v>
      </c>
      <c r="H235" s="63">
        <f>IFERROR(__xludf.DUMMYFUNCTION("(IFERROR(FILTER(BBDD!$J:$J,BBDD!$G:$G=C235,BBDD!$H:$H=F235,BBDD!$I:$I=G235),""NO TIENE PROCESO""))*D235"),0.68)</f>
        <v>0.68</v>
      </c>
      <c r="I235" s="46">
        <f t="shared" si="1"/>
        <v>0</v>
      </c>
      <c r="J235" s="46">
        <f>SUMIFS('👷horas'!$J:$J,'👷horas'!$D:$D,A235,'👷horas'!$E:$E,B235,'👷horas'!$F:$F,F235,'👷horas'!$G:$G,G235)</f>
        <v>0</v>
      </c>
      <c r="K235" s="47">
        <f>SUMIFS('👷horas'!$K:$K,'👷horas'!$D:$D,A235,'👷horas'!$E:$E,B235,'👷horas'!$F:$F,F235,'👷horas'!$G:$G,G235)</f>
        <v>0</v>
      </c>
      <c r="L235" s="64">
        <f t="shared" si="2"/>
        <v>0</v>
      </c>
      <c r="M235" s="77">
        <f t="shared" si="3"/>
        <v>0.68</v>
      </c>
      <c r="N235" s="66">
        <f t="shared" si="4"/>
        <v>1</v>
      </c>
      <c r="O235" s="66">
        <f t="shared" si="5"/>
        <v>0</v>
      </c>
      <c r="P235" s="76" t="s">
        <v>12</v>
      </c>
      <c r="Q235" s="67" t="str">
        <f t="shared" si="6"/>
        <v>Pendiente</v>
      </c>
      <c r="R235" s="67" t="str">
        <f>IFERROR(__xludf.DUMMYFUNCTION("SPARKLINE(O235,{""charttype"",""bar"";""max"",1;""color1"",IF(P235=""Terminado"",""#4CAF50"",IF(O235&gt;=0.5,""#FFA500"",""#F44336""))})"),"")</f>
        <v/>
      </c>
      <c r="S235" s="40"/>
      <c r="T235" s="40"/>
      <c r="U235" s="40"/>
      <c r="V235" s="40"/>
      <c r="W235" s="40"/>
      <c r="X235" s="40"/>
      <c r="Y235" s="40"/>
      <c r="Z235" s="40"/>
      <c r="AA235" s="40"/>
    </row>
    <row r="236" ht="22.5" customHeight="1">
      <c r="A236" s="59" t="s">
        <v>129</v>
      </c>
      <c r="B236" s="60" t="s">
        <v>77</v>
      </c>
      <c r="C236" s="60" t="s">
        <v>147</v>
      </c>
      <c r="D236" s="61">
        <v>1.7</v>
      </c>
      <c r="E236" s="62">
        <v>46150.0</v>
      </c>
      <c r="F236" s="68" t="str">
        <f>IFERROR(__xludf.DUMMYFUNCTION("""COMPUTED_VALUE"""),"Fabricación")</f>
        <v>Fabricación</v>
      </c>
      <c r="G236" s="68" t="str">
        <f>IFERROR(__xludf.DUMMYFUNCTION("""COMPUTED_VALUE"""),"Ensamblaje")</f>
        <v>Ensamblaje</v>
      </c>
      <c r="H236" s="63">
        <f>IFERROR(__xludf.DUMMYFUNCTION("(IFERROR(FILTER(BBDD!$J:$J,BBDD!$G:$G=C236,BBDD!$H:$H=F236,BBDD!$I:$I=G236),""NO TIENE PROCESO""))*D236"),0.272)</f>
        <v>0.272</v>
      </c>
      <c r="I236" s="46">
        <f t="shared" si="1"/>
        <v>0</v>
      </c>
      <c r="J236" s="46">
        <f>SUMIFS('👷horas'!$J:$J,'👷horas'!$D:$D,A236,'👷horas'!$E:$E,B236,'👷horas'!$F:$F,F236,'👷horas'!$G:$G,G236)</f>
        <v>0</v>
      </c>
      <c r="K236" s="47">
        <f>SUMIFS('👷horas'!$K:$K,'👷horas'!$D:$D,A236,'👷horas'!$E:$E,B236,'👷horas'!$F:$F,F236,'👷horas'!$G:$G,G236)</f>
        <v>0</v>
      </c>
      <c r="L236" s="64">
        <f t="shared" si="2"/>
        <v>0</v>
      </c>
      <c r="M236" s="77">
        <f t="shared" si="3"/>
        <v>0.272</v>
      </c>
      <c r="N236" s="66">
        <f t="shared" si="4"/>
        <v>1</v>
      </c>
      <c r="O236" s="66">
        <f t="shared" si="5"/>
        <v>0</v>
      </c>
      <c r="P236" s="76" t="s">
        <v>12</v>
      </c>
      <c r="Q236" s="67" t="str">
        <f t="shared" si="6"/>
        <v>Pendiente</v>
      </c>
      <c r="R236" s="67" t="str">
        <f>IFERROR(__xludf.DUMMYFUNCTION("SPARKLINE(O236,{""charttype"",""bar"";""max"",1;""color1"",IF(P236=""Terminado"",""#4CAF50"",IF(O236&gt;=0.5,""#FFA500"",""#F44336""))})"),"")</f>
        <v/>
      </c>
      <c r="S236" s="40"/>
      <c r="T236" s="40"/>
      <c r="U236" s="40"/>
      <c r="V236" s="40"/>
      <c r="W236" s="40"/>
      <c r="X236" s="40"/>
      <c r="Y236" s="40"/>
      <c r="Z236" s="40"/>
      <c r="AA236" s="40"/>
    </row>
    <row r="237" ht="22.5" customHeight="1">
      <c r="A237" s="59" t="s">
        <v>129</v>
      </c>
      <c r="B237" s="60" t="s">
        <v>77</v>
      </c>
      <c r="C237" s="60" t="s">
        <v>147</v>
      </c>
      <c r="D237" s="61">
        <v>1.7</v>
      </c>
      <c r="E237" s="62">
        <v>46150.0</v>
      </c>
      <c r="F237" s="68" t="str">
        <f>IFERROR(__xludf.DUMMYFUNCTION("""COMPUTED_VALUE"""),"Fabricación")</f>
        <v>Fabricación</v>
      </c>
      <c r="G237" s="68" t="str">
        <f>IFERROR(__xludf.DUMMYFUNCTION("""COMPUTED_VALUE"""),"Colocación de perfiles")</f>
        <v>Colocación de perfiles</v>
      </c>
      <c r="H237" s="63">
        <f>IFERROR(__xludf.DUMMYFUNCTION("(IFERROR(FILTER(BBDD!$J:$J,BBDD!$G:$G=C237,BBDD!$H:$H=F237,BBDD!$I:$I=G237),""NO TIENE PROCESO""))*D237"),0.0)</f>
        <v>0</v>
      </c>
      <c r="I237" s="46">
        <f t="shared" si="1"/>
        <v>0</v>
      </c>
      <c r="J237" s="46">
        <f>SUMIFS('👷horas'!$J:$J,'👷horas'!$D:$D,A237,'👷horas'!$E:$E,B237,'👷horas'!$F:$F,F237,'👷horas'!$G:$G,G237)</f>
        <v>0</v>
      </c>
      <c r="K237" s="47">
        <f>SUMIFS('👷horas'!$K:$K,'👷horas'!$D:$D,A237,'👷horas'!$E:$E,B237,'👷horas'!$F:$F,F237,'👷horas'!$G:$G,G237)</f>
        <v>0</v>
      </c>
      <c r="L237" s="64">
        <f t="shared" si="2"/>
        <v>0</v>
      </c>
      <c r="M237" s="77">
        <f t="shared" si="3"/>
        <v>0</v>
      </c>
      <c r="N237" s="66" t="str">
        <f t="shared" si="4"/>
        <v>#DIV/0!</v>
      </c>
      <c r="O237" s="66">
        <f t="shared" si="5"/>
        <v>0</v>
      </c>
      <c r="P237" s="76" t="s">
        <v>12</v>
      </c>
      <c r="Q237" s="67" t="str">
        <f t="shared" si="6"/>
        <v>Pendiente</v>
      </c>
      <c r="R237" s="67" t="str">
        <f>IFERROR(__xludf.DUMMYFUNCTION("SPARKLINE(O237,{""charttype"",""bar"";""max"",1;""color1"",IF(P237=""Terminado"",""#4CAF50"",IF(O237&gt;=0.5,""#FFA500"",""#F44336""))})"),"")</f>
        <v/>
      </c>
      <c r="S237" s="40"/>
      <c r="T237" s="40"/>
      <c r="U237" s="40"/>
      <c r="V237" s="40"/>
      <c r="W237" s="40"/>
      <c r="X237" s="40"/>
      <c r="Y237" s="40"/>
      <c r="Z237" s="40"/>
      <c r="AA237" s="40"/>
    </row>
    <row r="238" ht="22.5" customHeight="1">
      <c r="A238" s="59" t="s">
        <v>129</v>
      </c>
      <c r="B238" s="60" t="s">
        <v>77</v>
      </c>
      <c r="C238" s="60" t="s">
        <v>147</v>
      </c>
      <c r="D238" s="61">
        <v>1.7</v>
      </c>
      <c r="E238" s="62">
        <v>46150.0</v>
      </c>
      <c r="F238" s="68" t="str">
        <f>IFERROR(__xludf.DUMMYFUNCTION("""COMPUTED_VALUE"""),"Fabricación")</f>
        <v>Fabricación</v>
      </c>
      <c r="G238" s="68" t="str">
        <f>IFERROR(__xludf.DUMMYFUNCTION("""COMPUTED_VALUE"""),"Embalaje/carga/descarga material")</f>
        <v>Embalaje/carga/descarga material</v>
      </c>
      <c r="H238" s="63">
        <f>IFERROR(__xludf.DUMMYFUNCTION("(IFERROR(FILTER(BBDD!$J:$J,BBDD!$G:$G=C238,BBDD!$H:$H=F238,BBDD!$I:$I=G238),""NO TIENE PROCESO""))*D238"),0.17)</f>
        <v>0.17</v>
      </c>
      <c r="I238" s="46">
        <f t="shared" si="1"/>
        <v>0</v>
      </c>
      <c r="J238" s="46">
        <f>SUMIFS('👷horas'!$J:$J,'👷horas'!$D:$D,A238,'👷horas'!$E:$E,B238,'👷horas'!$F:$F,F238,'👷horas'!$G:$G,G238)</f>
        <v>0</v>
      </c>
      <c r="K238" s="47">
        <f>SUMIFS('👷horas'!$K:$K,'👷horas'!$D:$D,A238,'👷horas'!$E:$E,B238,'👷horas'!$F:$F,F238,'👷horas'!$G:$G,G238)</f>
        <v>0</v>
      </c>
      <c r="L238" s="64">
        <f t="shared" si="2"/>
        <v>0</v>
      </c>
      <c r="M238" s="77">
        <f t="shared" si="3"/>
        <v>0.17</v>
      </c>
      <c r="N238" s="66">
        <f t="shared" si="4"/>
        <v>1</v>
      </c>
      <c r="O238" s="66">
        <f t="shared" si="5"/>
        <v>0</v>
      </c>
      <c r="P238" s="76" t="s">
        <v>12</v>
      </c>
      <c r="Q238" s="67" t="str">
        <f t="shared" si="6"/>
        <v>Pendiente</v>
      </c>
      <c r="R238" s="67" t="str">
        <f>IFERROR(__xludf.DUMMYFUNCTION("SPARKLINE(O238,{""charttype"",""bar"";""max"",1;""color1"",IF(P238=""Terminado"",""#4CAF50"",IF(O238&gt;=0.5,""#FFA500"",""#F44336""))})"),"")</f>
        <v/>
      </c>
      <c r="S238" s="40"/>
      <c r="T238" s="40"/>
      <c r="U238" s="40"/>
      <c r="V238" s="40"/>
      <c r="W238" s="40"/>
      <c r="X238" s="40"/>
      <c r="Y238" s="40"/>
      <c r="Z238" s="40"/>
      <c r="AA238" s="40"/>
    </row>
    <row r="239" ht="22.5" customHeight="1">
      <c r="A239" s="59" t="s">
        <v>129</v>
      </c>
      <c r="B239" s="60" t="s">
        <v>77</v>
      </c>
      <c r="C239" s="60" t="s">
        <v>147</v>
      </c>
      <c r="D239" s="61">
        <v>1.7</v>
      </c>
      <c r="E239" s="62">
        <v>46150.0</v>
      </c>
      <c r="F239" s="68" t="str">
        <f>IFERROR(__xludf.DUMMYFUNCTION("""COMPUTED_VALUE"""),"Pintura")</f>
        <v>Pintura</v>
      </c>
      <c r="G239" s="68" t="str">
        <f>IFERROR(__xludf.DUMMYFUNCTION("""COMPUTED_VALUE"""),"Lijado y/o Masillado")</f>
        <v>Lijado y/o Masillado</v>
      </c>
      <c r="H239" s="63">
        <f>IFERROR(__xludf.DUMMYFUNCTION("(IFERROR(FILTER(BBDD!$J:$J,BBDD!$G:$G=C239,BBDD!$H:$H=F239,BBDD!$I:$I=G239),""NO TIENE PROCESO""))*D239"),1.02)</f>
        <v>1.02</v>
      </c>
      <c r="I239" s="46">
        <f t="shared" si="1"/>
        <v>0</v>
      </c>
      <c r="J239" s="46">
        <f>SUMIFS('👷horas'!$J:$J,'👷horas'!$D:$D,A239,'👷horas'!$E:$E,B239,'👷horas'!$F:$F,F239,'👷horas'!$G:$G,G239)</f>
        <v>0</v>
      </c>
      <c r="K239" s="47">
        <f>SUMIFS('👷horas'!$K:$K,'👷horas'!$D:$D,A239,'👷horas'!$E:$E,B239,'👷horas'!$F:$F,F239,'👷horas'!$G:$G,G239)</f>
        <v>0</v>
      </c>
      <c r="L239" s="64">
        <f t="shared" si="2"/>
        <v>0</v>
      </c>
      <c r="M239" s="77">
        <f t="shared" si="3"/>
        <v>1.02</v>
      </c>
      <c r="N239" s="66">
        <f t="shared" si="4"/>
        <v>1</v>
      </c>
      <c r="O239" s="66">
        <f t="shared" si="5"/>
        <v>0</v>
      </c>
      <c r="P239" s="76" t="s">
        <v>12</v>
      </c>
      <c r="Q239" s="67" t="str">
        <f t="shared" si="6"/>
        <v>Pendiente</v>
      </c>
      <c r="R239" s="67" t="str">
        <f>IFERROR(__xludf.DUMMYFUNCTION("SPARKLINE(O239,{""charttype"",""bar"";""max"",1;""color1"",IF(P239=""Terminado"",""#4CAF50"",IF(O239&gt;=0.5,""#FFA500"",""#F44336""))})"),"")</f>
        <v/>
      </c>
      <c r="S239" s="40"/>
      <c r="T239" s="40"/>
      <c r="U239" s="40"/>
      <c r="V239" s="40"/>
      <c r="W239" s="40"/>
      <c r="X239" s="40"/>
      <c r="Y239" s="40"/>
      <c r="Z239" s="40"/>
      <c r="AA239" s="40"/>
    </row>
    <row r="240" ht="22.5" customHeight="1">
      <c r="A240" s="59" t="s">
        <v>129</v>
      </c>
      <c r="B240" s="60" t="s">
        <v>77</v>
      </c>
      <c r="C240" s="60" t="s">
        <v>147</v>
      </c>
      <c r="D240" s="61">
        <v>1.7</v>
      </c>
      <c r="E240" s="62">
        <v>46150.0</v>
      </c>
      <c r="F240" s="68" t="str">
        <f>IFERROR(__xludf.DUMMYFUNCTION("""COMPUTED_VALUE"""),"Pintura")</f>
        <v>Pintura</v>
      </c>
      <c r="G240" s="68" t="str">
        <f>IFERROR(__xludf.DUMMYFUNCTION("""COMPUTED_VALUE"""),"Imprimación/Pintura")</f>
        <v>Imprimación/Pintura</v>
      </c>
      <c r="H240" s="63">
        <f>IFERROR(__xludf.DUMMYFUNCTION("(IFERROR(FILTER(BBDD!$J:$J,BBDD!$G:$G=C240,BBDD!$H:$H=F240,BBDD!$I:$I=G240),""NO TIENE PROCESO""))*D240"),1.275)</f>
        <v>1.275</v>
      </c>
      <c r="I240" s="46">
        <f t="shared" si="1"/>
        <v>0</v>
      </c>
      <c r="J240" s="46">
        <f>SUMIFS('👷horas'!$J:$J,'👷horas'!$D:$D,A240,'👷horas'!$E:$E,B240,'👷horas'!$F:$F,F240,'👷horas'!$G:$G,G240)</f>
        <v>0</v>
      </c>
      <c r="K240" s="47">
        <f>SUMIFS('👷horas'!$K:$K,'👷horas'!$D:$D,A240,'👷horas'!$E:$E,B240,'👷horas'!$F:$F,F240,'👷horas'!$G:$G,G240)</f>
        <v>0</v>
      </c>
      <c r="L240" s="64">
        <f t="shared" si="2"/>
        <v>0</v>
      </c>
      <c r="M240" s="77">
        <f t="shared" si="3"/>
        <v>1.275</v>
      </c>
      <c r="N240" s="66">
        <f t="shared" si="4"/>
        <v>1</v>
      </c>
      <c r="O240" s="66">
        <f t="shared" si="5"/>
        <v>0</v>
      </c>
      <c r="P240" s="76" t="s">
        <v>12</v>
      </c>
      <c r="Q240" s="67" t="str">
        <f t="shared" si="6"/>
        <v>Pendiente</v>
      </c>
      <c r="R240" s="67" t="str">
        <f>IFERROR(__xludf.DUMMYFUNCTION("SPARKLINE(O240,{""charttype"",""bar"";""max"",1;""color1"",IF(P240=""Terminado"",""#4CAF50"",IF(O240&gt;=0.5,""#FFA500"",""#F44336""))})"),"")</f>
        <v/>
      </c>
      <c r="S240" s="40"/>
      <c r="T240" s="40"/>
      <c r="U240" s="40"/>
      <c r="V240" s="40"/>
      <c r="W240" s="40"/>
      <c r="X240" s="40"/>
      <c r="Y240" s="40"/>
      <c r="Z240" s="40"/>
      <c r="AA240" s="40"/>
    </row>
    <row r="241" ht="22.5" customHeight="1">
      <c r="A241" s="60" t="s">
        <v>131</v>
      </c>
      <c r="B241" s="60" t="s">
        <v>11</v>
      </c>
      <c r="C241" s="60" t="s">
        <v>14</v>
      </c>
      <c r="D241" s="61">
        <v>13.8</v>
      </c>
      <c r="E241" s="62">
        <v>46140.0</v>
      </c>
      <c r="F241" s="68" t="str">
        <f>IFERROR(__xludf.DUMMYFUNCTION("FILTER(BBDD!H:H,BBDD!G:G=C241)"),"CNC")</f>
        <v>CNC</v>
      </c>
      <c r="G241" s="68" t="str">
        <f>IFERROR(__xludf.DUMMYFUNCTION("FILTER(BBDD!I:I,BBDD!G:G=C241)"),"CNC")</f>
        <v>CNC</v>
      </c>
      <c r="H241" s="63">
        <f>IFERROR(__xludf.DUMMYFUNCTION("(IFERROR(FILTER(BBDD!$J:$J,BBDD!$G:$G=C241,BBDD!$H:$H=F241,BBDD!$I:$I=G241),""NO TIENE PROCESO""))*D241"),2.7600000000000002)</f>
        <v>2.76</v>
      </c>
      <c r="I241" s="46">
        <f t="shared" si="1"/>
        <v>1.5</v>
      </c>
      <c r="J241" s="46">
        <f>SUMIFS('👷horas'!$J:$J,'👷horas'!$D:$D,A241,'👷horas'!$E:$E,B241,'👷horas'!$F:$F,F241,'👷horas'!$G:$G,G241)</f>
        <v>1.5</v>
      </c>
      <c r="K241" s="47">
        <f>SUMIFS('👷horas'!$K:$K,'👷horas'!$D:$D,A241,'👷horas'!$E:$E,B241,'👷horas'!$F:$F,F241,'👷horas'!$G:$G,G241)</f>
        <v>0</v>
      </c>
      <c r="L241" s="64">
        <f t="shared" si="2"/>
        <v>0.1086956522</v>
      </c>
      <c r="M241" s="65">
        <f t="shared" si="3"/>
        <v>0</v>
      </c>
      <c r="N241" s="66">
        <f t="shared" si="4"/>
        <v>0.4565217391</v>
      </c>
      <c r="O241" s="66">
        <f t="shared" si="5"/>
        <v>1</v>
      </c>
      <c r="P241" s="69" t="s">
        <v>193</v>
      </c>
      <c r="Q241" s="67" t="str">
        <f t="shared" si="6"/>
        <v>Terminado</v>
      </c>
      <c r="R241" s="67" t="str">
        <f>IFERROR(__xludf.DUMMYFUNCTION("SPARKLINE(O241,{""charttype"",""bar"";""max"",1;""color1"",IF(P241=""Terminado"",""#4CAF50"",IF(O241&gt;=0.5,""#FFA500"",""#F44336""))})"),"")</f>
        <v/>
      </c>
      <c r="S241" s="40"/>
      <c r="T241" s="40"/>
      <c r="U241" s="40"/>
      <c r="V241" s="40"/>
      <c r="W241" s="40"/>
      <c r="X241" s="40"/>
      <c r="Y241" s="40"/>
      <c r="Z241" s="40"/>
      <c r="AA241" s="40"/>
    </row>
    <row r="242" ht="22.5" customHeight="1">
      <c r="A242" s="60" t="s">
        <v>131</v>
      </c>
      <c r="B242" s="60" t="s">
        <v>11</v>
      </c>
      <c r="C242" s="60" t="s">
        <v>14</v>
      </c>
      <c r="D242" s="61">
        <v>13.8</v>
      </c>
      <c r="E242" s="62">
        <v>46140.0</v>
      </c>
      <c r="F242" s="68" t="str">
        <f>IFERROR(__xludf.DUMMYFUNCTION("""COMPUTED_VALUE"""),"Fabricación")</f>
        <v>Fabricación</v>
      </c>
      <c r="G242" s="68" t="str">
        <f>IFERROR(__xludf.DUMMYFUNCTION("""COMPUTED_VALUE"""),"Ensamblaje")</f>
        <v>Ensamblaje</v>
      </c>
      <c r="H242" s="63">
        <f>IFERROR(__xludf.DUMMYFUNCTION("(IFERROR(FILTER(BBDD!$J:$J,BBDD!$G:$G=C242,BBDD!$H:$H=F242,BBDD!$I:$I=G242),""NO TIENE PROCESO""))*D242"),8.556000000000001)</f>
        <v>8.556</v>
      </c>
      <c r="I242" s="46">
        <f t="shared" si="1"/>
        <v>7</v>
      </c>
      <c r="J242" s="46">
        <f>SUMIFS('👷horas'!$J:$J,'👷horas'!$D:$D,A242,'👷horas'!$E:$E,B242,'👷horas'!$F:$F,F242,'👷horas'!$G:$G,G242)</f>
        <v>7</v>
      </c>
      <c r="K242" s="47">
        <f>SUMIFS('👷horas'!$K:$K,'👷horas'!$D:$D,A242,'👷horas'!$E:$E,B242,'👷horas'!$F:$F,F242,'👷horas'!$G:$G,G242)</f>
        <v>0</v>
      </c>
      <c r="L242" s="64">
        <f t="shared" si="2"/>
        <v>0.5072463768</v>
      </c>
      <c r="M242" s="65">
        <f t="shared" si="3"/>
        <v>0</v>
      </c>
      <c r="N242" s="66">
        <f t="shared" si="4"/>
        <v>0.1818606826</v>
      </c>
      <c r="O242" s="66">
        <f t="shared" si="5"/>
        <v>1</v>
      </c>
      <c r="P242" s="69" t="s">
        <v>193</v>
      </c>
      <c r="Q242" s="67" t="str">
        <f t="shared" si="6"/>
        <v>Terminado</v>
      </c>
      <c r="R242" s="67" t="str">
        <f>IFERROR(__xludf.DUMMYFUNCTION("SPARKLINE(O242,{""charttype"",""bar"";""max"",1;""color1"",IF(P242=""Terminado"",""#4CAF50"",IF(O242&gt;=0.5,""#FFA500"",""#F44336""))})"),"")</f>
        <v/>
      </c>
      <c r="S242" s="40"/>
      <c r="T242" s="40"/>
      <c r="U242" s="40"/>
      <c r="V242" s="40"/>
      <c r="W242" s="40"/>
      <c r="X242" s="40"/>
      <c r="Y242" s="40"/>
      <c r="Z242" s="40"/>
      <c r="AA242" s="40"/>
    </row>
    <row r="243" ht="22.5" customHeight="1">
      <c r="A243" s="60" t="s">
        <v>131</v>
      </c>
      <c r="B243" s="60" t="s">
        <v>11</v>
      </c>
      <c r="C243" s="60" t="s">
        <v>14</v>
      </c>
      <c r="D243" s="61">
        <v>13.8</v>
      </c>
      <c r="E243" s="62">
        <v>46140.0</v>
      </c>
      <c r="F243" s="68" t="str">
        <f>IFERROR(__xludf.DUMMYFUNCTION("""COMPUTED_VALUE"""),"Fabricación")</f>
        <v>Fabricación</v>
      </c>
      <c r="G243" s="68" t="str">
        <f>IFERROR(__xludf.DUMMYFUNCTION("""COMPUTED_VALUE"""),"Colocación de perfiles")</f>
        <v>Colocación de perfiles</v>
      </c>
      <c r="H243" s="63">
        <f>IFERROR(__xludf.DUMMYFUNCTION("(IFERROR(FILTER(BBDD!$J:$J,BBDD!$G:$G=C243,BBDD!$H:$H=F243,BBDD!$I:$I=G243),""NO TIENE PROCESO""))*D243"),2.7600000000000002)</f>
        <v>2.76</v>
      </c>
      <c r="I243" s="46">
        <f t="shared" si="1"/>
        <v>3</v>
      </c>
      <c r="J243" s="46">
        <f>SUMIFS('👷horas'!$J:$J,'👷horas'!$D:$D,A243,'👷horas'!$E:$E,B243,'👷horas'!$F:$F,F243,'👷horas'!$G:$G,G243)</f>
        <v>3</v>
      </c>
      <c r="K243" s="47">
        <f>SUMIFS('👷horas'!$K:$K,'👷horas'!$D:$D,A243,'👷horas'!$E:$E,B243,'👷horas'!$F:$F,F243,'👷horas'!$G:$G,G243)</f>
        <v>0</v>
      </c>
      <c r="L243" s="64">
        <f t="shared" si="2"/>
        <v>0.2173913043</v>
      </c>
      <c r="M243" s="65">
        <f t="shared" si="3"/>
        <v>0</v>
      </c>
      <c r="N243" s="66">
        <f t="shared" si="4"/>
        <v>-0.08695652174</v>
      </c>
      <c r="O243" s="66">
        <f t="shared" si="5"/>
        <v>1</v>
      </c>
      <c r="P243" s="69" t="s">
        <v>193</v>
      </c>
      <c r="Q243" s="67" t="str">
        <f t="shared" si="6"/>
        <v>Terminado</v>
      </c>
      <c r="R243" s="67" t="str">
        <f>IFERROR(__xludf.DUMMYFUNCTION("SPARKLINE(O243,{""charttype"",""bar"";""max"",1;""color1"",IF(P243=""Terminado"",""#4CAF50"",IF(O243&gt;=0.5,""#FFA500"",""#F44336""))})"),"")</f>
        <v/>
      </c>
      <c r="S243" s="40"/>
      <c r="T243" s="40"/>
      <c r="U243" s="40"/>
      <c r="V243" s="40"/>
      <c r="W243" s="40"/>
      <c r="X243" s="40"/>
      <c r="Y243" s="40"/>
      <c r="Z243" s="40"/>
      <c r="AA243" s="40"/>
    </row>
    <row r="244" ht="22.5" customHeight="1">
      <c r="A244" s="60" t="s">
        <v>131</v>
      </c>
      <c r="B244" s="60" t="s">
        <v>11</v>
      </c>
      <c r="C244" s="60" t="s">
        <v>14</v>
      </c>
      <c r="D244" s="61">
        <v>13.8</v>
      </c>
      <c r="E244" s="62">
        <v>46140.0</v>
      </c>
      <c r="F244" s="68" t="str">
        <f>IFERROR(__xludf.DUMMYFUNCTION("""COMPUTED_VALUE"""),"Fabricación")</f>
        <v>Fabricación</v>
      </c>
      <c r="G244" s="68" t="str">
        <f>IFERROR(__xludf.DUMMYFUNCTION("""COMPUTED_VALUE"""),"Embalaje/carga/descarga material")</f>
        <v>Embalaje/carga/descarga material</v>
      </c>
      <c r="H244" s="63">
        <f>IFERROR(__xludf.DUMMYFUNCTION("(IFERROR(FILTER(BBDD!$J:$J,BBDD!$G:$G=C244,BBDD!$H:$H=F244,BBDD!$I:$I=G244),""NO TIENE PROCESO""))*D244"),2.07)</f>
        <v>2.07</v>
      </c>
      <c r="I244" s="46">
        <f t="shared" si="1"/>
        <v>0.5</v>
      </c>
      <c r="J244" s="46">
        <f>SUMIFS('👷horas'!$J:$J,'👷horas'!$D:$D,A244,'👷horas'!$E:$E,B244,'👷horas'!$F:$F,F244,'👷horas'!$G:$G,G244)</f>
        <v>0.5</v>
      </c>
      <c r="K244" s="47">
        <f>SUMIFS('👷horas'!$K:$K,'👷horas'!$D:$D,A244,'👷horas'!$E:$E,B244,'👷horas'!$F:$F,F244,'👷horas'!$G:$G,G244)</f>
        <v>0</v>
      </c>
      <c r="L244" s="64">
        <f t="shared" si="2"/>
        <v>0.03623188406</v>
      </c>
      <c r="M244" s="65">
        <f t="shared" si="3"/>
        <v>0</v>
      </c>
      <c r="N244" s="66">
        <f t="shared" si="4"/>
        <v>0.7584541063</v>
      </c>
      <c r="O244" s="66">
        <f t="shared" si="5"/>
        <v>1</v>
      </c>
      <c r="P244" s="69" t="s">
        <v>193</v>
      </c>
      <c r="Q244" s="67" t="str">
        <f t="shared" si="6"/>
        <v>Terminado</v>
      </c>
      <c r="R244" s="67" t="str">
        <f>IFERROR(__xludf.DUMMYFUNCTION("SPARKLINE(O244,{""charttype"",""bar"";""max"",1;""color1"",IF(P244=""Terminado"",""#4CAF50"",IF(O244&gt;=0.5,""#FFA500"",""#F44336""))})"),"")</f>
        <v/>
      </c>
      <c r="S244" s="40"/>
      <c r="T244" s="40"/>
      <c r="U244" s="40"/>
      <c r="V244" s="40"/>
      <c r="W244" s="40"/>
      <c r="X244" s="40"/>
      <c r="Y244" s="40"/>
      <c r="Z244" s="40"/>
      <c r="AA244" s="40"/>
    </row>
    <row r="245" ht="22.5" customHeight="1">
      <c r="A245" s="60" t="s">
        <v>131</v>
      </c>
      <c r="B245" s="60" t="s">
        <v>11</v>
      </c>
      <c r="C245" s="60" t="s">
        <v>14</v>
      </c>
      <c r="D245" s="61">
        <v>13.8</v>
      </c>
      <c r="E245" s="62">
        <v>46140.0</v>
      </c>
      <c r="F245" s="68" t="str">
        <f>IFERROR(__xludf.DUMMYFUNCTION("""COMPUTED_VALUE"""),"Pintura")</f>
        <v>Pintura</v>
      </c>
      <c r="G245" s="68" t="str">
        <f>IFERROR(__xludf.DUMMYFUNCTION("""COMPUTED_VALUE"""),"Lijado y/o Masillado")</f>
        <v>Lijado y/o Masillado</v>
      </c>
      <c r="H245" s="63">
        <f>IFERROR(__xludf.DUMMYFUNCTION("(IFERROR(FILTER(BBDD!$J:$J,BBDD!$G:$G=C245,BBDD!$H:$H=F245,BBDD!$I:$I=G245),""NO TIENE PROCESO""))*D245"),6.9)</f>
        <v>6.9</v>
      </c>
      <c r="I245" s="46">
        <f t="shared" si="1"/>
        <v>9.34</v>
      </c>
      <c r="J245" s="46">
        <f>SUMIFS('👷horas'!$J:$J,'👷horas'!$D:$D,A245,'👷horas'!$E:$E,B245,'👷horas'!$F:$F,F245,'👷horas'!$G:$G,G245)</f>
        <v>9.34</v>
      </c>
      <c r="K245" s="47">
        <f>SUMIFS('👷horas'!$K:$K,'👷horas'!$D:$D,A245,'👷horas'!$E:$E,B245,'👷horas'!$F:$F,F245,'👷horas'!$G:$G,G245)</f>
        <v>0</v>
      </c>
      <c r="L245" s="64">
        <f t="shared" si="2"/>
        <v>0.6768115942</v>
      </c>
      <c r="M245" s="65">
        <f t="shared" si="3"/>
        <v>0</v>
      </c>
      <c r="N245" s="66">
        <f t="shared" si="4"/>
        <v>-0.3536231884</v>
      </c>
      <c r="O245" s="66">
        <f t="shared" si="5"/>
        <v>1</v>
      </c>
      <c r="P245" s="69" t="s">
        <v>193</v>
      </c>
      <c r="Q245" s="67" t="str">
        <f t="shared" si="6"/>
        <v>Terminado</v>
      </c>
      <c r="R245" s="67" t="str">
        <f>IFERROR(__xludf.DUMMYFUNCTION("SPARKLINE(O245,{""charttype"",""bar"";""max"",1;""color1"",IF(P245=""Terminado"",""#4CAF50"",IF(O245&gt;=0.5,""#FFA500"",""#F44336""))})"),"")</f>
        <v/>
      </c>
      <c r="S245" s="40"/>
      <c r="T245" s="40"/>
      <c r="U245" s="40"/>
      <c r="V245" s="40"/>
      <c r="W245" s="40"/>
      <c r="X245" s="40"/>
      <c r="Y245" s="40"/>
      <c r="Z245" s="40"/>
      <c r="AA245" s="40"/>
    </row>
    <row r="246" ht="22.5" customHeight="1">
      <c r="A246" s="60" t="s">
        <v>131</v>
      </c>
      <c r="B246" s="60" t="s">
        <v>11</v>
      </c>
      <c r="C246" s="60" t="s">
        <v>14</v>
      </c>
      <c r="D246" s="61">
        <v>13.8</v>
      </c>
      <c r="E246" s="62">
        <v>46140.0</v>
      </c>
      <c r="F246" s="68" t="str">
        <f>IFERROR(__xludf.DUMMYFUNCTION("""COMPUTED_VALUE"""),"Pintura")</f>
        <v>Pintura</v>
      </c>
      <c r="G246" s="68" t="str">
        <f>IFERROR(__xludf.DUMMYFUNCTION("""COMPUTED_VALUE"""),"Imprimación/Pintura")</f>
        <v>Imprimación/Pintura</v>
      </c>
      <c r="H246" s="63">
        <f>IFERROR(__xludf.DUMMYFUNCTION("(IFERROR(FILTER(BBDD!$J:$J,BBDD!$G:$G=C246,BBDD!$H:$H=F246,BBDD!$I:$I=G246),""NO TIENE PROCESO""))*D246"),5.5200000000000005)</f>
        <v>5.52</v>
      </c>
      <c r="I246" s="46">
        <f t="shared" si="1"/>
        <v>6</v>
      </c>
      <c r="J246" s="46">
        <f>SUMIFS('👷horas'!$J:$J,'👷horas'!$D:$D,A246,'👷horas'!$E:$E,B246,'👷horas'!$F:$F,F246,'👷horas'!$G:$G,G246)</f>
        <v>6</v>
      </c>
      <c r="K246" s="47">
        <f>SUMIFS('👷horas'!$K:$K,'👷horas'!$D:$D,A246,'👷horas'!$E:$E,B246,'👷horas'!$F:$F,F246,'👷horas'!$G:$G,G246)</f>
        <v>0</v>
      </c>
      <c r="L246" s="64">
        <f t="shared" si="2"/>
        <v>0.4347826087</v>
      </c>
      <c r="M246" s="65">
        <f t="shared" si="3"/>
        <v>0</v>
      </c>
      <c r="N246" s="66">
        <f t="shared" si="4"/>
        <v>-0.08695652174</v>
      </c>
      <c r="O246" s="66">
        <f t="shared" si="5"/>
        <v>1</v>
      </c>
      <c r="P246" s="69" t="s">
        <v>193</v>
      </c>
      <c r="Q246" s="67" t="str">
        <f t="shared" si="6"/>
        <v>Terminado</v>
      </c>
      <c r="R246" s="67" t="str">
        <f>IFERROR(__xludf.DUMMYFUNCTION("SPARKLINE(O246,{""charttype"",""bar"";""max"",1;""color1"",IF(P246=""Terminado"",""#4CAF50"",IF(O246&gt;=0.5,""#FFA500"",""#F44336""))})"),"")</f>
        <v/>
      </c>
      <c r="S246" s="40"/>
      <c r="T246" s="40"/>
      <c r="U246" s="40"/>
      <c r="V246" s="40"/>
      <c r="W246" s="40"/>
      <c r="X246" s="40"/>
      <c r="Y246" s="40"/>
      <c r="Z246" s="40"/>
      <c r="AA246" s="40"/>
    </row>
    <row r="247" ht="22.5" customHeight="1">
      <c r="A247" s="60" t="s">
        <v>142</v>
      </c>
      <c r="B247" s="60" t="s">
        <v>151</v>
      </c>
      <c r="C247" s="60" t="s">
        <v>175</v>
      </c>
      <c r="D247" s="61">
        <v>8.0</v>
      </c>
      <c r="E247" s="62">
        <v>46147.0</v>
      </c>
      <c r="F247" s="68" t="str">
        <f>IFERROR(__xludf.DUMMYFUNCTION("FILTER(BBDD!H:H,BBDD!G:G=C247)"),"CNC")</f>
        <v>CNC</v>
      </c>
      <c r="G247" s="68" t="str">
        <f>IFERROR(__xludf.DUMMYFUNCTION("FILTER(BBDD!I:I,BBDD!G:G=C247)"),"CNC")</f>
        <v>CNC</v>
      </c>
      <c r="H247" s="63">
        <f>IFERROR(__xludf.DUMMYFUNCTION("(IFERROR(FILTER(BBDD!$J:$J,BBDD!$G:$G=C247,BBDD!$H:$H=F247,BBDD!$I:$I=G247),""NO TIENE PROCESO""))*D247"),1.6)</f>
        <v>1.6</v>
      </c>
      <c r="I247" s="46">
        <f t="shared" si="1"/>
        <v>0.4666666667</v>
      </c>
      <c r="J247" s="46">
        <f>SUMIFS('👷horas'!$J:$J,'👷horas'!$D:$D,A247,'👷horas'!$E:$E,B247,'👷horas'!$F:$F,F247,'👷horas'!$G:$G,G247)</f>
        <v>0.4666666667</v>
      </c>
      <c r="K247" s="47">
        <f>SUMIFS('👷horas'!$K:$K,'👷horas'!$D:$D,A247,'👷horas'!$E:$E,B247,'👷horas'!$F:$F,F247,'👷horas'!$G:$G,G247)</f>
        <v>0</v>
      </c>
      <c r="L247" s="64">
        <f t="shared" si="2"/>
        <v>0.05833333333</v>
      </c>
      <c r="M247" s="65">
        <f t="shared" si="3"/>
        <v>0</v>
      </c>
      <c r="N247" s="66">
        <f t="shared" si="4"/>
        <v>0.7083333333</v>
      </c>
      <c r="O247" s="66">
        <f t="shared" si="5"/>
        <v>1</v>
      </c>
      <c r="P247" s="69" t="s">
        <v>193</v>
      </c>
      <c r="Q247" s="67" t="str">
        <f t="shared" si="6"/>
        <v>Terminado</v>
      </c>
      <c r="R247" s="67" t="str">
        <f>IFERROR(__xludf.DUMMYFUNCTION("SPARKLINE(O247,{""charttype"",""bar"";""max"",1;""color1"",IF(P247=""Terminado"",""#4CAF50"",IF(O247&gt;=0.5,""#FFA500"",""#F44336""))})"),"")</f>
        <v/>
      </c>
      <c r="S247" s="40"/>
      <c r="T247" s="40"/>
      <c r="U247" s="40"/>
      <c r="V247" s="40"/>
      <c r="W247" s="40"/>
      <c r="X247" s="40"/>
      <c r="Y247" s="40"/>
      <c r="Z247" s="40"/>
      <c r="AA247" s="40"/>
    </row>
    <row r="248" ht="22.5" customHeight="1">
      <c r="A248" s="60" t="s">
        <v>142</v>
      </c>
      <c r="B248" s="60" t="s">
        <v>151</v>
      </c>
      <c r="C248" s="60" t="s">
        <v>175</v>
      </c>
      <c r="D248" s="61">
        <v>8.0</v>
      </c>
      <c r="E248" s="62">
        <v>46147.0</v>
      </c>
      <c r="F248" s="68" t="str">
        <f>IFERROR(__xludf.DUMMYFUNCTION("""COMPUTED_VALUE"""),"Fabricación")</f>
        <v>Fabricación</v>
      </c>
      <c r="G248" s="68" t="str">
        <f>IFERROR(__xludf.DUMMYFUNCTION("""COMPUTED_VALUE"""),"Ensamblaje")</f>
        <v>Ensamblaje</v>
      </c>
      <c r="H248" s="63">
        <f>IFERROR(__xludf.DUMMYFUNCTION("(IFERROR(FILTER(BBDD!$J:$J,BBDD!$G:$G=C248,BBDD!$H:$H=F248,BBDD!$I:$I=G248),""NO TIENE PROCESO""))*D248"),11.32)</f>
        <v>11.32</v>
      </c>
      <c r="I248" s="46">
        <f t="shared" si="1"/>
        <v>12</v>
      </c>
      <c r="J248" s="46">
        <f>SUMIFS('👷horas'!$J:$J,'👷horas'!$D:$D,A248,'👷horas'!$E:$E,B248,'👷horas'!$F:$F,F248,'👷horas'!$G:$G,G248)</f>
        <v>12</v>
      </c>
      <c r="K248" s="47">
        <f>SUMIFS('👷horas'!$K:$K,'👷horas'!$D:$D,A248,'👷horas'!$E:$E,B248,'👷horas'!$F:$F,F248,'👷horas'!$G:$G,G248)</f>
        <v>0</v>
      </c>
      <c r="L248" s="64">
        <f t="shared" si="2"/>
        <v>1.5</v>
      </c>
      <c r="M248" s="65">
        <f t="shared" si="3"/>
        <v>0</v>
      </c>
      <c r="N248" s="66">
        <f t="shared" si="4"/>
        <v>-0.06007067138</v>
      </c>
      <c r="O248" s="66">
        <f t="shared" si="5"/>
        <v>1</v>
      </c>
      <c r="P248" s="69" t="s">
        <v>193</v>
      </c>
      <c r="Q248" s="67" t="str">
        <f t="shared" si="6"/>
        <v>Terminado</v>
      </c>
      <c r="R248" s="67" t="str">
        <f>IFERROR(__xludf.DUMMYFUNCTION("SPARKLINE(O248,{""charttype"",""bar"";""max"",1;""color1"",IF(P248=""Terminado"",""#4CAF50"",IF(O248&gt;=0.5,""#FFA500"",""#F44336""))})"),"")</f>
        <v/>
      </c>
      <c r="S248" s="40"/>
      <c r="T248" s="40"/>
      <c r="U248" s="40"/>
      <c r="V248" s="40"/>
      <c r="W248" s="40"/>
      <c r="X248" s="40"/>
      <c r="Y248" s="40"/>
      <c r="Z248" s="40"/>
      <c r="AA248" s="40"/>
    </row>
    <row r="249" ht="22.5" customHeight="1">
      <c r="A249" s="60" t="s">
        <v>142</v>
      </c>
      <c r="B249" s="60" t="s">
        <v>151</v>
      </c>
      <c r="C249" s="60" t="s">
        <v>175</v>
      </c>
      <c r="D249" s="61">
        <v>8.0</v>
      </c>
      <c r="E249" s="62">
        <v>46147.0</v>
      </c>
      <c r="F249" s="68" t="str">
        <f>IFERROR(__xludf.DUMMYFUNCTION("""COMPUTED_VALUE"""),"Fabricación")</f>
        <v>Fabricación</v>
      </c>
      <c r="G249" s="68" t="str">
        <f>IFERROR(__xludf.DUMMYFUNCTION("""COMPUTED_VALUE"""),"Colocación de perfiles")</f>
        <v>Colocación de perfiles</v>
      </c>
      <c r="H249" s="63">
        <f>IFERROR(__xludf.DUMMYFUNCTION("(IFERROR(FILTER(BBDD!$J:$J,BBDD!$G:$G=C249,BBDD!$H:$H=F249,BBDD!$I:$I=G249),""NO TIENE PROCESO""))*D249"),4.1)</f>
        <v>4.1</v>
      </c>
      <c r="I249" s="46">
        <f t="shared" si="1"/>
        <v>7.5</v>
      </c>
      <c r="J249" s="46">
        <f>SUMIFS('👷horas'!$J:$J,'👷horas'!$D:$D,A249,'👷horas'!$E:$E,B249,'👷horas'!$F:$F,F249,'👷horas'!$G:$G,G249)</f>
        <v>7.5</v>
      </c>
      <c r="K249" s="47">
        <f>SUMIFS('👷horas'!$K:$K,'👷horas'!$D:$D,A249,'👷horas'!$E:$E,B249,'👷horas'!$F:$F,F249,'👷horas'!$G:$G,G249)</f>
        <v>0</v>
      </c>
      <c r="L249" s="64">
        <f t="shared" si="2"/>
        <v>0.9375</v>
      </c>
      <c r="M249" s="65">
        <f t="shared" si="3"/>
        <v>0</v>
      </c>
      <c r="N249" s="66">
        <f t="shared" si="4"/>
        <v>-0.8292682927</v>
      </c>
      <c r="O249" s="66">
        <f t="shared" si="5"/>
        <v>1</v>
      </c>
      <c r="P249" s="69" t="s">
        <v>193</v>
      </c>
      <c r="Q249" s="67" t="str">
        <f t="shared" si="6"/>
        <v>Terminado</v>
      </c>
      <c r="R249" s="67" t="str">
        <f>IFERROR(__xludf.DUMMYFUNCTION("SPARKLINE(O249,{""charttype"",""bar"";""max"",1;""color1"",IF(P249=""Terminado"",""#4CAF50"",IF(O249&gt;=0.5,""#FFA500"",""#F44336""))})"),"")</f>
        <v/>
      </c>
      <c r="S249" s="40"/>
      <c r="T249" s="40"/>
      <c r="U249" s="40"/>
      <c r="V249" s="40"/>
      <c r="W249" s="40"/>
      <c r="X249" s="40"/>
      <c r="Y249" s="40"/>
      <c r="Z249" s="40"/>
      <c r="AA249" s="40"/>
    </row>
    <row r="250" ht="22.5" customHeight="1">
      <c r="A250" s="60" t="s">
        <v>142</v>
      </c>
      <c r="B250" s="60" t="s">
        <v>151</v>
      </c>
      <c r="C250" s="60" t="s">
        <v>175</v>
      </c>
      <c r="D250" s="61">
        <v>8.0</v>
      </c>
      <c r="E250" s="62">
        <v>46147.0</v>
      </c>
      <c r="F250" s="68" t="str">
        <f>IFERROR(__xludf.DUMMYFUNCTION("""COMPUTED_VALUE"""),"Fabricación")</f>
        <v>Fabricación</v>
      </c>
      <c r="G250" s="68" t="str">
        <f>IFERROR(__xludf.DUMMYFUNCTION("""COMPUTED_VALUE"""),"Embalaje/carga/descarga material")</f>
        <v>Embalaje/carga/descarga material</v>
      </c>
      <c r="H250" s="63">
        <f>IFERROR(__xludf.DUMMYFUNCTION("(IFERROR(FILTER(BBDD!$J:$J,BBDD!$G:$G=C250,BBDD!$H:$H=F250,BBDD!$I:$I=G250),""NO TIENE PROCESO""))*D250"),1.45)</f>
        <v>1.45</v>
      </c>
      <c r="I250" s="46">
        <f t="shared" si="1"/>
        <v>0</v>
      </c>
      <c r="J250" s="46">
        <f>SUMIFS('👷horas'!$J:$J,'👷horas'!$D:$D,A250,'👷horas'!$E:$E,B250,'👷horas'!$F:$F,F250,'👷horas'!$G:$G,G250)</f>
        <v>0</v>
      </c>
      <c r="K250" s="47">
        <f>SUMIFS('👷horas'!$K:$K,'👷horas'!$D:$D,A250,'👷horas'!$E:$E,B250,'👷horas'!$F:$F,F250,'👷horas'!$G:$G,G250)</f>
        <v>0</v>
      </c>
      <c r="L250" s="64">
        <f t="shared" si="2"/>
        <v>0</v>
      </c>
      <c r="M250" s="65">
        <f t="shared" si="3"/>
        <v>0</v>
      </c>
      <c r="N250" s="66">
        <f t="shared" si="4"/>
        <v>1</v>
      </c>
      <c r="O250" s="66">
        <f t="shared" si="5"/>
        <v>1</v>
      </c>
      <c r="P250" s="69" t="s">
        <v>193</v>
      </c>
      <c r="Q250" s="67" t="str">
        <f t="shared" si="6"/>
        <v>Terminado</v>
      </c>
      <c r="R250" s="67" t="str">
        <f>IFERROR(__xludf.DUMMYFUNCTION("SPARKLINE(O250,{""charttype"",""bar"";""max"",1;""color1"",IF(P250=""Terminado"",""#4CAF50"",IF(O250&gt;=0.5,""#FFA500"",""#F44336""))})"),"")</f>
        <v/>
      </c>
      <c r="S250" s="40"/>
      <c r="T250" s="40"/>
      <c r="U250" s="40"/>
      <c r="V250" s="40"/>
      <c r="W250" s="40"/>
      <c r="X250" s="40"/>
      <c r="Y250" s="40"/>
      <c r="Z250" s="40"/>
      <c r="AA250" s="40"/>
    </row>
    <row r="251" ht="22.5" customHeight="1">
      <c r="A251" s="60" t="s">
        <v>142</v>
      </c>
      <c r="B251" s="60" t="s">
        <v>151</v>
      </c>
      <c r="C251" s="60" t="s">
        <v>175</v>
      </c>
      <c r="D251" s="61">
        <v>8.0</v>
      </c>
      <c r="E251" s="62">
        <v>46147.0</v>
      </c>
      <c r="F251" s="68" t="str">
        <f>IFERROR(__xludf.DUMMYFUNCTION("""COMPUTED_VALUE"""),"Pintura")</f>
        <v>Pintura</v>
      </c>
      <c r="G251" s="68" t="str">
        <f>IFERROR(__xludf.DUMMYFUNCTION("""COMPUTED_VALUE"""),"Lijado y/o Masillado")</f>
        <v>Lijado y/o Masillado</v>
      </c>
      <c r="H251" s="63">
        <f>IFERROR(__xludf.DUMMYFUNCTION("(IFERROR(FILTER(BBDD!$J:$J,BBDD!$G:$G=C251,BBDD!$H:$H=F251,BBDD!$I:$I=G251),""NO TIENE PROCESO""))*D251"),5.6)</f>
        <v>5.6</v>
      </c>
      <c r="I251" s="46">
        <f t="shared" si="1"/>
        <v>0</v>
      </c>
      <c r="J251" s="46">
        <f>SUMIFS('👷horas'!$J:$J,'👷horas'!$D:$D,A251,'👷horas'!$E:$E,B251,'👷horas'!$F:$F,F251,'👷horas'!$G:$G,G251)</f>
        <v>0</v>
      </c>
      <c r="K251" s="47">
        <f>SUMIFS('👷horas'!$K:$K,'👷horas'!$D:$D,A251,'👷horas'!$E:$E,B251,'👷horas'!$F:$F,F251,'👷horas'!$G:$G,G251)</f>
        <v>0</v>
      </c>
      <c r="L251" s="64">
        <f t="shared" si="2"/>
        <v>0</v>
      </c>
      <c r="M251" s="65">
        <f t="shared" si="3"/>
        <v>0</v>
      </c>
      <c r="N251" s="66">
        <f t="shared" si="4"/>
        <v>1</v>
      </c>
      <c r="O251" s="66">
        <f t="shared" si="5"/>
        <v>1</v>
      </c>
      <c r="P251" s="69" t="s">
        <v>193</v>
      </c>
      <c r="Q251" s="67" t="str">
        <f t="shared" si="6"/>
        <v>Terminado</v>
      </c>
      <c r="R251" s="67" t="str">
        <f>IFERROR(__xludf.DUMMYFUNCTION("SPARKLINE(O251,{""charttype"",""bar"";""max"",1;""color1"",IF(P251=""Terminado"",""#4CAF50"",IF(O251&gt;=0.5,""#FFA500"",""#F44336""))})"),"")</f>
        <v/>
      </c>
      <c r="S251" s="40"/>
      <c r="T251" s="40"/>
      <c r="U251" s="40"/>
      <c r="V251" s="40"/>
      <c r="W251" s="40"/>
      <c r="X251" s="40"/>
      <c r="Y251" s="40"/>
      <c r="Z251" s="40"/>
      <c r="AA251" s="40"/>
    </row>
    <row r="252" ht="22.5" customHeight="1">
      <c r="A252" s="60" t="s">
        <v>142</v>
      </c>
      <c r="B252" s="60" t="s">
        <v>151</v>
      </c>
      <c r="C252" s="60" t="s">
        <v>175</v>
      </c>
      <c r="D252" s="61">
        <v>8.0</v>
      </c>
      <c r="E252" s="62">
        <v>46147.0</v>
      </c>
      <c r="F252" s="68" t="str">
        <f>IFERROR(__xludf.DUMMYFUNCTION("""COMPUTED_VALUE"""),"Pintura")</f>
        <v>Pintura</v>
      </c>
      <c r="G252" s="68" t="str">
        <f>IFERROR(__xludf.DUMMYFUNCTION("""COMPUTED_VALUE"""),"Imprimación/Pintura")</f>
        <v>Imprimación/Pintura</v>
      </c>
      <c r="H252" s="63">
        <f>IFERROR(__xludf.DUMMYFUNCTION("(IFERROR(FILTER(BBDD!$J:$J,BBDD!$G:$G=C252,BBDD!$H:$H=F252,BBDD!$I:$I=G252),""NO TIENE PROCESO""))*D252"),5.220000000000001)</f>
        <v>5.22</v>
      </c>
      <c r="I252" s="46">
        <f t="shared" si="1"/>
        <v>4</v>
      </c>
      <c r="J252" s="46">
        <f>SUMIFS('👷horas'!$J:$J,'👷horas'!$D:$D,A252,'👷horas'!$E:$E,B252,'👷horas'!$F:$F,F252,'👷horas'!$G:$G,G252)</f>
        <v>4</v>
      </c>
      <c r="K252" s="47">
        <f>SUMIFS('👷horas'!$K:$K,'👷horas'!$D:$D,A252,'👷horas'!$E:$E,B252,'👷horas'!$F:$F,F252,'👷horas'!$G:$G,G252)</f>
        <v>0</v>
      </c>
      <c r="L252" s="64">
        <f t="shared" si="2"/>
        <v>0.5</v>
      </c>
      <c r="M252" s="65">
        <f t="shared" si="3"/>
        <v>0</v>
      </c>
      <c r="N252" s="66">
        <f t="shared" si="4"/>
        <v>0.2337164751</v>
      </c>
      <c r="O252" s="66">
        <f t="shared" si="5"/>
        <v>1</v>
      </c>
      <c r="P252" s="69" t="s">
        <v>193</v>
      </c>
      <c r="Q252" s="67" t="str">
        <f t="shared" si="6"/>
        <v>Terminado</v>
      </c>
      <c r="R252" s="67" t="str">
        <f>IFERROR(__xludf.DUMMYFUNCTION("SPARKLINE(O252,{""charttype"",""bar"";""max"",1;""color1"",IF(P252=""Terminado"",""#4CAF50"",IF(O252&gt;=0.5,""#FFA500"",""#F44336""))})"),"")</f>
        <v/>
      </c>
      <c r="S252" s="40"/>
      <c r="T252" s="40"/>
      <c r="U252" s="40"/>
      <c r="V252" s="40"/>
      <c r="W252" s="40"/>
      <c r="X252" s="40"/>
      <c r="Y252" s="40"/>
      <c r="Z252" s="40"/>
      <c r="AA252" s="40"/>
    </row>
    <row r="253" ht="22.5" customHeight="1">
      <c r="A253" s="59" t="s">
        <v>17</v>
      </c>
      <c r="B253" s="60" t="s">
        <v>11</v>
      </c>
      <c r="C253" s="60" t="s">
        <v>14</v>
      </c>
      <c r="D253" s="61">
        <v>20.0</v>
      </c>
      <c r="E253" s="62"/>
      <c r="F253" s="68" t="str">
        <f>IFERROR(__xludf.DUMMYFUNCTION("FILTER(BBDD!H:H,BBDD!G:G=C253)"),"CNC")</f>
        <v>CNC</v>
      </c>
      <c r="G253" s="68" t="str">
        <f>IFERROR(__xludf.DUMMYFUNCTION("FILTER(BBDD!I:I,BBDD!G:G=C253)"),"CNC")</f>
        <v>CNC</v>
      </c>
      <c r="H253" s="63">
        <f>IFERROR(__xludf.DUMMYFUNCTION("(IFERROR(FILTER(BBDD!$J:$J,BBDD!$G:$G=C253,BBDD!$H:$H=F253,BBDD!$I:$I=G253),""NO TIENE PROCESO""))*D253"),4.0)</f>
        <v>4</v>
      </c>
      <c r="I253" s="80">
        <f t="shared" si="1"/>
        <v>0</v>
      </c>
      <c r="J253" s="80">
        <f>SUMIFS('👷horas'!$J:$J,'👷horas'!$D:$D,A253,'👷horas'!$E:$E,B253,'👷horas'!$F:$F,F253,'👷horas'!$G:$G,G253)</f>
        <v>0</v>
      </c>
      <c r="K253" s="81">
        <f>SUMIFS('👷horas'!$K:$K,'👷horas'!$D:$D,A253,'👷horas'!$E:$E,B253,'👷horas'!$F:$F,F253,'👷horas'!$G:$G,G253)</f>
        <v>0</v>
      </c>
      <c r="L253" s="64">
        <f t="shared" si="2"/>
        <v>0</v>
      </c>
      <c r="M253" s="77">
        <f t="shared" si="3"/>
        <v>4</v>
      </c>
      <c r="N253" s="66">
        <f t="shared" si="4"/>
        <v>1</v>
      </c>
      <c r="O253" s="66">
        <f t="shared" si="5"/>
        <v>0</v>
      </c>
      <c r="P253" s="69"/>
      <c r="Q253" s="67" t="str">
        <f t="shared" si="6"/>
        <v>Pendiente</v>
      </c>
      <c r="R253" s="67" t="str">
        <f>IFERROR(__xludf.DUMMYFUNCTION("SPARKLINE(O253,{""charttype"",""bar"";""max"",1;""color1"",IF(P253=""Terminado"",""#4CAF50"",IF(O253&gt;=0.5,""#FFA500"",""#F44336""))})"),"")</f>
        <v/>
      </c>
      <c r="S253" s="40"/>
      <c r="T253" s="40"/>
      <c r="U253" s="40"/>
      <c r="V253" s="40"/>
      <c r="W253" s="40"/>
      <c r="X253" s="40"/>
      <c r="Y253" s="40"/>
      <c r="Z253" s="40"/>
      <c r="AA253" s="40"/>
    </row>
    <row r="254" ht="22.5" customHeight="1">
      <c r="A254" s="59" t="s">
        <v>17</v>
      </c>
      <c r="B254" s="60" t="s">
        <v>11</v>
      </c>
      <c r="C254" s="60" t="s">
        <v>14</v>
      </c>
      <c r="D254" s="61">
        <v>20.0</v>
      </c>
      <c r="E254" s="62"/>
      <c r="F254" s="68" t="str">
        <f>IFERROR(__xludf.DUMMYFUNCTION("""COMPUTED_VALUE"""),"Fabricación")</f>
        <v>Fabricación</v>
      </c>
      <c r="G254" s="68" t="str">
        <f>IFERROR(__xludf.DUMMYFUNCTION("""COMPUTED_VALUE"""),"Ensamblaje")</f>
        <v>Ensamblaje</v>
      </c>
      <c r="H254" s="63">
        <f>IFERROR(__xludf.DUMMYFUNCTION("(IFERROR(FILTER(BBDD!$J:$J,BBDD!$G:$G=C254,BBDD!$H:$H=F254,BBDD!$I:$I=G254),""NO TIENE PROCESO""))*D254"),12.4)</f>
        <v>12.4</v>
      </c>
      <c r="I254" s="80">
        <f t="shared" si="1"/>
        <v>0</v>
      </c>
      <c r="J254" s="80">
        <f>SUMIFS('👷horas'!$J:$J,'👷horas'!$D:$D,A254,'👷horas'!$E:$E,B254,'👷horas'!$F:$F,F254,'👷horas'!$G:$G,G254)</f>
        <v>0</v>
      </c>
      <c r="K254" s="81">
        <f>SUMIFS('👷horas'!$K:$K,'👷horas'!$D:$D,A254,'👷horas'!$E:$E,B254,'👷horas'!$F:$F,F254,'👷horas'!$G:$G,G254)</f>
        <v>0</v>
      </c>
      <c r="L254" s="64">
        <f t="shared" si="2"/>
        <v>0</v>
      </c>
      <c r="M254" s="77">
        <f t="shared" si="3"/>
        <v>12.4</v>
      </c>
      <c r="N254" s="66">
        <f t="shared" si="4"/>
        <v>1</v>
      </c>
      <c r="O254" s="66">
        <f t="shared" si="5"/>
        <v>0</v>
      </c>
      <c r="P254" s="69"/>
      <c r="Q254" s="67" t="str">
        <f t="shared" si="6"/>
        <v>Pendiente</v>
      </c>
      <c r="R254" s="67" t="str">
        <f>IFERROR(__xludf.DUMMYFUNCTION("SPARKLINE(O254,{""charttype"",""bar"";""max"",1;""color1"",IF(P254=""Terminado"",""#4CAF50"",IF(O254&gt;=0.5,""#FFA500"",""#F44336""))})"),"")</f>
        <v/>
      </c>
      <c r="S254" s="40"/>
      <c r="T254" s="40"/>
      <c r="U254" s="40"/>
      <c r="V254" s="40"/>
      <c r="W254" s="40"/>
      <c r="X254" s="40"/>
      <c r="Y254" s="40"/>
      <c r="Z254" s="40"/>
      <c r="AA254" s="40"/>
    </row>
    <row r="255" ht="22.5" customHeight="1">
      <c r="A255" s="59" t="s">
        <v>17</v>
      </c>
      <c r="B255" s="60" t="s">
        <v>11</v>
      </c>
      <c r="C255" s="60" t="s">
        <v>14</v>
      </c>
      <c r="D255" s="61">
        <v>20.0</v>
      </c>
      <c r="E255" s="62"/>
      <c r="F255" s="68" t="str">
        <f>IFERROR(__xludf.DUMMYFUNCTION("""COMPUTED_VALUE"""),"Fabricación")</f>
        <v>Fabricación</v>
      </c>
      <c r="G255" s="68" t="str">
        <f>IFERROR(__xludf.DUMMYFUNCTION("""COMPUTED_VALUE"""),"Colocación de perfiles")</f>
        <v>Colocación de perfiles</v>
      </c>
      <c r="H255" s="63">
        <f>IFERROR(__xludf.DUMMYFUNCTION("(IFERROR(FILTER(BBDD!$J:$J,BBDD!$G:$G=C255,BBDD!$H:$H=F255,BBDD!$I:$I=G255),""NO TIENE PROCESO""))*D255"),4.0)</f>
        <v>4</v>
      </c>
      <c r="I255" s="80">
        <f t="shared" si="1"/>
        <v>0</v>
      </c>
      <c r="J255" s="80">
        <f>SUMIFS('👷horas'!$J:$J,'👷horas'!$D:$D,A255,'👷horas'!$E:$E,B255,'👷horas'!$F:$F,F255,'👷horas'!$G:$G,G255)</f>
        <v>0</v>
      </c>
      <c r="K255" s="81">
        <f>SUMIFS('👷horas'!$K:$K,'👷horas'!$D:$D,A255,'👷horas'!$E:$E,B255,'👷horas'!$F:$F,F255,'👷horas'!$G:$G,G255)</f>
        <v>0</v>
      </c>
      <c r="L255" s="64">
        <f t="shared" si="2"/>
        <v>0</v>
      </c>
      <c r="M255" s="77">
        <f t="shared" si="3"/>
        <v>4</v>
      </c>
      <c r="N255" s="66">
        <f t="shared" si="4"/>
        <v>1</v>
      </c>
      <c r="O255" s="66">
        <f t="shared" si="5"/>
        <v>0</v>
      </c>
      <c r="P255" s="69"/>
      <c r="Q255" s="67" t="str">
        <f t="shared" si="6"/>
        <v>Pendiente</v>
      </c>
      <c r="R255" s="67" t="str">
        <f>IFERROR(__xludf.DUMMYFUNCTION("SPARKLINE(O255,{""charttype"",""bar"";""max"",1;""color1"",IF(P255=""Terminado"",""#4CAF50"",IF(O255&gt;=0.5,""#FFA500"",""#F44336""))})"),"")</f>
        <v/>
      </c>
      <c r="S255" s="40"/>
      <c r="T255" s="40"/>
      <c r="U255" s="40"/>
      <c r="V255" s="40"/>
      <c r="W255" s="40"/>
      <c r="X255" s="40"/>
      <c r="Y255" s="40"/>
      <c r="Z255" s="40"/>
      <c r="AA255" s="40"/>
    </row>
    <row r="256" ht="22.5" customHeight="1">
      <c r="A256" s="59" t="s">
        <v>17</v>
      </c>
      <c r="B256" s="60" t="s">
        <v>11</v>
      </c>
      <c r="C256" s="60" t="s">
        <v>14</v>
      </c>
      <c r="D256" s="61">
        <v>20.0</v>
      </c>
      <c r="E256" s="62"/>
      <c r="F256" s="68" t="str">
        <f>IFERROR(__xludf.DUMMYFUNCTION("""COMPUTED_VALUE"""),"Fabricación")</f>
        <v>Fabricación</v>
      </c>
      <c r="G256" s="68" t="str">
        <f>IFERROR(__xludf.DUMMYFUNCTION("""COMPUTED_VALUE"""),"Embalaje/carga/descarga material")</f>
        <v>Embalaje/carga/descarga material</v>
      </c>
      <c r="H256" s="63">
        <f>IFERROR(__xludf.DUMMYFUNCTION("(IFERROR(FILTER(BBDD!$J:$J,BBDD!$G:$G=C256,BBDD!$H:$H=F256,BBDD!$I:$I=G256),""NO TIENE PROCESO""))*D256"),3.0)</f>
        <v>3</v>
      </c>
      <c r="I256" s="80">
        <f t="shared" si="1"/>
        <v>0</v>
      </c>
      <c r="J256" s="80">
        <f>SUMIFS('👷horas'!$J:$J,'👷horas'!$D:$D,A256,'👷horas'!$E:$E,B256,'👷horas'!$F:$F,F256,'👷horas'!$G:$G,G256)</f>
        <v>0</v>
      </c>
      <c r="K256" s="81">
        <f>SUMIFS('👷horas'!$K:$K,'👷horas'!$D:$D,A256,'👷horas'!$E:$E,B256,'👷horas'!$F:$F,F256,'👷horas'!$G:$G,G256)</f>
        <v>0</v>
      </c>
      <c r="L256" s="64">
        <f t="shared" si="2"/>
        <v>0</v>
      </c>
      <c r="M256" s="77">
        <f t="shared" si="3"/>
        <v>3</v>
      </c>
      <c r="N256" s="66">
        <f t="shared" si="4"/>
        <v>1</v>
      </c>
      <c r="O256" s="66">
        <f t="shared" si="5"/>
        <v>0</v>
      </c>
      <c r="P256" s="69"/>
      <c r="Q256" s="67" t="str">
        <f t="shared" si="6"/>
        <v>Pendiente</v>
      </c>
      <c r="R256" s="67" t="str">
        <f>IFERROR(__xludf.DUMMYFUNCTION("SPARKLINE(O256,{""charttype"",""bar"";""max"",1;""color1"",IF(P256=""Terminado"",""#4CAF50"",IF(O256&gt;=0.5,""#FFA500"",""#F44336""))})"),"")</f>
        <v/>
      </c>
      <c r="S256" s="40"/>
      <c r="T256" s="40"/>
      <c r="U256" s="40"/>
      <c r="V256" s="40"/>
      <c r="W256" s="40"/>
      <c r="X256" s="40"/>
      <c r="Y256" s="40"/>
      <c r="Z256" s="40"/>
      <c r="AA256" s="40"/>
    </row>
    <row r="257" ht="22.5" customHeight="1">
      <c r="A257" s="59" t="s">
        <v>17</v>
      </c>
      <c r="B257" s="60" t="s">
        <v>11</v>
      </c>
      <c r="C257" s="60" t="s">
        <v>14</v>
      </c>
      <c r="D257" s="61">
        <v>20.0</v>
      </c>
      <c r="E257" s="62"/>
      <c r="F257" s="68" t="str">
        <f>IFERROR(__xludf.DUMMYFUNCTION("""COMPUTED_VALUE"""),"Pintura")</f>
        <v>Pintura</v>
      </c>
      <c r="G257" s="68" t="str">
        <f>IFERROR(__xludf.DUMMYFUNCTION("""COMPUTED_VALUE"""),"Lijado y/o Masillado")</f>
        <v>Lijado y/o Masillado</v>
      </c>
      <c r="H257" s="63">
        <f>IFERROR(__xludf.DUMMYFUNCTION("(IFERROR(FILTER(BBDD!$J:$J,BBDD!$G:$G=C257,BBDD!$H:$H=F257,BBDD!$I:$I=G257),""NO TIENE PROCESO""))*D257"),10.0)</f>
        <v>10</v>
      </c>
      <c r="I257" s="80">
        <f t="shared" si="1"/>
        <v>0</v>
      </c>
      <c r="J257" s="80">
        <f>SUMIFS('👷horas'!$J:$J,'👷horas'!$D:$D,A257,'👷horas'!$E:$E,B257,'👷horas'!$F:$F,F257,'👷horas'!$G:$G,G257)</f>
        <v>0</v>
      </c>
      <c r="K257" s="81">
        <f>SUMIFS('👷horas'!$K:$K,'👷horas'!$D:$D,A257,'👷horas'!$E:$E,B257,'👷horas'!$F:$F,F257,'👷horas'!$G:$G,G257)</f>
        <v>0</v>
      </c>
      <c r="L257" s="64">
        <f t="shared" si="2"/>
        <v>0</v>
      </c>
      <c r="M257" s="77">
        <f t="shared" si="3"/>
        <v>10</v>
      </c>
      <c r="N257" s="66">
        <f t="shared" si="4"/>
        <v>1</v>
      </c>
      <c r="O257" s="66">
        <f t="shared" si="5"/>
        <v>0</v>
      </c>
      <c r="P257" s="69"/>
      <c r="Q257" s="67" t="str">
        <f t="shared" si="6"/>
        <v>Pendiente</v>
      </c>
      <c r="R257" s="67" t="str">
        <f>IFERROR(__xludf.DUMMYFUNCTION("SPARKLINE(O257,{""charttype"",""bar"";""max"",1;""color1"",IF(P257=""Terminado"",""#4CAF50"",IF(O257&gt;=0.5,""#FFA500"",""#F44336""))})"),"")</f>
        <v/>
      </c>
      <c r="S257" s="40"/>
      <c r="T257" s="40"/>
      <c r="U257" s="40"/>
      <c r="V257" s="40"/>
      <c r="W257" s="40"/>
      <c r="X257" s="40"/>
      <c r="Y257" s="40"/>
      <c r="Z257" s="40"/>
      <c r="AA257" s="40"/>
    </row>
    <row r="258" ht="22.5" customHeight="1">
      <c r="A258" s="59" t="s">
        <v>17</v>
      </c>
      <c r="B258" s="60" t="s">
        <v>11</v>
      </c>
      <c r="C258" s="60" t="s">
        <v>14</v>
      </c>
      <c r="D258" s="61">
        <v>20.0</v>
      </c>
      <c r="E258" s="62"/>
      <c r="F258" s="68" t="str">
        <f>IFERROR(__xludf.DUMMYFUNCTION("""COMPUTED_VALUE"""),"Pintura")</f>
        <v>Pintura</v>
      </c>
      <c r="G258" s="68" t="str">
        <f>IFERROR(__xludf.DUMMYFUNCTION("""COMPUTED_VALUE"""),"Imprimación/Pintura")</f>
        <v>Imprimación/Pintura</v>
      </c>
      <c r="H258" s="63">
        <f>IFERROR(__xludf.DUMMYFUNCTION("(IFERROR(FILTER(BBDD!$J:$J,BBDD!$G:$G=C258,BBDD!$H:$H=F258,BBDD!$I:$I=G258),""NO TIENE PROCESO""))*D258"),8.0)</f>
        <v>8</v>
      </c>
      <c r="I258" s="80">
        <f t="shared" si="1"/>
        <v>0</v>
      </c>
      <c r="J258" s="80">
        <f>SUMIFS('👷horas'!$J:$J,'👷horas'!$D:$D,A258,'👷horas'!$E:$E,B258,'👷horas'!$F:$F,F258,'👷horas'!$G:$G,G258)</f>
        <v>0</v>
      </c>
      <c r="K258" s="81">
        <f>SUMIFS('👷horas'!$K:$K,'👷horas'!$D:$D,A258,'👷horas'!$E:$E,B258,'👷horas'!$F:$F,F258,'👷horas'!$G:$G,G258)</f>
        <v>0</v>
      </c>
      <c r="L258" s="64">
        <f t="shared" si="2"/>
        <v>0</v>
      </c>
      <c r="M258" s="77">
        <f t="shared" si="3"/>
        <v>8</v>
      </c>
      <c r="N258" s="66">
        <f t="shared" si="4"/>
        <v>1</v>
      </c>
      <c r="O258" s="66">
        <f t="shared" si="5"/>
        <v>0</v>
      </c>
      <c r="P258" s="69"/>
      <c r="Q258" s="67" t="str">
        <f t="shared" si="6"/>
        <v>Pendiente</v>
      </c>
      <c r="R258" s="67" t="str">
        <f>IFERROR(__xludf.DUMMYFUNCTION("SPARKLINE(O258,{""charttype"",""bar"";""max"",1;""color1"",IF(P258=""Terminado"",""#4CAF50"",IF(O258&gt;=0.5,""#FFA500"",""#F44336""))})"),"")</f>
        <v/>
      </c>
      <c r="S258" s="40"/>
      <c r="T258" s="40"/>
      <c r="U258" s="40"/>
      <c r="V258" s="40"/>
      <c r="W258" s="40"/>
      <c r="X258" s="40"/>
      <c r="Y258" s="40"/>
      <c r="Z258" s="40"/>
      <c r="AA258" s="40"/>
    </row>
    <row r="259">
      <c r="A259" s="40"/>
      <c r="B259" s="40"/>
      <c r="C259" s="40"/>
      <c r="D259" s="82"/>
      <c r="E259" s="83"/>
      <c r="F259" s="40"/>
      <c r="G259" s="40"/>
      <c r="H259" s="82"/>
      <c r="I259" s="84"/>
      <c r="J259" s="84"/>
      <c r="K259" s="84"/>
      <c r="L259" s="85"/>
      <c r="M259" s="40"/>
      <c r="N259" s="86"/>
      <c r="O259" s="86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>
      <c r="A260" s="40"/>
      <c r="B260" s="40"/>
      <c r="C260" s="40"/>
      <c r="D260" s="82"/>
      <c r="E260" s="83"/>
      <c r="F260" s="40"/>
      <c r="G260" s="40"/>
      <c r="H260" s="82"/>
      <c r="I260" s="84"/>
      <c r="J260" s="84"/>
      <c r="K260" s="84"/>
      <c r="L260" s="85"/>
      <c r="M260" s="40"/>
      <c r="N260" s="86"/>
      <c r="O260" s="86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>
      <c r="A261" s="40"/>
      <c r="B261" s="40"/>
      <c r="C261" s="40"/>
      <c r="D261" s="82"/>
      <c r="E261" s="83"/>
      <c r="F261" s="40"/>
      <c r="G261" s="40"/>
      <c r="H261" s="82"/>
      <c r="I261" s="84"/>
      <c r="J261" s="84"/>
      <c r="K261" s="84"/>
      <c r="L261" s="85"/>
      <c r="M261" s="40"/>
      <c r="N261" s="86"/>
      <c r="O261" s="86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>
      <c r="A262" s="40"/>
      <c r="B262" s="40"/>
      <c r="C262" s="40"/>
      <c r="D262" s="82"/>
      <c r="E262" s="83"/>
      <c r="F262" s="40"/>
      <c r="G262" s="40"/>
      <c r="H262" s="82"/>
      <c r="I262" s="84"/>
      <c r="J262" s="84"/>
      <c r="K262" s="84"/>
      <c r="L262" s="85"/>
      <c r="M262" s="40"/>
      <c r="N262" s="86"/>
      <c r="O262" s="86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>
      <c r="A263" s="40"/>
      <c r="B263" s="40"/>
      <c r="C263" s="40"/>
      <c r="D263" s="82"/>
      <c r="E263" s="83"/>
      <c r="F263" s="40"/>
      <c r="G263" s="40"/>
      <c r="H263" s="82"/>
      <c r="I263" s="84"/>
      <c r="J263" s="84"/>
      <c r="K263" s="84"/>
      <c r="L263" s="85"/>
      <c r="M263" s="40"/>
      <c r="N263" s="86"/>
      <c r="O263" s="86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>
      <c r="A264" s="40"/>
      <c r="B264" s="40"/>
      <c r="C264" s="40"/>
      <c r="D264" s="82"/>
      <c r="E264" s="83"/>
      <c r="F264" s="40"/>
      <c r="G264" s="40"/>
      <c r="H264" s="82"/>
      <c r="I264" s="84"/>
      <c r="J264" s="84"/>
      <c r="K264" s="84"/>
      <c r="L264" s="85"/>
      <c r="M264" s="40"/>
      <c r="N264" s="86"/>
      <c r="O264" s="86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>
      <c r="A265" s="40"/>
      <c r="B265" s="40"/>
      <c r="C265" s="40"/>
      <c r="D265" s="82"/>
      <c r="E265" s="83"/>
      <c r="F265" s="40"/>
      <c r="G265" s="40"/>
      <c r="H265" s="82"/>
      <c r="I265" s="84"/>
      <c r="J265" s="84"/>
      <c r="K265" s="84"/>
      <c r="L265" s="85"/>
      <c r="M265" s="40"/>
      <c r="N265" s="86"/>
      <c r="O265" s="86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>
      <c r="A266" s="40"/>
      <c r="B266" s="40"/>
      <c r="C266" s="40"/>
      <c r="D266" s="82"/>
      <c r="E266" s="83"/>
      <c r="F266" s="40"/>
      <c r="G266" s="40"/>
      <c r="H266" s="82"/>
      <c r="I266" s="84"/>
      <c r="J266" s="84"/>
      <c r="K266" s="84"/>
      <c r="L266" s="85"/>
      <c r="M266" s="40"/>
      <c r="N266" s="86"/>
      <c r="O266" s="86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>
      <c r="A267" s="40"/>
      <c r="B267" s="40"/>
      <c r="C267" s="40"/>
      <c r="D267" s="82"/>
      <c r="E267" s="83"/>
      <c r="F267" s="40"/>
      <c r="G267" s="40"/>
      <c r="H267" s="82"/>
      <c r="I267" s="84"/>
      <c r="J267" s="84"/>
      <c r="K267" s="84"/>
      <c r="L267" s="85"/>
      <c r="M267" s="40"/>
      <c r="N267" s="86"/>
      <c r="O267" s="86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>
      <c r="A268" s="40"/>
      <c r="B268" s="40"/>
      <c r="C268" s="40"/>
      <c r="D268" s="82"/>
      <c r="E268" s="83"/>
      <c r="F268" s="40"/>
      <c r="G268" s="40"/>
      <c r="H268" s="82"/>
      <c r="I268" s="84"/>
      <c r="J268" s="84"/>
      <c r="K268" s="84"/>
      <c r="L268" s="85"/>
      <c r="M268" s="40"/>
      <c r="N268" s="86"/>
      <c r="O268" s="86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>
      <c r="A269" s="40"/>
      <c r="B269" s="40"/>
      <c r="C269" s="40"/>
      <c r="D269" s="82"/>
      <c r="E269" s="83"/>
      <c r="F269" s="40"/>
      <c r="G269" s="40"/>
      <c r="H269" s="82"/>
      <c r="I269" s="84"/>
      <c r="J269" s="84"/>
      <c r="K269" s="84"/>
      <c r="L269" s="85"/>
      <c r="M269" s="40"/>
      <c r="N269" s="86"/>
      <c r="O269" s="86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>
      <c r="A270" s="40"/>
      <c r="B270" s="40"/>
      <c r="C270" s="40"/>
      <c r="D270" s="82"/>
      <c r="E270" s="83"/>
      <c r="F270" s="40"/>
      <c r="G270" s="40"/>
      <c r="H270" s="82"/>
      <c r="I270" s="84"/>
      <c r="J270" s="84"/>
      <c r="K270" s="84"/>
      <c r="L270" s="85"/>
      <c r="M270" s="40"/>
      <c r="N270" s="86"/>
      <c r="O270" s="86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>
      <c r="A271" s="40"/>
      <c r="B271" s="40"/>
      <c r="C271" s="40"/>
      <c r="D271" s="82"/>
      <c r="E271" s="83"/>
      <c r="F271" s="40"/>
      <c r="G271" s="40"/>
      <c r="H271" s="82"/>
      <c r="I271" s="84"/>
      <c r="J271" s="84"/>
      <c r="K271" s="84"/>
      <c r="L271" s="85"/>
      <c r="M271" s="40"/>
      <c r="N271" s="86"/>
      <c r="O271" s="86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>
      <c r="A272" s="40"/>
      <c r="B272" s="40"/>
      <c r="C272" s="40"/>
      <c r="D272" s="82"/>
      <c r="E272" s="83"/>
      <c r="F272" s="40"/>
      <c r="G272" s="40"/>
      <c r="H272" s="82"/>
      <c r="I272" s="84"/>
      <c r="J272" s="84"/>
      <c r="K272" s="84"/>
      <c r="L272" s="85"/>
      <c r="M272" s="40"/>
      <c r="N272" s="86"/>
      <c r="O272" s="86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>
      <c r="A273" s="40"/>
      <c r="B273" s="40"/>
      <c r="C273" s="40"/>
      <c r="D273" s="82"/>
      <c r="E273" s="83"/>
      <c r="F273" s="40"/>
      <c r="G273" s="40"/>
      <c r="H273" s="82"/>
      <c r="I273" s="84"/>
      <c r="J273" s="84"/>
      <c r="K273" s="84"/>
      <c r="L273" s="85"/>
      <c r="M273" s="40"/>
      <c r="N273" s="86"/>
      <c r="O273" s="86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>
      <c r="A274" s="40"/>
      <c r="B274" s="40"/>
      <c r="C274" s="40"/>
      <c r="D274" s="82"/>
      <c r="E274" s="83"/>
      <c r="F274" s="40"/>
      <c r="G274" s="40"/>
      <c r="H274" s="82"/>
      <c r="I274" s="84"/>
      <c r="J274" s="84"/>
      <c r="K274" s="84"/>
      <c r="L274" s="85"/>
      <c r="M274" s="40"/>
      <c r="N274" s="86"/>
      <c r="O274" s="86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>
      <c r="A275" s="40"/>
      <c r="B275" s="40"/>
      <c r="C275" s="40"/>
      <c r="D275" s="82"/>
      <c r="E275" s="83"/>
      <c r="F275" s="40"/>
      <c r="G275" s="40"/>
      <c r="H275" s="82"/>
      <c r="I275" s="84"/>
      <c r="J275" s="84"/>
      <c r="K275" s="84"/>
      <c r="L275" s="85"/>
      <c r="M275" s="40"/>
      <c r="N275" s="86"/>
      <c r="O275" s="86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>
      <c r="A276" s="40"/>
      <c r="B276" s="40"/>
      <c r="C276" s="40"/>
      <c r="D276" s="82"/>
      <c r="E276" s="83"/>
      <c r="F276" s="40"/>
      <c r="G276" s="40"/>
      <c r="H276" s="82"/>
      <c r="I276" s="84"/>
      <c r="J276" s="84"/>
      <c r="K276" s="84"/>
      <c r="L276" s="85"/>
      <c r="M276" s="40"/>
      <c r="N276" s="86"/>
      <c r="O276" s="86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>
      <c r="A277" s="40"/>
      <c r="B277" s="40"/>
      <c r="C277" s="40"/>
      <c r="D277" s="82"/>
      <c r="E277" s="83"/>
      <c r="F277" s="40"/>
      <c r="G277" s="40"/>
      <c r="H277" s="82"/>
      <c r="I277" s="84"/>
      <c r="J277" s="84"/>
      <c r="K277" s="84"/>
      <c r="L277" s="85"/>
      <c r="M277" s="40"/>
      <c r="N277" s="86"/>
      <c r="O277" s="86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>
      <c r="A278" s="40"/>
      <c r="B278" s="40"/>
      <c r="C278" s="40"/>
      <c r="D278" s="82"/>
      <c r="E278" s="83"/>
      <c r="F278" s="40"/>
      <c r="G278" s="40"/>
      <c r="H278" s="82"/>
      <c r="I278" s="84"/>
      <c r="J278" s="84"/>
      <c r="K278" s="84"/>
      <c r="L278" s="85"/>
      <c r="M278" s="40"/>
      <c r="N278" s="86"/>
      <c r="O278" s="86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>
      <c r="A279" s="40"/>
      <c r="B279" s="40"/>
      <c r="C279" s="40"/>
      <c r="D279" s="82"/>
      <c r="E279" s="83"/>
      <c r="F279" s="40"/>
      <c r="G279" s="40"/>
      <c r="H279" s="82"/>
      <c r="I279" s="84"/>
      <c r="J279" s="84"/>
      <c r="K279" s="84"/>
      <c r="L279" s="85"/>
      <c r="M279" s="40"/>
      <c r="N279" s="86"/>
      <c r="O279" s="86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>
      <c r="A280" s="40"/>
      <c r="B280" s="40"/>
      <c r="C280" s="40"/>
      <c r="D280" s="82"/>
      <c r="E280" s="83"/>
      <c r="F280" s="40"/>
      <c r="G280" s="40"/>
      <c r="H280" s="82"/>
      <c r="I280" s="84"/>
      <c r="J280" s="84"/>
      <c r="K280" s="84"/>
      <c r="L280" s="85"/>
      <c r="M280" s="40"/>
      <c r="N280" s="86"/>
      <c r="O280" s="86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>
      <c r="A281" s="40"/>
      <c r="B281" s="40"/>
      <c r="C281" s="40"/>
      <c r="D281" s="82"/>
      <c r="E281" s="83"/>
      <c r="F281" s="40"/>
      <c r="G281" s="40"/>
      <c r="H281" s="82"/>
      <c r="I281" s="84"/>
      <c r="J281" s="84"/>
      <c r="K281" s="84"/>
      <c r="L281" s="85"/>
      <c r="M281" s="40"/>
      <c r="N281" s="86"/>
      <c r="O281" s="86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>
      <c r="A282" s="40"/>
      <c r="B282" s="40"/>
      <c r="C282" s="40"/>
      <c r="D282" s="82"/>
      <c r="E282" s="83"/>
      <c r="F282" s="40"/>
      <c r="G282" s="40"/>
      <c r="H282" s="82"/>
      <c r="I282" s="84"/>
      <c r="J282" s="84"/>
      <c r="K282" s="84"/>
      <c r="L282" s="85"/>
      <c r="M282" s="40"/>
      <c r="N282" s="86"/>
      <c r="O282" s="86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>
      <c r="A283" s="40"/>
      <c r="B283" s="40"/>
      <c r="C283" s="40"/>
      <c r="D283" s="82"/>
      <c r="E283" s="83"/>
      <c r="F283" s="40"/>
      <c r="G283" s="40"/>
      <c r="H283" s="82"/>
      <c r="I283" s="84"/>
      <c r="J283" s="84"/>
      <c r="K283" s="84"/>
      <c r="L283" s="85"/>
      <c r="M283" s="40"/>
      <c r="N283" s="86"/>
      <c r="O283" s="86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>
      <c r="A284" s="40"/>
      <c r="B284" s="40"/>
      <c r="C284" s="40"/>
      <c r="D284" s="82"/>
      <c r="E284" s="83"/>
      <c r="F284" s="40"/>
      <c r="G284" s="40"/>
      <c r="H284" s="82"/>
      <c r="I284" s="84"/>
      <c r="J284" s="84"/>
      <c r="K284" s="84"/>
      <c r="L284" s="85"/>
      <c r="M284" s="40"/>
      <c r="N284" s="86"/>
      <c r="O284" s="86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>
      <c r="A285" s="40"/>
      <c r="B285" s="40"/>
      <c r="C285" s="40"/>
      <c r="D285" s="82"/>
      <c r="E285" s="83"/>
      <c r="F285" s="40"/>
      <c r="G285" s="40"/>
      <c r="H285" s="82"/>
      <c r="I285" s="84"/>
      <c r="J285" s="84"/>
      <c r="K285" s="84"/>
      <c r="L285" s="85"/>
      <c r="M285" s="40"/>
      <c r="N285" s="86"/>
      <c r="O285" s="86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>
      <c r="A286" s="40"/>
      <c r="B286" s="40"/>
      <c r="C286" s="40"/>
      <c r="D286" s="82"/>
      <c r="E286" s="83"/>
      <c r="F286" s="40"/>
      <c r="G286" s="40"/>
      <c r="H286" s="82"/>
      <c r="I286" s="84"/>
      <c r="J286" s="84"/>
      <c r="K286" s="84"/>
      <c r="L286" s="85"/>
      <c r="M286" s="40"/>
      <c r="N286" s="86"/>
      <c r="O286" s="86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>
      <c r="A287" s="40"/>
      <c r="B287" s="40"/>
      <c r="C287" s="40"/>
      <c r="D287" s="82"/>
      <c r="E287" s="83"/>
      <c r="F287" s="40"/>
      <c r="G287" s="40"/>
      <c r="H287" s="82"/>
      <c r="I287" s="84"/>
      <c r="J287" s="84"/>
      <c r="K287" s="84"/>
      <c r="L287" s="85"/>
      <c r="M287" s="40"/>
      <c r="N287" s="86"/>
      <c r="O287" s="86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>
      <c r="A288" s="40"/>
      <c r="B288" s="40"/>
      <c r="C288" s="40"/>
      <c r="D288" s="82"/>
      <c r="E288" s="83"/>
      <c r="F288" s="40"/>
      <c r="G288" s="40"/>
      <c r="H288" s="82"/>
      <c r="I288" s="84"/>
      <c r="J288" s="84"/>
      <c r="K288" s="84"/>
      <c r="L288" s="85"/>
      <c r="M288" s="40"/>
      <c r="N288" s="86"/>
      <c r="O288" s="86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>
      <c r="A289" s="40"/>
      <c r="B289" s="40"/>
      <c r="C289" s="40"/>
      <c r="D289" s="82"/>
      <c r="E289" s="83"/>
      <c r="F289" s="40"/>
      <c r="G289" s="40"/>
      <c r="H289" s="82"/>
      <c r="I289" s="84"/>
      <c r="J289" s="84"/>
      <c r="K289" s="84"/>
      <c r="L289" s="85"/>
      <c r="M289" s="40"/>
      <c r="N289" s="86"/>
      <c r="O289" s="86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>
      <c r="A290" s="40"/>
      <c r="B290" s="40"/>
      <c r="C290" s="40"/>
      <c r="D290" s="82"/>
      <c r="E290" s="83"/>
      <c r="F290" s="40"/>
      <c r="G290" s="40"/>
      <c r="H290" s="82"/>
      <c r="I290" s="84"/>
      <c r="J290" s="84"/>
      <c r="K290" s="84"/>
      <c r="L290" s="85"/>
      <c r="M290" s="40"/>
      <c r="N290" s="86"/>
      <c r="O290" s="86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>
      <c r="A291" s="40"/>
      <c r="B291" s="40"/>
      <c r="C291" s="40"/>
      <c r="D291" s="82"/>
      <c r="E291" s="83"/>
      <c r="F291" s="40"/>
      <c r="G291" s="40"/>
      <c r="H291" s="82"/>
      <c r="I291" s="84"/>
      <c r="J291" s="84"/>
      <c r="K291" s="84"/>
      <c r="L291" s="85"/>
      <c r="M291" s="40"/>
      <c r="N291" s="86"/>
      <c r="O291" s="86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>
      <c r="A292" s="40"/>
      <c r="B292" s="40"/>
      <c r="C292" s="40"/>
      <c r="D292" s="82"/>
      <c r="E292" s="83"/>
      <c r="F292" s="40"/>
      <c r="G292" s="40"/>
      <c r="H292" s="82"/>
      <c r="I292" s="84"/>
      <c r="J292" s="84"/>
      <c r="K292" s="84"/>
      <c r="L292" s="85"/>
      <c r="M292" s="40"/>
      <c r="N292" s="86"/>
      <c r="O292" s="86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>
      <c r="A293" s="40"/>
      <c r="B293" s="40"/>
      <c r="C293" s="40"/>
      <c r="D293" s="82"/>
      <c r="E293" s="83"/>
      <c r="F293" s="40"/>
      <c r="G293" s="40"/>
      <c r="H293" s="82"/>
      <c r="I293" s="84"/>
      <c r="J293" s="84"/>
      <c r="K293" s="84"/>
      <c r="L293" s="85"/>
      <c r="M293" s="40"/>
      <c r="N293" s="86"/>
      <c r="O293" s="86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>
      <c r="A294" s="40"/>
      <c r="B294" s="40"/>
      <c r="C294" s="40"/>
      <c r="D294" s="82"/>
      <c r="E294" s="83"/>
      <c r="F294" s="40"/>
      <c r="G294" s="40"/>
      <c r="H294" s="82"/>
      <c r="I294" s="84"/>
      <c r="J294" s="84"/>
      <c r="K294" s="84"/>
      <c r="L294" s="85"/>
      <c r="M294" s="40"/>
      <c r="N294" s="86"/>
      <c r="O294" s="86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>
      <c r="A295" s="40"/>
      <c r="B295" s="40"/>
      <c r="C295" s="40"/>
      <c r="D295" s="82"/>
      <c r="E295" s="83"/>
      <c r="F295" s="40"/>
      <c r="G295" s="40"/>
      <c r="H295" s="82"/>
      <c r="I295" s="84"/>
      <c r="J295" s="84"/>
      <c r="K295" s="84"/>
      <c r="L295" s="85"/>
      <c r="M295" s="40"/>
      <c r="N295" s="86"/>
      <c r="O295" s="86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>
      <c r="A296" s="40"/>
      <c r="B296" s="40"/>
      <c r="C296" s="40"/>
      <c r="D296" s="82"/>
      <c r="E296" s="83"/>
      <c r="F296" s="40"/>
      <c r="G296" s="40"/>
      <c r="H296" s="82"/>
      <c r="I296" s="84"/>
      <c r="J296" s="84"/>
      <c r="K296" s="84"/>
      <c r="L296" s="85"/>
      <c r="M296" s="40"/>
      <c r="N296" s="86"/>
      <c r="O296" s="86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>
      <c r="A297" s="40"/>
      <c r="B297" s="40"/>
      <c r="C297" s="40"/>
      <c r="D297" s="82"/>
      <c r="E297" s="83"/>
      <c r="F297" s="40"/>
      <c r="G297" s="40"/>
      <c r="H297" s="82"/>
      <c r="I297" s="84"/>
      <c r="J297" s="84"/>
      <c r="K297" s="84"/>
      <c r="L297" s="85"/>
      <c r="M297" s="40"/>
      <c r="N297" s="86"/>
      <c r="O297" s="86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>
      <c r="A298" s="40"/>
      <c r="B298" s="40"/>
      <c r="C298" s="40"/>
      <c r="D298" s="82"/>
      <c r="E298" s="83"/>
      <c r="F298" s="40"/>
      <c r="G298" s="40"/>
      <c r="H298" s="82"/>
      <c r="I298" s="84"/>
      <c r="J298" s="84"/>
      <c r="K298" s="84"/>
      <c r="L298" s="85"/>
      <c r="M298" s="40"/>
      <c r="N298" s="86"/>
      <c r="O298" s="86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>
      <c r="A299" s="40"/>
      <c r="B299" s="40"/>
      <c r="C299" s="40"/>
      <c r="D299" s="82"/>
      <c r="E299" s="83"/>
      <c r="F299" s="40"/>
      <c r="G299" s="40"/>
      <c r="H299" s="82"/>
      <c r="I299" s="84"/>
      <c r="J299" s="84"/>
      <c r="K299" s="84"/>
      <c r="L299" s="85"/>
      <c r="M299" s="40"/>
      <c r="N299" s="86"/>
      <c r="O299" s="86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>
      <c r="A300" s="40"/>
      <c r="B300" s="40"/>
      <c r="C300" s="40"/>
      <c r="D300" s="82"/>
      <c r="E300" s="83"/>
      <c r="F300" s="40"/>
      <c r="G300" s="40"/>
      <c r="H300" s="82"/>
      <c r="I300" s="84"/>
      <c r="J300" s="84"/>
      <c r="K300" s="84"/>
      <c r="L300" s="85"/>
      <c r="M300" s="40"/>
      <c r="N300" s="86"/>
      <c r="O300" s="86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>
      <c r="A301" s="40"/>
      <c r="B301" s="40"/>
      <c r="C301" s="40"/>
      <c r="D301" s="82"/>
      <c r="E301" s="83"/>
      <c r="F301" s="40"/>
      <c r="G301" s="40"/>
      <c r="H301" s="82"/>
      <c r="I301" s="84"/>
      <c r="J301" s="84"/>
      <c r="K301" s="84"/>
      <c r="L301" s="85"/>
      <c r="M301" s="40"/>
      <c r="N301" s="86"/>
      <c r="O301" s="86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>
      <c r="A302" s="40"/>
      <c r="B302" s="40"/>
      <c r="C302" s="40"/>
      <c r="D302" s="82"/>
      <c r="E302" s="83"/>
      <c r="F302" s="40"/>
      <c r="G302" s="40"/>
      <c r="H302" s="82"/>
      <c r="I302" s="84"/>
      <c r="J302" s="84"/>
      <c r="K302" s="84"/>
      <c r="L302" s="85"/>
      <c r="M302" s="40"/>
      <c r="N302" s="86"/>
      <c r="O302" s="86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>
      <c r="A303" s="40"/>
      <c r="B303" s="40"/>
      <c r="C303" s="40"/>
      <c r="D303" s="82"/>
      <c r="E303" s="83"/>
      <c r="F303" s="40"/>
      <c r="G303" s="40"/>
      <c r="H303" s="82"/>
      <c r="I303" s="84"/>
      <c r="J303" s="84"/>
      <c r="K303" s="84"/>
      <c r="L303" s="85"/>
      <c r="M303" s="40"/>
      <c r="N303" s="86"/>
      <c r="O303" s="86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>
      <c r="A304" s="40"/>
      <c r="B304" s="40"/>
      <c r="C304" s="40"/>
      <c r="D304" s="82"/>
      <c r="E304" s="83"/>
      <c r="F304" s="40"/>
      <c r="G304" s="40"/>
      <c r="H304" s="82"/>
      <c r="I304" s="84"/>
      <c r="J304" s="84"/>
      <c r="K304" s="84"/>
      <c r="L304" s="85"/>
      <c r="M304" s="40"/>
      <c r="N304" s="86"/>
      <c r="O304" s="86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>
      <c r="A305" s="40"/>
      <c r="B305" s="40"/>
      <c r="C305" s="40"/>
      <c r="D305" s="82"/>
      <c r="E305" s="83"/>
      <c r="F305" s="40"/>
      <c r="G305" s="40"/>
      <c r="H305" s="82"/>
      <c r="I305" s="84"/>
      <c r="J305" s="84"/>
      <c r="K305" s="84"/>
      <c r="L305" s="85"/>
      <c r="M305" s="40"/>
      <c r="N305" s="86"/>
      <c r="O305" s="86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>
      <c r="A306" s="40"/>
      <c r="B306" s="40"/>
      <c r="C306" s="40"/>
      <c r="D306" s="82"/>
      <c r="E306" s="83"/>
      <c r="F306" s="40"/>
      <c r="G306" s="40"/>
      <c r="H306" s="82"/>
      <c r="I306" s="84"/>
      <c r="J306" s="84"/>
      <c r="K306" s="84"/>
      <c r="L306" s="85"/>
      <c r="M306" s="40"/>
      <c r="N306" s="86"/>
      <c r="O306" s="86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>
      <c r="A307" s="40"/>
      <c r="B307" s="40"/>
      <c r="C307" s="40"/>
      <c r="D307" s="82"/>
      <c r="E307" s="83"/>
      <c r="F307" s="40"/>
      <c r="G307" s="40"/>
      <c r="H307" s="82"/>
      <c r="I307" s="84"/>
      <c r="J307" s="84"/>
      <c r="K307" s="84"/>
      <c r="L307" s="85"/>
      <c r="M307" s="40"/>
      <c r="N307" s="86"/>
      <c r="O307" s="86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>
      <c r="A308" s="40"/>
      <c r="B308" s="40"/>
      <c r="C308" s="40"/>
      <c r="D308" s="82"/>
      <c r="E308" s="83"/>
      <c r="F308" s="40"/>
      <c r="G308" s="40"/>
      <c r="H308" s="82"/>
      <c r="I308" s="84"/>
      <c r="J308" s="84"/>
      <c r="K308" s="84"/>
      <c r="L308" s="85"/>
      <c r="M308" s="40"/>
      <c r="N308" s="86"/>
      <c r="O308" s="86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>
      <c r="A309" s="40"/>
      <c r="B309" s="40"/>
      <c r="C309" s="40"/>
      <c r="D309" s="82"/>
      <c r="E309" s="83"/>
      <c r="F309" s="40"/>
      <c r="G309" s="40"/>
      <c r="H309" s="82"/>
      <c r="I309" s="84"/>
      <c r="J309" s="84"/>
      <c r="K309" s="84"/>
      <c r="L309" s="85"/>
      <c r="M309" s="40"/>
      <c r="N309" s="86"/>
      <c r="O309" s="86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>
      <c r="A310" s="40"/>
      <c r="B310" s="40"/>
      <c r="C310" s="40"/>
      <c r="D310" s="82"/>
      <c r="E310" s="83"/>
      <c r="F310" s="40"/>
      <c r="G310" s="40"/>
      <c r="H310" s="82"/>
      <c r="I310" s="84"/>
      <c r="J310" s="84"/>
      <c r="K310" s="84"/>
      <c r="L310" s="85"/>
      <c r="M310" s="40"/>
      <c r="N310" s="86"/>
      <c r="O310" s="86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>
      <c r="A311" s="40"/>
      <c r="B311" s="40"/>
      <c r="C311" s="40"/>
      <c r="D311" s="82"/>
      <c r="E311" s="83"/>
      <c r="F311" s="40"/>
      <c r="G311" s="40"/>
      <c r="H311" s="82"/>
      <c r="I311" s="84"/>
      <c r="J311" s="84"/>
      <c r="K311" s="84"/>
      <c r="L311" s="85"/>
      <c r="M311" s="40"/>
      <c r="N311" s="86"/>
      <c r="O311" s="86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>
      <c r="A312" s="40"/>
      <c r="B312" s="40"/>
      <c r="C312" s="40"/>
      <c r="D312" s="82"/>
      <c r="E312" s="83"/>
      <c r="F312" s="40"/>
      <c r="G312" s="40"/>
      <c r="H312" s="82"/>
      <c r="I312" s="84"/>
      <c r="J312" s="84"/>
      <c r="K312" s="84"/>
      <c r="L312" s="85"/>
      <c r="M312" s="40"/>
      <c r="N312" s="86"/>
      <c r="O312" s="86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>
      <c r="A313" s="40"/>
      <c r="B313" s="40"/>
      <c r="C313" s="40"/>
      <c r="D313" s="82"/>
      <c r="E313" s="83"/>
      <c r="F313" s="40"/>
      <c r="G313" s="40"/>
      <c r="H313" s="82"/>
      <c r="I313" s="84"/>
      <c r="J313" s="84"/>
      <c r="K313" s="84"/>
      <c r="L313" s="85"/>
      <c r="M313" s="40"/>
      <c r="N313" s="86"/>
      <c r="O313" s="86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>
      <c r="A314" s="40"/>
      <c r="B314" s="40"/>
      <c r="C314" s="40"/>
      <c r="D314" s="82"/>
      <c r="E314" s="83"/>
      <c r="F314" s="40"/>
      <c r="G314" s="40"/>
      <c r="H314" s="82"/>
      <c r="I314" s="84"/>
      <c r="J314" s="84"/>
      <c r="K314" s="84"/>
      <c r="L314" s="85"/>
      <c r="M314" s="40"/>
      <c r="N314" s="86"/>
      <c r="O314" s="86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>
      <c r="A315" s="40"/>
      <c r="B315" s="40"/>
      <c r="C315" s="40"/>
      <c r="D315" s="82"/>
      <c r="E315" s="83"/>
      <c r="F315" s="40"/>
      <c r="G315" s="40"/>
      <c r="H315" s="82"/>
      <c r="I315" s="84"/>
      <c r="J315" s="84"/>
      <c r="K315" s="84"/>
      <c r="L315" s="85"/>
      <c r="M315" s="40"/>
      <c r="N315" s="86"/>
      <c r="O315" s="86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>
      <c r="A316" s="40"/>
      <c r="B316" s="40"/>
      <c r="C316" s="40"/>
      <c r="D316" s="82"/>
      <c r="E316" s="83"/>
      <c r="F316" s="40"/>
      <c r="G316" s="40"/>
      <c r="H316" s="82"/>
      <c r="I316" s="84"/>
      <c r="J316" s="84"/>
      <c r="K316" s="84"/>
      <c r="L316" s="85"/>
      <c r="M316" s="40"/>
      <c r="N316" s="86"/>
      <c r="O316" s="86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>
      <c r="A317" s="40"/>
      <c r="B317" s="40"/>
      <c r="C317" s="40"/>
      <c r="D317" s="82"/>
      <c r="E317" s="83"/>
      <c r="F317" s="40"/>
      <c r="G317" s="40"/>
      <c r="H317" s="82"/>
      <c r="I317" s="84"/>
      <c r="J317" s="84"/>
      <c r="K317" s="84"/>
      <c r="L317" s="85"/>
      <c r="M317" s="40"/>
      <c r="N317" s="86"/>
      <c r="O317" s="86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>
      <c r="A318" s="40"/>
      <c r="B318" s="40"/>
      <c r="C318" s="40"/>
      <c r="D318" s="82"/>
      <c r="E318" s="83"/>
      <c r="F318" s="40"/>
      <c r="G318" s="40"/>
      <c r="H318" s="82"/>
      <c r="I318" s="84"/>
      <c r="J318" s="84"/>
      <c r="K318" s="84"/>
      <c r="L318" s="85"/>
      <c r="M318" s="40"/>
      <c r="N318" s="86"/>
      <c r="O318" s="86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>
      <c r="A319" s="40"/>
      <c r="B319" s="40"/>
      <c r="C319" s="40"/>
      <c r="D319" s="82"/>
      <c r="E319" s="83"/>
      <c r="F319" s="40"/>
      <c r="G319" s="40"/>
      <c r="H319" s="82"/>
      <c r="I319" s="84"/>
      <c r="J319" s="84"/>
      <c r="K319" s="84"/>
      <c r="L319" s="85"/>
      <c r="M319" s="40"/>
      <c r="N319" s="86"/>
      <c r="O319" s="86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>
      <c r="A320" s="40"/>
      <c r="B320" s="40"/>
      <c r="C320" s="40"/>
      <c r="D320" s="82"/>
      <c r="E320" s="83"/>
      <c r="F320" s="40"/>
      <c r="G320" s="40"/>
      <c r="H320" s="82"/>
      <c r="I320" s="84"/>
      <c r="J320" s="84"/>
      <c r="K320" s="84"/>
      <c r="L320" s="85"/>
      <c r="M320" s="40"/>
      <c r="N320" s="86"/>
      <c r="O320" s="86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>
      <c r="A321" s="40"/>
      <c r="B321" s="40"/>
      <c r="C321" s="40"/>
      <c r="D321" s="82"/>
      <c r="E321" s="83"/>
      <c r="F321" s="40"/>
      <c r="G321" s="40"/>
      <c r="H321" s="82"/>
      <c r="I321" s="84"/>
      <c r="J321" s="84"/>
      <c r="K321" s="84"/>
      <c r="L321" s="85"/>
      <c r="M321" s="40"/>
      <c r="N321" s="86"/>
      <c r="O321" s="86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>
      <c r="A322" s="40"/>
      <c r="B322" s="40"/>
      <c r="C322" s="40"/>
      <c r="D322" s="82"/>
      <c r="E322" s="83"/>
      <c r="F322" s="40"/>
      <c r="G322" s="40"/>
      <c r="H322" s="82"/>
      <c r="I322" s="84"/>
      <c r="J322" s="84"/>
      <c r="K322" s="84"/>
      <c r="L322" s="85"/>
      <c r="M322" s="40"/>
      <c r="N322" s="86"/>
      <c r="O322" s="86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>
      <c r="A323" s="40"/>
      <c r="B323" s="40"/>
      <c r="C323" s="40"/>
      <c r="D323" s="82"/>
      <c r="E323" s="83"/>
      <c r="F323" s="40"/>
      <c r="G323" s="40"/>
      <c r="H323" s="82"/>
      <c r="I323" s="84"/>
      <c r="J323" s="84"/>
      <c r="K323" s="84"/>
      <c r="L323" s="85"/>
      <c r="M323" s="40"/>
      <c r="N323" s="86"/>
      <c r="O323" s="86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>
      <c r="A324" s="40"/>
      <c r="B324" s="40"/>
      <c r="C324" s="40"/>
      <c r="D324" s="82"/>
      <c r="E324" s="83"/>
      <c r="F324" s="40"/>
      <c r="G324" s="40"/>
      <c r="H324" s="82"/>
      <c r="I324" s="84"/>
      <c r="J324" s="84"/>
      <c r="K324" s="84"/>
      <c r="L324" s="85"/>
      <c r="M324" s="40"/>
      <c r="N324" s="86"/>
      <c r="O324" s="86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>
      <c r="A325" s="40"/>
      <c r="B325" s="40"/>
      <c r="C325" s="40"/>
      <c r="D325" s="82"/>
      <c r="E325" s="83"/>
      <c r="F325" s="40"/>
      <c r="G325" s="40"/>
      <c r="H325" s="82"/>
      <c r="I325" s="84"/>
      <c r="J325" s="84"/>
      <c r="K325" s="84"/>
      <c r="L325" s="85"/>
      <c r="M325" s="40"/>
      <c r="N325" s="86"/>
      <c r="O325" s="86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>
      <c r="A326" s="40"/>
      <c r="B326" s="40"/>
      <c r="C326" s="40"/>
      <c r="D326" s="82"/>
      <c r="E326" s="83"/>
      <c r="F326" s="40"/>
      <c r="G326" s="40"/>
      <c r="H326" s="82"/>
      <c r="I326" s="84"/>
      <c r="J326" s="84"/>
      <c r="K326" s="84"/>
      <c r="L326" s="85"/>
      <c r="M326" s="40"/>
      <c r="N326" s="86"/>
      <c r="O326" s="86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>
      <c r="A327" s="40"/>
      <c r="B327" s="40"/>
      <c r="C327" s="40"/>
      <c r="D327" s="82"/>
      <c r="E327" s="83"/>
      <c r="F327" s="40"/>
      <c r="G327" s="40"/>
      <c r="H327" s="82"/>
      <c r="I327" s="84"/>
      <c r="J327" s="84"/>
      <c r="K327" s="84"/>
      <c r="L327" s="85"/>
      <c r="M327" s="40"/>
      <c r="N327" s="86"/>
      <c r="O327" s="86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>
      <c r="A328" s="40"/>
      <c r="B328" s="40"/>
      <c r="C328" s="40"/>
      <c r="D328" s="82"/>
      <c r="E328" s="83"/>
      <c r="F328" s="40"/>
      <c r="G328" s="40"/>
      <c r="H328" s="82"/>
      <c r="I328" s="84"/>
      <c r="J328" s="84"/>
      <c r="K328" s="84"/>
      <c r="L328" s="85"/>
      <c r="M328" s="40"/>
      <c r="N328" s="86"/>
      <c r="O328" s="86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>
      <c r="A329" s="40"/>
      <c r="B329" s="40"/>
      <c r="C329" s="40"/>
      <c r="D329" s="82"/>
      <c r="E329" s="83"/>
      <c r="F329" s="40"/>
      <c r="G329" s="40"/>
      <c r="H329" s="82"/>
      <c r="I329" s="84"/>
      <c r="J329" s="84"/>
      <c r="K329" s="84"/>
      <c r="L329" s="85"/>
      <c r="M329" s="40"/>
      <c r="N329" s="86"/>
      <c r="O329" s="86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>
      <c r="A330" s="40"/>
      <c r="B330" s="40"/>
      <c r="C330" s="40"/>
      <c r="D330" s="82"/>
      <c r="E330" s="83"/>
      <c r="F330" s="40"/>
      <c r="G330" s="40"/>
      <c r="H330" s="82"/>
      <c r="I330" s="84"/>
      <c r="J330" s="84"/>
      <c r="K330" s="84"/>
      <c r="L330" s="85"/>
      <c r="M330" s="40"/>
      <c r="N330" s="86"/>
      <c r="O330" s="86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>
      <c r="A331" s="40"/>
      <c r="B331" s="40"/>
      <c r="C331" s="40"/>
      <c r="D331" s="82"/>
      <c r="E331" s="83"/>
      <c r="F331" s="40"/>
      <c r="G331" s="40"/>
      <c r="H331" s="82"/>
      <c r="I331" s="84"/>
      <c r="J331" s="84"/>
      <c r="K331" s="84"/>
      <c r="L331" s="85"/>
      <c r="M331" s="40"/>
      <c r="N331" s="86"/>
      <c r="O331" s="86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>
      <c r="A332" s="40"/>
      <c r="B332" s="40"/>
      <c r="C332" s="40"/>
      <c r="D332" s="82"/>
      <c r="E332" s="83"/>
      <c r="F332" s="40"/>
      <c r="G332" s="40"/>
      <c r="H332" s="82"/>
      <c r="I332" s="84"/>
      <c r="J332" s="84"/>
      <c r="K332" s="84"/>
      <c r="L332" s="85"/>
      <c r="M332" s="40"/>
      <c r="N332" s="86"/>
      <c r="O332" s="86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>
      <c r="A333" s="40"/>
      <c r="B333" s="40"/>
      <c r="C333" s="40"/>
      <c r="D333" s="82"/>
      <c r="E333" s="83"/>
      <c r="F333" s="40"/>
      <c r="G333" s="40"/>
      <c r="H333" s="82"/>
      <c r="I333" s="84"/>
      <c r="J333" s="84"/>
      <c r="K333" s="84"/>
      <c r="L333" s="85"/>
      <c r="M333" s="40"/>
      <c r="N333" s="86"/>
      <c r="O333" s="86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>
      <c r="A334" s="40"/>
      <c r="B334" s="40"/>
      <c r="C334" s="40"/>
      <c r="D334" s="82"/>
      <c r="E334" s="83"/>
      <c r="F334" s="40"/>
      <c r="G334" s="40"/>
      <c r="H334" s="82"/>
      <c r="I334" s="84"/>
      <c r="J334" s="84"/>
      <c r="K334" s="84"/>
      <c r="L334" s="85"/>
      <c r="M334" s="40"/>
      <c r="N334" s="86"/>
      <c r="O334" s="86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>
      <c r="A335" s="40"/>
      <c r="B335" s="40"/>
      <c r="C335" s="40"/>
      <c r="D335" s="82"/>
      <c r="E335" s="83"/>
      <c r="F335" s="40"/>
      <c r="G335" s="40"/>
      <c r="H335" s="82"/>
      <c r="I335" s="84"/>
      <c r="J335" s="84"/>
      <c r="K335" s="84"/>
      <c r="L335" s="85"/>
      <c r="M335" s="40"/>
      <c r="N335" s="86"/>
      <c r="O335" s="86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>
      <c r="A336" s="40"/>
      <c r="B336" s="40"/>
      <c r="C336" s="40"/>
      <c r="D336" s="82"/>
      <c r="E336" s="83"/>
      <c r="F336" s="40"/>
      <c r="G336" s="40"/>
      <c r="H336" s="82"/>
      <c r="I336" s="84"/>
      <c r="J336" s="84"/>
      <c r="K336" s="84"/>
      <c r="L336" s="85"/>
      <c r="M336" s="40"/>
      <c r="N336" s="86"/>
      <c r="O336" s="86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>
      <c r="A337" s="40"/>
      <c r="B337" s="40"/>
      <c r="C337" s="40"/>
      <c r="D337" s="82"/>
      <c r="E337" s="83"/>
      <c r="F337" s="40"/>
      <c r="G337" s="40"/>
      <c r="H337" s="82"/>
      <c r="I337" s="84"/>
      <c r="J337" s="84"/>
      <c r="K337" s="84"/>
      <c r="L337" s="85"/>
      <c r="M337" s="40"/>
      <c r="N337" s="86"/>
      <c r="O337" s="86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>
      <c r="A338" s="40"/>
      <c r="B338" s="40"/>
      <c r="C338" s="40"/>
      <c r="D338" s="82"/>
      <c r="E338" s="83"/>
      <c r="F338" s="40"/>
      <c r="G338" s="40"/>
      <c r="H338" s="82"/>
      <c r="I338" s="84"/>
      <c r="J338" s="84"/>
      <c r="K338" s="84"/>
      <c r="L338" s="85"/>
      <c r="M338" s="40"/>
      <c r="N338" s="86"/>
      <c r="O338" s="86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>
      <c r="A339" s="40"/>
      <c r="B339" s="40"/>
      <c r="C339" s="40"/>
      <c r="D339" s="82"/>
      <c r="E339" s="83"/>
      <c r="F339" s="40"/>
      <c r="G339" s="40"/>
      <c r="H339" s="82"/>
      <c r="I339" s="84"/>
      <c r="J339" s="84"/>
      <c r="K339" s="84"/>
      <c r="L339" s="85"/>
      <c r="M339" s="40"/>
      <c r="N339" s="86"/>
      <c r="O339" s="86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>
      <c r="A340" s="40"/>
      <c r="B340" s="40"/>
      <c r="C340" s="40"/>
      <c r="D340" s="82"/>
      <c r="E340" s="83"/>
      <c r="F340" s="40"/>
      <c r="G340" s="40"/>
      <c r="H340" s="82"/>
      <c r="I340" s="84"/>
      <c r="J340" s="84"/>
      <c r="K340" s="84"/>
      <c r="L340" s="85"/>
      <c r="M340" s="40"/>
      <c r="N340" s="86"/>
      <c r="O340" s="86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>
      <c r="A341" s="40"/>
      <c r="B341" s="40"/>
      <c r="C341" s="40"/>
      <c r="D341" s="82"/>
      <c r="E341" s="83"/>
      <c r="F341" s="40"/>
      <c r="G341" s="40"/>
      <c r="H341" s="82"/>
      <c r="I341" s="84"/>
      <c r="J341" s="84"/>
      <c r="K341" s="84"/>
      <c r="L341" s="85"/>
      <c r="M341" s="40"/>
      <c r="N341" s="86"/>
      <c r="O341" s="86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>
      <c r="A342" s="40"/>
      <c r="B342" s="40"/>
      <c r="C342" s="40"/>
      <c r="D342" s="82"/>
      <c r="E342" s="83"/>
      <c r="F342" s="40"/>
      <c r="G342" s="40"/>
      <c r="H342" s="82"/>
      <c r="I342" s="84"/>
      <c r="J342" s="84"/>
      <c r="K342" s="84"/>
      <c r="L342" s="85"/>
      <c r="M342" s="40"/>
      <c r="N342" s="86"/>
      <c r="O342" s="86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>
      <c r="A343" s="40"/>
      <c r="B343" s="40"/>
      <c r="C343" s="40"/>
      <c r="D343" s="82"/>
      <c r="E343" s="83"/>
      <c r="F343" s="40"/>
      <c r="G343" s="40"/>
      <c r="H343" s="82"/>
      <c r="I343" s="84"/>
      <c r="J343" s="84"/>
      <c r="K343" s="84"/>
      <c r="L343" s="85"/>
      <c r="M343" s="40"/>
      <c r="N343" s="86"/>
      <c r="O343" s="86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>
      <c r="A344" s="40"/>
      <c r="B344" s="40"/>
      <c r="C344" s="40"/>
      <c r="D344" s="82"/>
      <c r="E344" s="83"/>
      <c r="F344" s="40"/>
      <c r="G344" s="40"/>
      <c r="H344" s="82"/>
      <c r="I344" s="84"/>
      <c r="J344" s="84"/>
      <c r="K344" s="84"/>
      <c r="L344" s="85"/>
      <c r="M344" s="40"/>
      <c r="N344" s="86"/>
      <c r="O344" s="86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>
      <c r="A345" s="40"/>
      <c r="B345" s="40"/>
      <c r="C345" s="40"/>
      <c r="D345" s="82"/>
      <c r="E345" s="83"/>
      <c r="F345" s="40"/>
      <c r="G345" s="40"/>
      <c r="H345" s="82"/>
      <c r="I345" s="84"/>
      <c r="J345" s="84"/>
      <c r="K345" s="84"/>
      <c r="L345" s="85"/>
      <c r="M345" s="40"/>
      <c r="N345" s="86"/>
      <c r="O345" s="86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>
      <c r="A346" s="40"/>
      <c r="B346" s="40"/>
      <c r="C346" s="40"/>
      <c r="D346" s="82"/>
      <c r="E346" s="83"/>
      <c r="F346" s="40"/>
      <c r="G346" s="40"/>
      <c r="H346" s="82"/>
      <c r="I346" s="84"/>
      <c r="J346" s="84"/>
      <c r="K346" s="84"/>
      <c r="L346" s="85"/>
      <c r="M346" s="40"/>
      <c r="N346" s="86"/>
      <c r="O346" s="86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>
      <c r="A347" s="40"/>
      <c r="B347" s="40"/>
      <c r="C347" s="40"/>
      <c r="D347" s="82"/>
      <c r="E347" s="83"/>
      <c r="F347" s="40"/>
      <c r="G347" s="40"/>
      <c r="H347" s="82"/>
      <c r="I347" s="84"/>
      <c r="J347" s="84"/>
      <c r="K347" s="84"/>
      <c r="L347" s="85"/>
      <c r="M347" s="40"/>
      <c r="N347" s="86"/>
      <c r="O347" s="86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>
      <c r="A348" s="40"/>
      <c r="B348" s="40"/>
      <c r="C348" s="40"/>
      <c r="D348" s="82"/>
      <c r="E348" s="83"/>
      <c r="F348" s="40"/>
      <c r="G348" s="40"/>
      <c r="H348" s="82"/>
      <c r="I348" s="84"/>
      <c r="J348" s="84"/>
      <c r="K348" s="84"/>
      <c r="L348" s="85"/>
      <c r="M348" s="40"/>
      <c r="N348" s="86"/>
      <c r="O348" s="86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>
      <c r="A349" s="40"/>
      <c r="B349" s="40"/>
      <c r="C349" s="40"/>
      <c r="D349" s="82"/>
      <c r="E349" s="83"/>
      <c r="F349" s="40"/>
      <c r="G349" s="40"/>
      <c r="H349" s="82"/>
      <c r="I349" s="84"/>
      <c r="J349" s="84"/>
      <c r="K349" s="84"/>
      <c r="L349" s="85"/>
      <c r="M349" s="40"/>
      <c r="N349" s="86"/>
      <c r="O349" s="86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>
      <c r="A350" s="40"/>
      <c r="B350" s="40"/>
      <c r="C350" s="40"/>
      <c r="D350" s="82"/>
      <c r="E350" s="83"/>
      <c r="F350" s="40"/>
      <c r="G350" s="40"/>
      <c r="H350" s="82"/>
      <c r="I350" s="84"/>
      <c r="J350" s="84"/>
      <c r="K350" s="84"/>
      <c r="L350" s="85"/>
      <c r="M350" s="40"/>
      <c r="N350" s="86"/>
      <c r="O350" s="86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>
      <c r="A351" s="40"/>
      <c r="B351" s="40"/>
      <c r="C351" s="40"/>
      <c r="D351" s="82"/>
      <c r="E351" s="83"/>
      <c r="F351" s="40"/>
      <c r="G351" s="40"/>
      <c r="H351" s="82"/>
      <c r="I351" s="84"/>
      <c r="J351" s="84"/>
      <c r="K351" s="84"/>
      <c r="L351" s="85"/>
      <c r="M351" s="40"/>
      <c r="N351" s="86"/>
      <c r="O351" s="86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>
      <c r="A352" s="40"/>
      <c r="B352" s="40"/>
      <c r="C352" s="40"/>
      <c r="D352" s="82"/>
      <c r="E352" s="83"/>
      <c r="F352" s="40"/>
      <c r="G352" s="40"/>
      <c r="H352" s="82"/>
      <c r="I352" s="84"/>
      <c r="J352" s="84"/>
      <c r="K352" s="84"/>
      <c r="L352" s="85"/>
      <c r="M352" s="40"/>
      <c r="N352" s="86"/>
      <c r="O352" s="86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>
      <c r="A353" s="40"/>
      <c r="B353" s="40"/>
      <c r="C353" s="40"/>
      <c r="D353" s="82"/>
      <c r="E353" s="83"/>
      <c r="F353" s="40"/>
      <c r="G353" s="40"/>
      <c r="H353" s="82"/>
      <c r="I353" s="84"/>
      <c r="J353" s="84"/>
      <c r="K353" s="84"/>
      <c r="L353" s="85"/>
      <c r="M353" s="40"/>
      <c r="N353" s="86"/>
      <c r="O353" s="86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>
      <c r="A354" s="40"/>
      <c r="B354" s="40"/>
      <c r="C354" s="40"/>
      <c r="D354" s="82"/>
      <c r="E354" s="83"/>
      <c r="F354" s="40"/>
      <c r="G354" s="40"/>
      <c r="H354" s="82"/>
      <c r="I354" s="84"/>
      <c r="J354" s="84"/>
      <c r="K354" s="84"/>
      <c r="L354" s="85"/>
      <c r="M354" s="40"/>
      <c r="N354" s="86"/>
      <c r="O354" s="86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>
      <c r="A355" s="40"/>
      <c r="B355" s="40"/>
      <c r="C355" s="40"/>
      <c r="D355" s="82"/>
      <c r="E355" s="83"/>
      <c r="F355" s="40"/>
      <c r="G355" s="40"/>
      <c r="H355" s="82"/>
      <c r="I355" s="84"/>
      <c r="J355" s="84"/>
      <c r="K355" s="84"/>
      <c r="L355" s="85"/>
      <c r="M355" s="40"/>
      <c r="N355" s="86"/>
      <c r="O355" s="86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>
      <c r="A356" s="40"/>
      <c r="B356" s="40"/>
      <c r="C356" s="40"/>
      <c r="D356" s="82"/>
      <c r="E356" s="83"/>
      <c r="F356" s="40"/>
      <c r="G356" s="40"/>
      <c r="H356" s="82"/>
      <c r="I356" s="84"/>
      <c r="J356" s="84"/>
      <c r="K356" s="84"/>
      <c r="L356" s="85"/>
      <c r="M356" s="40"/>
      <c r="N356" s="86"/>
      <c r="O356" s="86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>
      <c r="A357" s="40"/>
      <c r="B357" s="40"/>
      <c r="C357" s="40"/>
      <c r="D357" s="82"/>
      <c r="E357" s="83"/>
      <c r="F357" s="40"/>
      <c r="G357" s="40"/>
      <c r="H357" s="82"/>
      <c r="I357" s="84"/>
      <c r="J357" s="84"/>
      <c r="K357" s="84"/>
      <c r="L357" s="85"/>
      <c r="M357" s="40"/>
      <c r="N357" s="86"/>
      <c r="O357" s="86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>
      <c r="A358" s="40"/>
      <c r="B358" s="40"/>
      <c r="C358" s="40"/>
      <c r="D358" s="82"/>
      <c r="E358" s="83"/>
      <c r="F358" s="40"/>
      <c r="G358" s="40"/>
      <c r="H358" s="82"/>
      <c r="I358" s="84"/>
      <c r="J358" s="84"/>
      <c r="K358" s="84"/>
      <c r="L358" s="85"/>
      <c r="M358" s="40"/>
      <c r="N358" s="86"/>
      <c r="O358" s="86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>
      <c r="A359" s="40"/>
      <c r="B359" s="40"/>
      <c r="C359" s="40"/>
      <c r="D359" s="82"/>
      <c r="E359" s="83"/>
      <c r="F359" s="40"/>
      <c r="G359" s="40"/>
      <c r="H359" s="82"/>
      <c r="I359" s="84"/>
      <c r="J359" s="84"/>
      <c r="K359" s="84"/>
      <c r="L359" s="85"/>
      <c r="M359" s="40"/>
      <c r="N359" s="86"/>
      <c r="O359" s="86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>
      <c r="A360" s="40"/>
      <c r="B360" s="40"/>
      <c r="C360" s="40"/>
      <c r="D360" s="82"/>
      <c r="E360" s="83"/>
      <c r="F360" s="40"/>
      <c r="G360" s="40"/>
      <c r="H360" s="82"/>
      <c r="I360" s="84"/>
      <c r="J360" s="84"/>
      <c r="K360" s="84"/>
      <c r="L360" s="85"/>
      <c r="M360" s="40"/>
      <c r="N360" s="86"/>
      <c r="O360" s="86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>
      <c r="A361" s="40"/>
      <c r="B361" s="40"/>
      <c r="C361" s="40"/>
      <c r="D361" s="82"/>
      <c r="E361" s="83"/>
      <c r="F361" s="40"/>
      <c r="G361" s="40"/>
      <c r="H361" s="82"/>
      <c r="I361" s="84"/>
      <c r="J361" s="84"/>
      <c r="K361" s="84"/>
      <c r="L361" s="85"/>
      <c r="M361" s="40"/>
      <c r="N361" s="86"/>
      <c r="O361" s="86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>
      <c r="A362" s="40"/>
      <c r="B362" s="40"/>
      <c r="C362" s="40"/>
      <c r="D362" s="82"/>
      <c r="E362" s="83"/>
      <c r="F362" s="40"/>
      <c r="G362" s="40"/>
      <c r="H362" s="82"/>
      <c r="I362" s="84"/>
      <c r="J362" s="84"/>
      <c r="K362" s="84"/>
      <c r="L362" s="85"/>
      <c r="M362" s="40"/>
      <c r="N362" s="86"/>
      <c r="O362" s="86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>
      <c r="A363" s="40"/>
      <c r="B363" s="40"/>
      <c r="C363" s="40"/>
      <c r="D363" s="82"/>
      <c r="E363" s="83"/>
      <c r="F363" s="40"/>
      <c r="G363" s="40"/>
      <c r="H363" s="82"/>
      <c r="I363" s="84"/>
      <c r="J363" s="84"/>
      <c r="K363" s="84"/>
      <c r="L363" s="85"/>
      <c r="M363" s="40"/>
      <c r="N363" s="86"/>
      <c r="O363" s="86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>
      <c r="A364" s="40"/>
      <c r="B364" s="40"/>
      <c r="C364" s="40"/>
      <c r="D364" s="82"/>
      <c r="E364" s="83"/>
      <c r="F364" s="40"/>
      <c r="G364" s="40"/>
      <c r="H364" s="82"/>
      <c r="I364" s="84"/>
      <c r="J364" s="84"/>
      <c r="K364" s="84"/>
      <c r="L364" s="85"/>
      <c r="M364" s="40"/>
      <c r="N364" s="86"/>
      <c r="O364" s="86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>
      <c r="A365" s="40"/>
      <c r="B365" s="40"/>
      <c r="C365" s="40"/>
      <c r="D365" s="82"/>
      <c r="E365" s="83"/>
      <c r="F365" s="40"/>
      <c r="G365" s="40"/>
      <c r="H365" s="82"/>
      <c r="I365" s="84"/>
      <c r="J365" s="84"/>
      <c r="K365" s="84"/>
      <c r="L365" s="85"/>
      <c r="M365" s="40"/>
      <c r="N365" s="86"/>
      <c r="O365" s="86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>
      <c r="A366" s="40"/>
      <c r="B366" s="40"/>
      <c r="C366" s="40"/>
      <c r="D366" s="82"/>
      <c r="E366" s="83"/>
      <c r="F366" s="40"/>
      <c r="G366" s="40"/>
      <c r="H366" s="82"/>
      <c r="I366" s="84"/>
      <c r="J366" s="84"/>
      <c r="K366" s="84"/>
      <c r="L366" s="85"/>
      <c r="M366" s="40"/>
      <c r="N366" s="86"/>
      <c r="O366" s="86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>
      <c r="A367" s="40"/>
      <c r="B367" s="40"/>
      <c r="C367" s="40"/>
      <c r="D367" s="82"/>
      <c r="E367" s="83"/>
      <c r="F367" s="40"/>
      <c r="G367" s="40"/>
      <c r="H367" s="82"/>
      <c r="I367" s="84"/>
      <c r="J367" s="84"/>
      <c r="K367" s="84"/>
      <c r="L367" s="85"/>
      <c r="M367" s="40"/>
      <c r="N367" s="86"/>
      <c r="O367" s="86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>
      <c r="A368" s="40"/>
      <c r="B368" s="40"/>
      <c r="C368" s="40"/>
      <c r="D368" s="82"/>
      <c r="E368" s="83"/>
      <c r="F368" s="40"/>
      <c r="G368" s="40"/>
      <c r="H368" s="82"/>
      <c r="I368" s="84"/>
      <c r="J368" s="84"/>
      <c r="K368" s="84"/>
      <c r="L368" s="85"/>
      <c r="M368" s="40"/>
      <c r="N368" s="86"/>
      <c r="O368" s="86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>
      <c r="A369" s="40"/>
      <c r="B369" s="40"/>
      <c r="C369" s="40"/>
      <c r="D369" s="82"/>
      <c r="E369" s="83"/>
      <c r="F369" s="40"/>
      <c r="G369" s="40"/>
      <c r="H369" s="82"/>
      <c r="I369" s="84"/>
      <c r="J369" s="84"/>
      <c r="K369" s="84"/>
      <c r="L369" s="85"/>
      <c r="M369" s="40"/>
      <c r="N369" s="86"/>
      <c r="O369" s="86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>
      <c r="A370" s="40"/>
      <c r="B370" s="40"/>
      <c r="C370" s="40"/>
      <c r="D370" s="82"/>
      <c r="E370" s="83"/>
      <c r="F370" s="40"/>
      <c r="G370" s="40"/>
      <c r="H370" s="82"/>
      <c r="I370" s="84"/>
      <c r="J370" s="84"/>
      <c r="K370" s="84"/>
      <c r="L370" s="85"/>
      <c r="M370" s="40"/>
      <c r="N370" s="86"/>
      <c r="O370" s="86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>
      <c r="A371" s="40"/>
      <c r="B371" s="40"/>
      <c r="C371" s="40"/>
      <c r="D371" s="82"/>
      <c r="E371" s="83"/>
      <c r="F371" s="40"/>
      <c r="G371" s="40"/>
      <c r="H371" s="82"/>
      <c r="I371" s="84"/>
      <c r="J371" s="84"/>
      <c r="K371" s="84"/>
      <c r="L371" s="85"/>
      <c r="M371" s="40"/>
      <c r="N371" s="86"/>
      <c r="O371" s="86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>
      <c r="A372" s="40"/>
      <c r="B372" s="40"/>
      <c r="C372" s="40"/>
      <c r="D372" s="82"/>
      <c r="E372" s="83"/>
      <c r="F372" s="40"/>
      <c r="G372" s="40"/>
      <c r="H372" s="82"/>
      <c r="I372" s="84"/>
      <c r="J372" s="84"/>
      <c r="K372" s="84"/>
      <c r="L372" s="85"/>
      <c r="M372" s="40"/>
      <c r="N372" s="86"/>
      <c r="O372" s="86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>
      <c r="A373" s="40"/>
      <c r="B373" s="40"/>
      <c r="C373" s="40"/>
      <c r="D373" s="82"/>
      <c r="E373" s="83"/>
      <c r="F373" s="40"/>
      <c r="G373" s="40"/>
      <c r="H373" s="82"/>
      <c r="I373" s="84"/>
      <c r="J373" s="84"/>
      <c r="K373" s="84"/>
      <c r="L373" s="85"/>
      <c r="M373" s="40"/>
      <c r="N373" s="86"/>
      <c r="O373" s="86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>
      <c r="A374" s="40"/>
      <c r="B374" s="40"/>
      <c r="C374" s="40"/>
      <c r="D374" s="82"/>
      <c r="E374" s="83"/>
      <c r="F374" s="40"/>
      <c r="G374" s="40"/>
      <c r="H374" s="82"/>
      <c r="I374" s="84"/>
      <c r="J374" s="84"/>
      <c r="K374" s="84"/>
      <c r="L374" s="85"/>
      <c r="M374" s="40"/>
      <c r="N374" s="86"/>
      <c r="O374" s="86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>
      <c r="A375" s="40"/>
      <c r="B375" s="40"/>
      <c r="C375" s="40"/>
      <c r="D375" s="82"/>
      <c r="E375" s="83"/>
      <c r="F375" s="40"/>
      <c r="G375" s="40"/>
      <c r="H375" s="82"/>
      <c r="I375" s="84"/>
      <c r="J375" s="84"/>
      <c r="K375" s="84"/>
      <c r="L375" s="85"/>
      <c r="M375" s="40"/>
      <c r="N375" s="86"/>
      <c r="O375" s="86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>
      <c r="A376" s="40"/>
      <c r="B376" s="40"/>
      <c r="C376" s="40"/>
      <c r="D376" s="82"/>
      <c r="E376" s="83"/>
      <c r="F376" s="40"/>
      <c r="G376" s="40"/>
      <c r="H376" s="82"/>
      <c r="I376" s="84"/>
      <c r="J376" s="84"/>
      <c r="K376" s="84"/>
      <c r="L376" s="85"/>
      <c r="M376" s="40"/>
      <c r="N376" s="86"/>
      <c r="O376" s="86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>
      <c r="A377" s="40"/>
      <c r="B377" s="40"/>
      <c r="C377" s="40"/>
      <c r="D377" s="82"/>
      <c r="E377" s="83"/>
      <c r="F377" s="40"/>
      <c r="G377" s="40"/>
      <c r="H377" s="82"/>
      <c r="I377" s="84"/>
      <c r="J377" s="84"/>
      <c r="K377" s="84"/>
      <c r="L377" s="85"/>
      <c r="M377" s="40"/>
      <c r="N377" s="86"/>
      <c r="O377" s="86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>
      <c r="A378" s="40"/>
      <c r="B378" s="40"/>
      <c r="C378" s="40"/>
      <c r="D378" s="82"/>
      <c r="E378" s="83"/>
      <c r="F378" s="40"/>
      <c r="G378" s="40"/>
      <c r="H378" s="82"/>
      <c r="I378" s="84"/>
      <c r="J378" s="84"/>
      <c r="K378" s="84"/>
      <c r="L378" s="85"/>
      <c r="M378" s="40"/>
      <c r="N378" s="86"/>
      <c r="O378" s="86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>
      <c r="A379" s="40"/>
      <c r="B379" s="40"/>
      <c r="C379" s="40"/>
      <c r="D379" s="82"/>
      <c r="E379" s="83"/>
      <c r="F379" s="40"/>
      <c r="G379" s="40"/>
      <c r="H379" s="82"/>
      <c r="I379" s="84"/>
      <c r="J379" s="84"/>
      <c r="K379" s="84"/>
      <c r="L379" s="85"/>
      <c r="M379" s="40"/>
      <c r="N379" s="86"/>
      <c r="O379" s="86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>
      <c r="A380" s="40"/>
      <c r="B380" s="40"/>
      <c r="C380" s="40"/>
      <c r="D380" s="82"/>
      <c r="E380" s="83"/>
      <c r="F380" s="40"/>
      <c r="G380" s="40"/>
      <c r="H380" s="82"/>
      <c r="I380" s="84"/>
      <c r="J380" s="84"/>
      <c r="K380" s="84"/>
      <c r="L380" s="85"/>
      <c r="M380" s="40"/>
      <c r="N380" s="86"/>
      <c r="O380" s="86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>
      <c r="A381" s="40"/>
      <c r="B381" s="40"/>
      <c r="C381" s="40"/>
      <c r="D381" s="82"/>
      <c r="E381" s="83"/>
      <c r="F381" s="40"/>
      <c r="G381" s="40"/>
      <c r="H381" s="82"/>
      <c r="I381" s="84"/>
      <c r="J381" s="84"/>
      <c r="K381" s="84"/>
      <c r="L381" s="85"/>
      <c r="M381" s="40"/>
      <c r="N381" s="86"/>
      <c r="O381" s="86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>
      <c r="A382" s="40"/>
      <c r="B382" s="40"/>
      <c r="C382" s="40"/>
      <c r="D382" s="82"/>
      <c r="E382" s="83"/>
      <c r="F382" s="40"/>
      <c r="G382" s="40"/>
      <c r="H382" s="82"/>
      <c r="I382" s="84"/>
      <c r="J382" s="84"/>
      <c r="K382" s="84"/>
      <c r="L382" s="85"/>
      <c r="M382" s="40"/>
      <c r="N382" s="86"/>
      <c r="O382" s="86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>
      <c r="A383" s="40"/>
      <c r="B383" s="40"/>
      <c r="C383" s="40"/>
      <c r="D383" s="82"/>
      <c r="E383" s="83"/>
      <c r="F383" s="40"/>
      <c r="G383" s="40"/>
      <c r="H383" s="82"/>
      <c r="I383" s="84"/>
      <c r="J383" s="84"/>
      <c r="K383" s="84"/>
      <c r="L383" s="85"/>
      <c r="M383" s="40"/>
      <c r="N383" s="86"/>
      <c r="O383" s="86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>
      <c r="A384" s="40"/>
      <c r="B384" s="40"/>
      <c r="C384" s="40"/>
      <c r="D384" s="82"/>
      <c r="E384" s="83"/>
      <c r="F384" s="40"/>
      <c r="G384" s="40"/>
      <c r="H384" s="82"/>
      <c r="I384" s="84"/>
      <c r="J384" s="84"/>
      <c r="K384" s="84"/>
      <c r="L384" s="85"/>
      <c r="M384" s="40"/>
      <c r="N384" s="86"/>
      <c r="O384" s="86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>
      <c r="A385" s="40"/>
      <c r="B385" s="40"/>
      <c r="C385" s="40"/>
      <c r="D385" s="82"/>
      <c r="E385" s="83"/>
      <c r="F385" s="40"/>
      <c r="G385" s="40"/>
      <c r="H385" s="82"/>
      <c r="I385" s="84"/>
      <c r="J385" s="84"/>
      <c r="K385" s="84"/>
      <c r="L385" s="85"/>
      <c r="M385" s="40"/>
      <c r="N385" s="86"/>
      <c r="O385" s="86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>
      <c r="A386" s="40"/>
      <c r="B386" s="40"/>
      <c r="C386" s="40"/>
      <c r="D386" s="82"/>
      <c r="E386" s="83"/>
      <c r="F386" s="40"/>
      <c r="G386" s="40"/>
      <c r="H386" s="82"/>
      <c r="I386" s="84"/>
      <c r="J386" s="84"/>
      <c r="K386" s="84"/>
      <c r="L386" s="85"/>
      <c r="M386" s="40"/>
      <c r="N386" s="86"/>
      <c r="O386" s="86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>
      <c r="A387" s="40"/>
      <c r="B387" s="40"/>
      <c r="C387" s="40"/>
      <c r="D387" s="82"/>
      <c r="E387" s="83"/>
      <c r="F387" s="40"/>
      <c r="G387" s="40"/>
      <c r="H387" s="82"/>
      <c r="I387" s="84"/>
      <c r="J387" s="84"/>
      <c r="K387" s="84"/>
      <c r="L387" s="85"/>
      <c r="M387" s="40"/>
      <c r="N387" s="86"/>
      <c r="O387" s="86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>
      <c r="A388" s="40"/>
      <c r="B388" s="40"/>
      <c r="C388" s="40"/>
      <c r="D388" s="82"/>
      <c r="E388" s="83"/>
      <c r="F388" s="40"/>
      <c r="G388" s="40"/>
      <c r="H388" s="82"/>
      <c r="I388" s="84"/>
      <c r="J388" s="84"/>
      <c r="K388" s="84"/>
      <c r="L388" s="85"/>
      <c r="M388" s="40"/>
      <c r="N388" s="86"/>
      <c r="O388" s="86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>
      <c r="A389" s="40"/>
      <c r="B389" s="40"/>
      <c r="C389" s="40"/>
      <c r="D389" s="82"/>
      <c r="E389" s="83"/>
      <c r="F389" s="40"/>
      <c r="G389" s="40"/>
      <c r="H389" s="82"/>
      <c r="I389" s="84"/>
      <c r="J389" s="84"/>
      <c r="K389" s="84"/>
      <c r="L389" s="85"/>
      <c r="M389" s="40"/>
      <c r="N389" s="86"/>
      <c r="O389" s="86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>
      <c r="A390" s="40"/>
      <c r="B390" s="40"/>
      <c r="C390" s="40"/>
      <c r="D390" s="82"/>
      <c r="E390" s="83"/>
      <c r="F390" s="40"/>
      <c r="G390" s="40"/>
      <c r="H390" s="82"/>
      <c r="I390" s="84"/>
      <c r="J390" s="84"/>
      <c r="K390" s="84"/>
      <c r="L390" s="85"/>
      <c r="M390" s="40"/>
      <c r="N390" s="86"/>
      <c r="O390" s="86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>
      <c r="A391" s="40"/>
      <c r="B391" s="40"/>
      <c r="C391" s="40"/>
      <c r="D391" s="82"/>
      <c r="E391" s="83"/>
      <c r="F391" s="40"/>
      <c r="G391" s="40"/>
      <c r="H391" s="82"/>
      <c r="I391" s="84"/>
      <c r="J391" s="84"/>
      <c r="K391" s="84"/>
      <c r="L391" s="85"/>
      <c r="M391" s="40"/>
      <c r="N391" s="86"/>
      <c r="O391" s="86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>
      <c r="A392" s="40"/>
      <c r="B392" s="40"/>
      <c r="C392" s="40"/>
      <c r="D392" s="82"/>
      <c r="E392" s="83"/>
      <c r="F392" s="40"/>
      <c r="G392" s="40"/>
      <c r="H392" s="82"/>
      <c r="I392" s="84"/>
      <c r="J392" s="84"/>
      <c r="K392" s="84"/>
      <c r="L392" s="85"/>
      <c r="M392" s="40"/>
      <c r="N392" s="86"/>
      <c r="O392" s="86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>
      <c r="A393" s="40"/>
      <c r="B393" s="40"/>
      <c r="C393" s="40"/>
      <c r="D393" s="82"/>
      <c r="E393" s="83"/>
      <c r="F393" s="40"/>
      <c r="G393" s="40"/>
      <c r="H393" s="82"/>
      <c r="I393" s="84"/>
      <c r="J393" s="84"/>
      <c r="K393" s="84"/>
      <c r="L393" s="85"/>
      <c r="M393" s="40"/>
      <c r="N393" s="86"/>
      <c r="O393" s="86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>
      <c r="A394" s="40"/>
      <c r="B394" s="40"/>
      <c r="C394" s="40"/>
      <c r="D394" s="82"/>
      <c r="E394" s="83"/>
      <c r="F394" s="40"/>
      <c r="G394" s="40"/>
      <c r="H394" s="82"/>
      <c r="I394" s="84"/>
      <c r="J394" s="84"/>
      <c r="K394" s="84"/>
      <c r="L394" s="85"/>
      <c r="M394" s="40"/>
      <c r="N394" s="86"/>
      <c r="O394" s="86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>
      <c r="A395" s="40"/>
      <c r="B395" s="40"/>
      <c r="C395" s="40"/>
      <c r="D395" s="82"/>
      <c r="E395" s="83"/>
      <c r="F395" s="40"/>
      <c r="G395" s="40"/>
      <c r="H395" s="82"/>
      <c r="I395" s="84"/>
      <c r="J395" s="84"/>
      <c r="K395" s="84"/>
      <c r="L395" s="85"/>
      <c r="M395" s="40"/>
      <c r="N395" s="86"/>
      <c r="O395" s="86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>
      <c r="A396" s="40"/>
      <c r="B396" s="40"/>
      <c r="C396" s="40"/>
      <c r="D396" s="82"/>
      <c r="E396" s="83"/>
      <c r="F396" s="40"/>
      <c r="G396" s="40"/>
      <c r="H396" s="82"/>
      <c r="I396" s="84"/>
      <c r="J396" s="84"/>
      <c r="K396" s="84"/>
      <c r="L396" s="85"/>
      <c r="M396" s="40"/>
      <c r="N396" s="86"/>
      <c r="O396" s="86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>
      <c r="A397" s="40"/>
      <c r="B397" s="40"/>
      <c r="C397" s="40"/>
      <c r="D397" s="82"/>
      <c r="E397" s="83"/>
      <c r="F397" s="40"/>
      <c r="G397" s="40"/>
      <c r="H397" s="82"/>
      <c r="I397" s="84"/>
      <c r="J397" s="84"/>
      <c r="K397" s="84"/>
      <c r="L397" s="85"/>
      <c r="M397" s="40"/>
      <c r="N397" s="86"/>
      <c r="O397" s="86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>
      <c r="A398" s="40"/>
      <c r="B398" s="40"/>
      <c r="C398" s="40"/>
      <c r="D398" s="82"/>
      <c r="E398" s="83"/>
      <c r="F398" s="40"/>
      <c r="G398" s="40"/>
      <c r="H398" s="82"/>
      <c r="I398" s="84"/>
      <c r="J398" s="84"/>
      <c r="K398" s="84"/>
      <c r="L398" s="85"/>
      <c r="M398" s="40"/>
      <c r="N398" s="86"/>
      <c r="O398" s="86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>
      <c r="A399" s="40"/>
      <c r="B399" s="40"/>
      <c r="C399" s="40"/>
      <c r="D399" s="82"/>
      <c r="E399" s="83"/>
      <c r="F399" s="40"/>
      <c r="G399" s="40"/>
      <c r="H399" s="82"/>
      <c r="I399" s="84"/>
      <c r="J399" s="84"/>
      <c r="K399" s="84"/>
      <c r="L399" s="85"/>
      <c r="M399" s="40"/>
      <c r="N399" s="86"/>
      <c r="O399" s="86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>
      <c r="A400" s="40"/>
      <c r="B400" s="40"/>
      <c r="C400" s="40"/>
      <c r="D400" s="82"/>
      <c r="E400" s="83"/>
      <c r="F400" s="40"/>
      <c r="G400" s="40"/>
      <c r="H400" s="82"/>
      <c r="I400" s="84"/>
      <c r="J400" s="84"/>
      <c r="K400" s="84"/>
      <c r="L400" s="85"/>
      <c r="M400" s="40"/>
      <c r="N400" s="86"/>
      <c r="O400" s="86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>
      <c r="A401" s="40"/>
      <c r="B401" s="40"/>
      <c r="C401" s="40"/>
      <c r="D401" s="82"/>
      <c r="E401" s="83"/>
      <c r="F401" s="40"/>
      <c r="G401" s="40"/>
      <c r="H401" s="82"/>
      <c r="I401" s="84"/>
      <c r="J401" s="84"/>
      <c r="K401" s="84"/>
      <c r="L401" s="85"/>
      <c r="M401" s="40"/>
      <c r="N401" s="86"/>
      <c r="O401" s="86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>
      <c r="A402" s="40"/>
      <c r="B402" s="40"/>
      <c r="C402" s="40"/>
      <c r="D402" s="82"/>
      <c r="E402" s="83"/>
      <c r="F402" s="40"/>
      <c r="G402" s="40"/>
      <c r="H402" s="82"/>
      <c r="I402" s="84"/>
      <c r="J402" s="84"/>
      <c r="K402" s="84"/>
      <c r="L402" s="85"/>
      <c r="M402" s="40"/>
      <c r="N402" s="86"/>
      <c r="O402" s="86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>
      <c r="A403" s="40"/>
      <c r="B403" s="40"/>
      <c r="C403" s="40"/>
      <c r="D403" s="82"/>
      <c r="E403" s="83"/>
      <c r="F403" s="40"/>
      <c r="G403" s="40"/>
      <c r="H403" s="82"/>
      <c r="I403" s="84"/>
      <c r="J403" s="84"/>
      <c r="K403" s="84"/>
      <c r="L403" s="85"/>
      <c r="M403" s="40"/>
      <c r="N403" s="86"/>
      <c r="O403" s="86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>
      <c r="A404" s="40"/>
      <c r="B404" s="40"/>
      <c r="C404" s="40"/>
      <c r="D404" s="82"/>
      <c r="E404" s="83"/>
      <c r="F404" s="40"/>
      <c r="G404" s="40"/>
      <c r="H404" s="82"/>
      <c r="I404" s="84"/>
      <c r="J404" s="84"/>
      <c r="K404" s="84"/>
      <c r="L404" s="85"/>
      <c r="M404" s="40"/>
      <c r="N404" s="86"/>
      <c r="O404" s="86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>
      <c r="A405" s="40"/>
      <c r="B405" s="40"/>
      <c r="C405" s="40"/>
      <c r="D405" s="82"/>
      <c r="E405" s="83"/>
      <c r="F405" s="40"/>
      <c r="G405" s="40"/>
      <c r="H405" s="82"/>
      <c r="I405" s="84"/>
      <c r="J405" s="84"/>
      <c r="K405" s="84"/>
      <c r="L405" s="85"/>
      <c r="M405" s="40"/>
      <c r="N405" s="86"/>
      <c r="O405" s="86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>
      <c r="A406" s="40"/>
      <c r="B406" s="40"/>
      <c r="C406" s="40"/>
      <c r="D406" s="82"/>
      <c r="E406" s="83"/>
      <c r="F406" s="40"/>
      <c r="G406" s="40"/>
      <c r="H406" s="82"/>
      <c r="I406" s="84"/>
      <c r="J406" s="84"/>
      <c r="K406" s="84"/>
      <c r="L406" s="85"/>
      <c r="M406" s="40"/>
      <c r="N406" s="86"/>
      <c r="O406" s="86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>
      <c r="A407" s="40"/>
      <c r="B407" s="40"/>
      <c r="C407" s="40"/>
      <c r="D407" s="82"/>
      <c r="E407" s="83"/>
      <c r="F407" s="40"/>
      <c r="G407" s="40"/>
      <c r="H407" s="82"/>
      <c r="I407" s="84"/>
      <c r="J407" s="84"/>
      <c r="K407" s="84"/>
      <c r="L407" s="85"/>
      <c r="M407" s="40"/>
      <c r="N407" s="86"/>
      <c r="O407" s="86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>
      <c r="A408" s="40"/>
      <c r="B408" s="40"/>
      <c r="C408" s="40"/>
      <c r="D408" s="82"/>
      <c r="E408" s="83"/>
      <c r="F408" s="40"/>
      <c r="G408" s="40"/>
      <c r="H408" s="82"/>
      <c r="I408" s="84"/>
      <c r="J408" s="84"/>
      <c r="K408" s="84"/>
      <c r="L408" s="85"/>
      <c r="M408" s="40"/>
      <c r="N408" s="86"/>
      <c r="O408" s="86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>
      <c r="A409" s="40"/>
      <c r="B409" s="40"/>
      <c r="C409" s="40"/>
      <c r="D409" s="82"/>
      <c r="E409" s="83"/>
      <c r="F409" s="40"/>
      <c r="G409" s="40"/>
      <c r="H409" s="82"/>
      <c r="I409" s="84"/>
      <c r="J409" s="84"/>
      <c r="K409" s="84"/>
      <c r="L409" s="85"/>
      <c r="M409" s="40"/>
      <c r="N409" s="86"/>
      <c r="O409" s="86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>
      <c r="A410" s="40"/>
      <c r="B410" s="40"/>
      <c r="C410" s="40"/>
      <c r="D410" s="82"/>
      <c r="E410" s="83"/>
      <c r="F410" s="40"/>
      <c r="G410" s="40"/>
      <c r="H410" s="82"/>
      <c r="I410" s="84"/>
      <c r="J410" s="84"/>
      <c r="K410" s="84"/>
      <c r="L410" s="85"/>
      <c r="M410" s="40"/>
      <c r="N410" s="86"/>
      <c r="O410" s="86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40"/>
      <c r="B411" s="40"/>
      <c r="C411" s="40"/>
      <c r="D411" s="82"/>
      <c r="E411" s="83"/>
      <c r="F411" s="40"/>
      <c r="G411" s="40"/>
      <c r="H411" s="82"/>
      <c r="I411" s="84"/>
      <c r="J411" s="84"/>
      <c r="K411" s="84"/>
      <c r="L411" s="85"/>
      <c r="M411" s="40"/>
      <c r="N411" s="86"/>
      <c r="O411" s="86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40"/>
      <c r="B412" s="40"/>
      <c r="C412" s="40"/>
      <c r="D412" s="82"/>
      <c r="E412" s="83"/>
      <c r="F412" s="40"/>
      <c r="G412" s="40"/>
      <c r="H412" s="82"/>
      <c r="I412" s="84"/>
      <c r="J412" s="84"/>
      <c r="K412" s="84"/>
      <c r="L412" s="85"/>
      <c r="M412" s="40"/>
      <c r="N412" s="86"/>
      <c r="O412" s="86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40"/>
      <c r="B413" s="40"/>
      <c r="C413" s="40"/>
      <c r="D413" s="82"/>
      <c r="E413" s="83"/>
      <c r="F413" s="40"/>
      <c r="G413" s="40"/>
      <c r="H413" s="82"/>
      <c r="I413" s="84"/>
      <c r="J413" s="84"/>
      <c r="K413" s="84"/>
      <c r="L413" s="85"/>
      <c r="M413" s="40"/>
      <c r="N413" s="86"/>
      <c r="O413" s="86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40"/>
      <c r="B414" s="40"/>
      <c r="C414" s="40"/>
      <c r="D414" s="82"/>
      <c r="E414" s="83"/>
      <c r="F414" s="40"/>
      <c r="G414" s="40"/>
      <c r="H414" s="82"/>
      <c r="I414" s="84"/>
      <c r="J414" s="84"/>
      <c r="K414" s="84"/>
      <c r="L414" s="85"/>
      <c r="M414" s="40"/>
      <c r="N414" s="86"/>
      <c r="O414" s="86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40"/>
      <c r="B415" s="40"/>
      <c r="C415" s="40"/>
      <c r="D415" s="82"/>
      <c r="E415" s="83"/>
      <c r="F415" s="40"/>
      <c r="G415" s="40"/>
      <c r="H415" s="82"/>
      <c r="I415" s="84"/>
      <c r="J415" s="84"/>
      <c r="K415" s="84"/>
      <c r="L415" s="85"/>
      <c r="M415" s="40"/>
      <c r="N415" s="86"/>
      <c r="O415" s="86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40"/>
      <c r="B416" s="40"/>
      <c r="C416" s="40"/>
      <c r="D416" s="82"/>
      <c r="E416" s="83"/>
      <c r="F416" s="40"/>
      <c r="G416" s="40"/>
      <c r="H416" s="82"/>
      <c r="I416" s="84"/>
      <c r="J416" s="84"/>
      <c r="K416" s="84"/>
      <c r="L416" s="85"/>
      <c r="M416" s="40"/>
      <c r="N416" s="86"/>
      <c r="O416" s="86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40"/>
      <c r="B417" s="40"/>
      <c r="C417" s="40"/>
      <c r="D417" s="82"/>
      <c r="E417" s="83"/>
      <c r="F417" s="40"/>
      <c r="G417" s="40"/>
      <c r="H417" s="82"/>
      <c r="I417" s="84"/>
      <c r="J417" s="84"/>
      <c r="K417" s="84"/>
      <c r="L417" s="85"/>
      <c r="M417" s="40"/>
      <c r="N417" s="86"/>
      <c r="O417" s="86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40"/>
      <c r="B418" s="40"/>
      <c r="C418" s="40"/>
      <c r="D418" s="82"/>
      <c r="E418" s="83"/>
      <c r="F418" s="40"/>
      <c r="G418" s="40"/>
      <c r="H418" s="82"/>
      <c r="I418" s="84"/>
      <c r="J418" s="84"/>
      <c r="K418" s="84"/>
      <c r="L418" s="85"/>
      <c r="M418" s="40"/>
      <c r="N418" s="86"/>
      <c r="O418" s="86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40"/>
      <c r="B419" s="40"/>
      <c r="C419" s="40"/>
      <c r="D419" s="82"/>
      <c r="E419" s="83"/>
      <c r="F419" s="40"/>
      <c r="G419" s="40"/>
      <c r="H419" s="82"/>
      <c r="I419" s="84"/>
      <c r="J419" s="84"/>
      <c r="K419" s="84"/>
      <c r="L419" s="85"/>
      <c r="M419" s="40"/>
      <c r="N419" s="86"/>
      <c r="O419" s="86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40"/>
      <c r="B420" s="40"/>
      <c r="C420" s="40"/>
      <c r="D420" s="82"/>
      <c r="E420" s="83"/>
      <c r="F420" s="40"/>
      <c r="G420" s="40"/>
      <c r="H420" s="82"/>
      <c r="I420" s="84"/>
      <c r="J420" s="84"/>
      <c r="K420" s="84"/>
      <c r="L420" s="85"/>
      <c r="M420" s="40"/>
      <c r="N420" s="86"/>
      <c r="O420" s="86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>
      <c r="A421" s="40"/>
      <c r="B421" s="40"/>
      <c r="C421" s="40"/>
      <c r="D421" s="82"/>
      <c r="E421" s="83"/>
      <c r="F421" s="40"/>
      <c r="G421" s="40"/>
      <c r="H421" s="82"/>
      <c r="I421" s="84"/>
      <c r="J421" s="84"/>
      <c r="K421" s="84"/>
      <c r="L421" s="85"/>
      <c r="M421" s="40"/>
      <c r="N421" s="86"/>
      <c r="O421" s="86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>
      <c r="A422" s="40"/>
      <c r="B422" s="40"/>
      <c r="C422" s="40"/>
      <c r="D422" s="82"/>
      <c r="E422" s="83"/>
      <c r="F422" s="40"/>
      <c r="G422" s="40"/>
      <c r="H422" s="82"/>
      <c r="I422" s="84"/>
      <c r="J422" s="84"/>
      <c r="K422" s="84"/>
      <c r="L422" s="85"/>
      <c r="M422" s="40"/>
      <c r="N422" s="86"/>
      <c r="O422" s="86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>
      <c r="A423" s="40"/>
      <c r="B423" s="40"/>
      <c r="C423" s="40"/>
      <c r="D423" s="82"/>
      <c r="E423" s="83"/>
      <c r="F423" s="40"/>
      <c r="G423" s="40"/>
      <c r="H423" s="82"/>
      <c r="I423" s="84"/>
      <c r="J423" s="84"/>
      <c r="K423" s="84"/>
      <c r="L423" s="85"/>
      <c r="M423" s="40"/>
      <c r="N423" s="86"/>
      <c r="O423" s="86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>
      <c r="A424" s="40"/>
      <c r="B424" s="40"/>
      <c r="C424" s="40"/>
      <c r="D424" s="82"/>
      <c r="E424" s="83"/>
      <c r="F424" s="40"/>
      <c r="G424" s="40"/>
      <c r="H424" s="82"/>
      <c r="I424" s="84"/>
      <c r="J424" s="84"/>
      <c r="K424" s="84"/>
      <c r="L424" s="85"/>
      <c r="M424" s="40"/>
      <c r="N424" s="86"/>
      <c r="O424" s="86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>
      <c r="A425" s="40"/>
      <c r="B425" s="40"/>
      <c r="C425" s="40"/>
      <c r="D425" s="82"/>
      <c r="E425" s="83"/>
      <c r="F425" s="40"/>
      <c r="G425" s="40"/>
      <c r="H425" s="82"/>
      <c r="I425" s="84"/>
      <c r="J425" s="84"/>
      <c r="K425" s="84"/>
      <c r="L425" s="85"/>
      <c r="M425" s="40"/>
      <c r="N425" s="86"/>
      <c r="O425" s="86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>
      <c r="A426" s="40"/>
      <c r="B426" s="40"/>
      <c r="C426" s="40"/>
      <c r="D426" s="82"/>
      <c r="E426" s="83"/>
      <c r="F426" s="40"/>
      <c r="G426" s="40"/>
      <c r="H426" s="82"/>
      <c r="I426" s="84"/>
      <c r="J426" s="84"/>
      <c r="K426" s="84"/>
      <c r="L426" s="85"/>
      <c r="M426" s="40"/>
      <c r="N426" s="86"/>
      <c r="O426" s="86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>
      <c r="A427" s="40"/>
      <c r="B427" s="40"/>
      <c r="C427" s="40"/>
      <c r="D427" s="82"/>
      <c r="E427" s="83"/>
      <c r="F427" s="40"/>
      <c r="G427" s="40"/>
      <c r="H427" s="82"/>
      <c r="I427" s="84"/>
      <c r="J427" s="84"/>
      <c r="K427" s="84"/>
      <c r="L427" s="85"/>
      <c r="M427" s="40"/>
      <c r="N427" s="86"/>
      <c r="O427" s="86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>
      <c r="A428" s="40"/>
      <c r="B428" s="40"/>
      <c r="C428" s="40"/>
      <c r="D428" s="82"/>
      <c r="E428" s="83"/>
      <c r="F428" s="40"/>
      <c r="G428" s="40"/>
      <c r="H428" s="82"/>
      <c r="I428" s="84"/>
      <c r="J428" s="84"/>
      <c r="K428" s="84"/>
      <c r="L428" s="85"/>
      <c r="M428" s="40"/>
      <c r="N428" s="86"/>
      <c r="O428" s="86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>
      <c r="A429" s="40"/>
      <c r="B429" s="40"/>
      <c r="C429" s="40"/>
      <c r="D429" s="82"/>
      <c r="E429" s="83"/>
      <c r="F429" s="40"/>
      <c r="G429" s="40"/>
      <c r="H429" s="82"/>
      <c r="I429" s="84"/>
      <c r="J429" s="84"/>
      <c r="K429" s="84"/>
      <c r="L429" s="85"/>
      <c r="M429" s="40"/>
      <c r="N429" s="86"/>
      <c r="O429" s="86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>
      <c r="A430" s="40"/>
      <c r="B430" s="40"/>
      <c r="C430" s="40"/>
      <c r="D430" s="82"/>
      <c r="E430" s="83"/>
      <c r="F430" s="40"/>
      <c r="G430" s="40"/>
      <c r="H430" s="82"/>
      <c r="I430" s="84"/>
      <c r="J430" s="84"/>
      <c r="K430" s="84"/>
      <c r="L430" s="85"/>
      <c r="M430" s="40"/>
      <c r="N430" s="86"/>
      <c r="O430" s="86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>
      <c r="A431" s="40"/>
      <c r="B431" s="40"/>
      <c r="C431" s="40"/>
      <c r="D431" s="82"/>
      <c r="E431" s="83"/>
      <c r="F431" s="40"/>
      <c r="G431" s="40"/>
      <c r="H431" s="82"/>
      <c r="I431" s="84"/>
      <c r="J431" s="84"/>
      <c r="K431" s="84"/>
      <c r="L431" s="85"/>
      <c r="M431" s="40"/>
      <c r="N431" s="86"/>
      <c r="O431" s="86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>
      <c r="A432" s="40"/>
      <c r="B432" s="40"/>
      <c r="C432" s="40"/>
      <c r="D432" s="82"/>
      <c r="E432" s="83"/>
      <c r="F432" s="40"/>
      <c r="G432" s="40"/>
      <c r="H432" s="82"/>
      <c r="I432" s="84"/>
      <c r="J432" s="84"/>
      <c r="K432" s="84"/>
      <c r="L432" s="85"/>
      <c r="M432" s="40"/>
      <c r="N432" s="86"/>
      <c r="O432" s="86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>
      <c r="A433" s="40"/>
      <c r="B433" s="40"/>
      <c r="C433" s="40"/>
      <c r="D433" s="82"/>
      <c r="E433" s="83"/>
      <c r="F433" s="40"/>
      <c r="G433" s="40"/>
      <c r="H433" s="82"/>
      <c r="I433" s="84"/>
      <c r="J433" s="84"/>
      <c r="K433" s="84"/>
      <c r="L433" s="85"/>
      <c r="M433" s="40"/>
      <c r="N433" s="86"/>
      <c r="O433" s="86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>
      <c r="A434" s="40"/>
      <c r="B434" s="40"/>
      <c r="C434" s="40"/>
      <c r="D434" s="82"/>
      <c r="E434" s="83"/>
      <c r="F434" s="40"/>
      <c r="G434" s="40"/>
      <c r="H434" s="82"/>
      <c r="I434" s="84"/>
      <c r="J434" s="84"/>
      <c r="K434" s="84"/>
      <c r="L434" s="85"/>
      <c r="M434" s="40"/>
      <c r="N434" s="86"/>
      <c r="O434" s="86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>
      <c r="A435" s="40"/>
      <c r="B435" s="40"/>
      <c r="C435" s="40"/>
      <c r="D435" s="82"/>
      <c r="E435" s="83"/>
      <c r="F435" s="40"/>
      <c r="G435" s="40"/>
      <c r="H435" s="82"/>
      <c r="I435" s="84"/>
      <c r="J435" s="84"/>
      <c r="K435" s="84"/>
      <c r="L435" s="85"/>
      <c r="M435" s="40"/>
      <c r="N435" s="86"/>
      <c r="O435" s="86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>
      <c r="A436" s="40"/>
      <c r="B436" s="40"/>
      <c r="C436" s="40"/>
      <c r="D436" s="82"/>
      <c r="E436" s="83"/>
      <c r="F436" s="40"/>
      <c r="G436" s="40"/>
      <c r="H436" s="82"/>
      <c r="I436" s="84"/>
      <c r="J436" s="84"/>
      <c r="K436" s="84"/>
      <c r="L436" s="85"/>
      <c r="M436" s="40"/>
      <c r="N436" s="86"/>
      <c r="O436" s="86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>
      <c r="A437" s="40"/>
      <c r="B437" s="40"/>
      <c r="C437" s="40"/>
      <c r="D437" s="82"/>
      <c r="E437" s="83"/>
      <c r="F437" s="40"/>
      <c r="G437" s="40"/>
      <c r="H437" s="82"/>
      <c r="I437" s="84"/>
      <c r="J437" s="84"/>
      <c r="K437" s="84"/>
      <c r="L437" s="85"/>
      <c r="M437" s="40"/>
      <c r="N437" s="86"/>
      <c r="O437" s="86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>
      <c r="A438" s="40"/>
      <c r="B438" s="40"/>
      <c r="C438" s="40"/>
      <c r="D438" s="82"/>
      <c r="E438" s="83"/>
      <c r="F438" s="40"/>
      <c r="G438" s="40"/>
      <c r="H438" s="82"/>
      <c r="I438" s="84"/>
      <c r="J438" s="84"/>
      <c r="K438" s="84"/>
      <c r="L438" s="85"/>
      <c r="M438" s="40"/>
      <c r="N438" s="86"/>
      <c r="O438" s="86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>
      <c r="A439" s="40"/>
      <c r="B439" s="40"/>
      <c r="C439" s="40"/>
      <c r="D439" s="82"/>
      <c r="E439" s="83"/>
      <c r="F439" s="40"/>
      <c r="G439" s="40"/>
      <c r="H439" s="82"/>
      <c r="I439" s="84"/>
      <c r="J439" s="84"/>
      <c r="K439" s="84"/>
      <c r="L439" s="85"/>
      <c r="M439" s="40"/>
      <c r="N439" s="86"/>
      <c r="O439" s="86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>
      <c r="A440" s="40"/>
      <c r="B440" s="40"/>
      <c r="C440" s="40"/>
      <c r="D440" s="82"/>
      <c r="E440" s="83"/>
      <c r="F440" s="40"/>
      <c r="G440" s="40"/>
      <c r="H440" s="82"/>
      <c r="I440" s="84"/>
      <c r="J440" s="84"/>
      <c r="K440" s="84"/>
      <c r="L440" s="85"/>
      <c r="M440" s="40"/>
      <c r="N440" s="86"/>
      <c r="O440" s="86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>
      <c r="A441" s="40"/>
      <c r="B441" s="40"/>
      <c r="C441" s="40"/>
      <c r="D441" s="82"/>
      <c r="E441" s="83"/>
      <c r="F441" s="40"/>
      <c r="G441" s="40"/>
      <c r="H441" s="82"/>
      <c r="I441" s="84"/>
      <c r="J441" s="84"/>
      <c r="K441" s="84"/>
      <c r="L441" s="85"/>
      <c r="M441" s="40"/>
      <c r="N441" s="86"/>
      <c r="O441" s="86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>
      <c r="A442" s="40"/>
      <c r="B442" s="40"/>
      <c r="C442" s="40"/>
      <c r="D442" s="82"/>
      <c r="E442" s="83"/>
      <c r="F442" s="40"/>
      <c r="G442" s="40"/>
      <c r="H442" s="82"/>
      <c r="I442" s="84"/>
      <c r="J442" s="84"/>
      <c r="K442" s="84"/>
      <c r="L442" s="85"/>
      <c r="M442" s="40"/>
      <c r="N442" s="86"/>
      <c r="O442" s="86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>
      <c r="A443" s="40"/>
      <c r="B443" s="40"/>
      <c r="C443" s="40"/>
      <c r="D443" s="82"/>
      <c r="E443" s="83"/>
      <c r="F443" s="40"/>
      <c r="G443" s="40"/>
      <c r="H443" s="82"/>
      <c r="I443" s="84"/>
      <c r="J443" s="84"/>
      <c r="K443" s="84"/>
      <c r="L443" s="85"/>
      <c r="M443" s="40"/>
      <c r="N443" s="86"/>
      <c r="O443" s="86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>
      <c r="A444" s="40"/>
      <c r="B444" s="40"/>
      <c r="C444" s="40"/>
      <c r="D444" s="82"/>
      <c r="E444" s="83"/>
      <c r="F444" s="40"/>
      <c r="G444" s="40"/>
      <c r="H444" s="82"/>
      <c r="I444" s="84"/>
      <c r="J444" s="84"/>
      <c r="K444" s="84"/>
      <c r="L444" s="85"/>
      <c r="M444" s="40"/>
      <c r="N444" s="86"/>
      <c r="O444" s="86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>
      <c r="A445" s="40"/>
      <c r="B445" s="40"/>
      <c r="C445" s="40"/>
      <c r="D445" s="82"/>
      <c r="E445" s="83"/>
      <c r="F445" s="40"/>
      <c r="G445" s="40"/>
      <c r="H445" s="82"/>
      <c r="I445" s="84"/>
      <c r="J445" s="84"/>
      <c r="K445" s="84"/>
      <c r="L445" s="85"/>
      <c r="M445" s="40"/>
      <c r="N445" s="86"/>
      <c r="O445" s="86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>
      <c r="A446" s="40"/>
      <c r="B446" s="40"/>
      <c r="C446" s="40"/>
      <c r="D446" s="82"/>
      <c r="E446" s="83"/>
      <c r="F446" s="40"/>
      <c r="G446" s="40"/>
      <c r="H446" s="82"/>
      <c r="I446" s="84"/>
      <c r="J446" s="84"/>
      <c r="K446" s="84"/>
      <c r="L446" s="85"/>
      <c r="M446" s="40"/>
      <c r="N446" s="86"/>
      <c r="O446" s="86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>
      <c r="A447" s="40"/>
      <c r="B447" s="40"/>
      <c r="C447" s="40"/>
      <c r="D447" s="82"/>
      <c r="E447" s="83"/>
      <c r="F447" s="40"/>
      <c r="G447" s="40"/>
      <c r="H447" s="82"/>
      <c r="I447" s="84"/>
      <c r="J447" s="84"/>
      <c r="K447" s="84"/>
      <c r="L447" s="85"/>
      <c r="M447" s="40"/>
      <c r="N447" s="86"/>
      <c r="O447" s="86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>
      <c r="A448" s="40"/>
      <c r="B448" s="40"/>
      <c r="C448" s="40"/>
      <c r="D448" s="82"/>
      <c r="E448" s="83"/>
      <c r="F448" s="40"/>
      <c r="G448" s="40"/>
      <c r="H448" s="82"/>
      <c r="I448" s="84"/>
      <c r="J448" s="84"/>
      <c r="K448" s="84"/>
      <c r="L448" s="85"/>
      <c r="M448" s="40"/>
      <c r="N448" s="86"/>
      <c r="O448" s="86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>
      <c r="A449" s="40"/>
      <c r="B449" s="40"/>
      <c r="C449" s="40"/>
      <c r="D449" s="82"/>
      <c r="E449" s="83"/>
      <c r="F449" s="40"/>
      <c r="G449" s="40"/>
      <c r="H449" s="82"/>
      <c r="I449" s="84"/>
      <c r="J449" s="84"/>
      <c r="K449" s="84"/>
      <c r="L449" s="85"/>
      <c r="M449" s="40"/>
      <c r="N449" s="86"/>
      <c r="O449" s="86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>
      <c r="A450" s="40"/>
      <c r="B450" s="40"/>
      <c r="C450" s="40"/>
      <c r="D450" s="82"/>
      <c r="E450" s="83"/>
      <c r="F450" s="40"/>
      <c r="G450" s="40"/>
      <c r="H450" s="82"/>
      <c r="I450" s="84"/>
      <c r="J450" s="84"/>
      <c r="K450" s="84"/>
      <c r="L450" s="85"/>
      <c r="M450" s="40"/>
      <c r="N450" s="86"/>
      <c r="O450" s="86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>
      <c r="A451" s="40"/>
      <c r="B451" s="40"/>
      <c r="C451" s="40"/>
      <c r="D451" s="82"/>
      <c r="E451" s="83"/>
      <c r="F451" s="40"/>
      <c r="G451" s="40"/>
      <c r="H451" s="82"/>
      <c r="I451" s="84"/>
      <c r="J451" s="84"/>
      <c r="K451" s="84"/>
      <c r="L451" s="85"/>
      <c r="M451" s="40"/>
      <c r="N451" s="86"/>
      <c r="O451" s="86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>
      <c r="A452" s="40"/>
      <c r="B452" s="40"/>
      <c r="C452" s="40"/>
      <c r="D452" s="82"/>
      <c r="E452" s="83"/>
      <c r="F452" s="40"/>
      <c r="G452" s="40"/>
      <c r="H452" s="82"/>
      <c r="I452" s="84"/>
      <c r="J452" s="84"/>
      <c r="K452" s="84"/>
      <c r="L452" s="85"/>
      <c r="M452" s="40"/>
      <c r="N452" s="86"/>
      <c r="O452" s="86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>
      <c r="A453" s="40"/>
      <c r="B453" s="40"/>
      <c r="C453" s="40"/>
      <c r="D453" s="82"/>
      <c r="E453" s="83"/>
      <c r="F453" s="40"/>
      <c r="G453" s="40"/>
      <c r="H453" s="82"/>
      <c r="I453" s="84"/>
      <c r="J453" s="84"/>
      <c r="K453" s="84"/>
      <c r="L453" s="85"/>
      <c r="M453" s="40"/>
      <c r="N453" s="86"/>
      <c r="O453" s="86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>
      <c r="A454" s="40"/>
      <c r="B454" s="40"/>
      <c r="C454" s="40"/>
      <c r="D454" s="82"/>
      <c r="E454" s="83"/>
      <c r="F454" s="40"/>
      <c r="G454" s="40"/>
      <c r="H454" s="82"/>
      <c r="I454" s="84"/>
      <c r="J454" s="84"/>
      <c r="K454" s="84"/>
      <c r="L454" s="85"/>
      <c r="M454" s="40"/>
      <c r="N454" s="86"/>
      <c r="O454" s="86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>
      <c r="A455" s="40"/>
      <c r="B455" s="40"/>
      <c r="C455" s="40"/>
      <c r="D455" s="82"/>
      <c r="E455" s="83"/>
      <c r="F455" s="40"/>
      <c r="G455" s="40"/>
      <c r="H455" s="82"/>
      <c r="I455" s="84"/>
      <c r="J455" s="84"/>
      <c r="K455" s="84"/>
      <c r="L455" s="85"/>
      <c r="M455" s="40"/>
      <c r="N455" s="86"/>
      <c r="O455" s="86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>
      <c r="A456" s="40"/>
      <c r="B456" s="40"/>
      <c r="C456" s="40"/>
      <c r="D456" s="82"/>
      <c r="E456" s="83"/>
      <c r="F456" s="40"/>
      <c r="G456" s="40"/>
      <c r="H456" s="82"/>
      <c r="I456" s="84"/>
      <c r="J456" s="84"/>
      <c r="K456" s="84"/>
      <c r="L456" s="85"/>
      <c r="M456" s="40"/>
      <c r="N456" s="86"/>
      <c r="O456" s="86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>
      <c r="A457" s="40"/>
      <c r="B457" s="40"/>
      <c r="C457" s="40"/>
      <c r="D457" s="82"/>
      <c r="E457" s="83"/>
      <c r="F457" s="40"/>
      <c r="G457" s="40"/>
      <c r="H457" s="82"/>
      <c r="I457" s="84"/>
      <c r="J457" s="84"/>
      <c r="K457" s="84"/>
      <c r="L457" s="85"/>
      <c r="M457" s="40"/>
      <c r="N457" s="86"/>
      <c r="O457" s="86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>
      <c r="A458" s="40"/>
      <c r="B458" s="40"/>
      <c r="C458" s="40"/>
      <c r="D458" s="82"/>
      <c r="E458" s="83"/>
      <c r="F458" s="40"/>
      <c r="G458" s="40"/>
      <c r="H458" s="82"/>
      <c r="I458" s="84"/>
      <c r="J458" s="84"/>
      <c r="K458" s="84"/>
      <c r="L458" s="85"/>
      <c r="M458" s="40"/>
      <c r="N458" s="86"/>
      <c r="O458" s="86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>
      <c r="A459" s="40"/>
      <c r="B459" s="40"/>
      <c r="C459" s="40"/>
      <c r="D459" s="82"/>
      <c r="E459" s="83"/>
      <c r="F459" s="40"/>
      <c r="G459" s="40"/>
      <c r="H459" s="82"/>
      <c r="I459" s="84"/>
      <c r="J459" s="84"/>
      <c r="K459" s="84"/>
      <c r="L459" s="85"/>
      <c r="M459" s="40"/>
      <c r="N459" s="86"/>
      <c r="O459" s="86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>
      <c r="A460" s="40"/>
      <c r="B460" s="40"/>
      <c r="C460" s="40"/>
      <c r="D460" s="82"/>
      <c r="E460" s="83"/>
      <c r="F460" s="40"/>
      <c r="G460" s="40"/>
      <c r="H460" s="82"/>
      <c r="I460" s="84"/>
      <c r="J460" s="84"/>
      <c r="K460" s="84"/>
      <c r="L460" s="85"/>
      <c r="M460" s="40"/>
      <c r="N460" s="86"/>
      <c r="O460" s="86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>
      <c r="A461" s="40"/>
      <c r="B461" s="40"/>
      <c r="C461" s="40"/>
      <c r="D461" s="82"/>
      <c r="E461" s="83"/>
      <c r="F461" s="40"/>
      <c r="G461" s="40"/>
      <c r="H461" s="82"/>
      <c r="I461" s="84"/>
      <c r="J461" s="84"/>
      <c r="K461" s="84"/>
      <c r="L461" s="85"/>
      <c r="M461" s="40"/>
      <c r="N461" s="86"/>
      <c r="O461" s="86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>
      <c r="A462" s="40"/>
      <c r="B462" s="40"/>
      <c r="C462" s="40"/>
      <c r="D462" s="82"/>
      <c r="E462" s="83"/>
      <c r="F462" s="40"/>
      <c r="G462" s="40"/>
      <c r="H462" s="82"/>
      <c r="I462" s="84"/>
      <c r="J462" s="84"/>
      <c r="K462" s="84"/>
      <c r="L462" s="85"/>
      <c r="M462" s="40"/>
      <c r="N462" s="86"/>
      <c r="O462" s="86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>
      <c r="A463" s="40"/>
      <c r="B463" s="40"/>
      <c r="C463" s="40"/>
      <c r="D463" s="82"/>
      <c r="E463" s="83"/>
      <c r="F463" s="40"/>
      <c r="G463" s="40"/>
      <c r="H463" s="82"/>
      <c r="I463" s="84"/>
      <c r="J463" s="84"/>
      <c r="K463" s="84"/>
      <c r="L463" s="85"/>
      <c r="M463" s="40"/>
      <c r="N463" s="86"/>
      <c r="O463" s="86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>
      <c r="A464" s="40"/>
      <c r="B464" s="40"/>
      <c r="C464" s="40"/>
      <c r="D464" s="82"/>
      <c r="E464" s="83"/>
      <c r="F464" s="40"/>
      <c r="G464" s="40"/>
      <c r="H464" s="82"/>
      <c r="I464" s="84"/>
      <c r="J464" s="84"/>
      <c r="K464" s="84"/>
      <c r="L464" s="85"/>
      <c r="M464" s="40"/>
      <c r="N464" s="86"/>
      <c r="O464" s="86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>
      <c r="A465" s="40"/>
      <c r="B465" s="40"/>
      <c r="C465" s="40"/>
      <c r="D465" s="82"/>
      <c r="E465" s="83"/>
      <c r="F465" s="40"/>
      <c r="G465" s="40"/>
      <c r="H465" s="82"/>
      <c r="I465" s="84"/>
      <c r="J465" s="84"/>
      <c r="K465" s="84"/>
      <c r="L465" s="85"/>
      <c r="M465" s="40"/>
      <c r="N465" s="86"/>
      <c r="O465" s="86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>
      <c r="A466" s="40"/>
      <c r="B466" s="40"/>
      <c r="C466" s="40"/>
      <c r="D466" s="82"/>
      <c r="E466" s="83"/>
      <c r="F466" s="40"/>
      <c r="G466" s="40"/>
      <c r="H466" s="82"/>
      <c r="I466" s="84"/>
      <c r="J466" s="84"/>
      <c r="K466" s="84"/>
      <c r="L466" s="85"/>
      <c r="M466" s="40"/>
      <c r="N466" s="86"/>
      <c r="O466" s="86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>
      <c r="A467" s="40"/>
      <c r="B467" s="40"/>
      <c r="C467" s="40"/>
      <c r="D467" s="82"/>
      <c r="E467" s="83"/>
      <c r="F467" s="40"/>
      <c r="G467" s="40"/>
      <c r="H467" s="82"/>
      <c r="I467" s="84"/>
      <c r="J467" s="84"/>
      <c r="K467" s="84"/>
      <c r="L467" s="85"/>
      <c r="M467" s="40"/>
      <c r="N467" s="86"/>
      <c r="O467" s="86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>
      <c r="A468" s="40"/>
      <c r="B468" s="40"/>
      <c r="C468" s="40"/>
      <c r="D468" s="82"/>
      <c r="E468" s="83"/>
      <c r="F468" s="40"/>
      <c r="G468" s="40"/>
      <c r="H468" s="82"/>
      <c r="I468" s="84"/>
      <c r="J468" s="84"/>
      <c r="K468" s="84"/>
      <c r="L468" s="85"/>
      <c r="M468" s="40"/>
      <c r="N468" s="86"/>
      <c r="O468" s="86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>
      <c r="A469" s="40"/>
      <c r="B469" s="40"/>
      <c r="C469" s="40"/>
      <c r="D469" s="82"/>
      <c r="E469" s="83"/>
      <c r="F469" s="40"/>
      <c r="G469" s="40"/>
      <c r="H469" s="82"/>
      <c r="I469" s="84"/>
      <c r="J469" s="84"/>
      <c r="K469" s="84"/>
      <c r="L469" s="85"/>
      <c r="M469" s="40"/>
      <c r="N469" s="86"/>
      <c r="O469" s="86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>
      <c r="A470" s="40"/>
      <c r="B470" s="40"/>
      <c r="C470" s="40"/>
      <c r="D470" s="82"/>
      <c r="E470" s="83"/>
      <c r="F470" s="40"/>
      <c r="G470" s="40"/>
      <c r="H470" s="82"/>
      <c r="I470" s="84"/>
      <c r="J470" s="84"/>
      <c r="K470" s="84"/>
      <c r="L470" s="85"/>
      <c r="M470" s="40"/>
      <c r="N470" s="86"/>
      <c r="O470" s="86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>
      <c r="A471" s="40"/>
      <c r="B471" s="40"/>
      <c r="C471" s="40"/>
      <c r="D471" s="82"/>
      <c r="E471" s="83"/>
      <c r="F471" s="40"/>
      <c r="G471" s="40"/>
      <c r="H471" s="82"/>
      <c r="I471" s="84"/>
      <c r="J471" s="84"/>
      <c r="K471" s="84"/>
      <c r="L471" s="85"/>
      <c r="M471" s="40"/>
      <c r="N471" s="86"/>
      <c r="O471" s="86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>
      <c r="A472" s="40"/>
      <c r="B472" s="40"/>
      <c r="C472" s="40"/>
      <c r="D472" s="82"/>
      <c r="E472" s="83"/>
      <c r="F472" s="40"/>
      <c r="G472" s="40"/>
      <c r="H472" s="82"/>
      <c r="I472" s="84"/>
      <c r="J472" s="84"/>
      <c r="K472" s="84"/>
      <c r="L472" s="85"/>
      <c r="M472" s="40"/>
      <c r="N472" s="86"/>
      <c r="O472" s="86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>
      <c r="A473" s="40"/>
      <c r="B473" s="40"/>
      <c r="C473" s="40"/>
      <c r="D473" s="82"/>
      <c r="E473" s="83"/>
      <c r="F473" s="40"/>
      <c r="G473" s="40"/>
      <c r="H473" s="82"/>
      <c r="I473" s="84"/>
      <c r="J473" s="84"/>
      <c r="K473" s="84"/>
      <c r="L473" s="85"/>
      <c r="M473" s="40"/>
      <c r="N473" s="86"/>
      <c r="O473" s="86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>
      <c r="A474" s="40"/>
      <c r="B474" s="40"/>
      <c r="C474" s="40"/>
      <c r="D474" s="82"/>
      <c r="E474" s="83"/>
      <c r="F474" s="40"/>
      <c r="G474" s="40"/>
      <c r="H474" s="82"/>
      <c r="I474" s="84"/>
      <c r="J474" s="84"/>
      <c r="K474" s="84"/>
      <c r="L474" s="85"/>
      <c r="M474" s="40"/>
      <c r="N474" s="86"/>
      <c r="O474" s="86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>
      <c r="A475" s="40"/>
      <c r="B475" s="40"/>
      <c r="C475" s="40"/>
      <c r="D475" s="82"/>
      <c r="E475" s="83"/>
      <c r="F475" s="40"/>
      <c r="G475" s="40"/>
      <c r="H475" s="82"/>
      <c r="I475" s="84"/>
      <c r="J475" s="84"/>
      <c r="K475" s="84"/>
      <c r="L475" s="85"/>
      <c r="M475" s="40"/>
      <c r="N475" s="86"/>
      <c r="O475" s="86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>
      <c r="A476" s="40"/>
      <c r="B476" s="40"/>
      <c r="C476" s="40"/>
      <c r="D476" s="82"/>
      <c r="E476" s="83"/>
      <c r="F476" s="40"/>
      <c r="G476" s="40"/>
      <c r="H476" s="82"/>
      <c r="I476" s="84"/>
      <c r="J476" s="84"/>
      <c r="K476" s="84"/>
      <c r="L476" s="85"/>
      <c r="M476" s="40"/>
      <c r="N476" s="86"/>
      <c r="O476" s="86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>
      <c r="A477" s="40"/>
      <c r="B477" s="40"/>
      <c r="C477" s="40"/>
      <c r="D477" s="82"/>
      <c r="E477" s="83"/>
      <c r="F477" s="40"/>
      <c r="G477" s="40"/>
      <c r="H477" s="82"/>
      <c r="I477" s="84"/>
      <c r="J477" s="84"/>
      <c r="K477" s="84"/>
      <c r="L477" s="85"/>
      <c r="M477" s="40"/>
      <c r="N477" s="86"/>
      <c r="O477" s="86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>
      <c r="A478" s="40"/>
      <c r="B478" s="40"/>
      <c r="C478" s="40"/>
      <c r="D478" s="82"/>
      <c r="E478" s="83"/>
      <c r="F478" s="40"/>
      <c r="G478" s="40"/>
      <c r="H478" s="82"/>
      <c r="I478" s="84"/>
      <c r="J478" s="84"/>
      <c r="K478" s="84"/>
      <c r="L478" s="85"/>
      <c r="M478" s="40"/>
      <c r="N478" s="86"/>
      <c r="O478" s="86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>
      <c r="A479" s="40"/>
      <c r="B479" s="40"/>
      <c r="C479" s="40"/>
      <c r="D479" s="82"/>
      <c r="E479" s="83"/>
      <c r="F479" s="40"/>
      <c r="G479" s="40"/>
      <c r="H479" s="82"/>
      <c r="I479" s="84"/>
      <c r="J479" s="84"/>
      <c r="K479" s="84"/>
      <c r="L479" s="85"/>
      <c r="M479" s="40"/>
      <c r="N479" s="86"/>
      <c r="O479" s="86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>
      <c r="A480" s="40"/>
      <c r="B480" s="40"/>
      <c r="C480" s="40"/>
      <c r="D480" s="82"/>
      <c r="E480" s="83"/>
      <c r="F480" s="40"/>
      <c r="G480" s="40"/>
      <c r="H480" s="82"/>
      <c r="I480" s="84"/>
      <c r="J480" s="84"/>
      <c r="K480" s="84"/>
      <c r="L480" s="85"/>
      <c r="M480" s="40"/>
      <c r="N480" s="86"/>
      <c r="O480" s="86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>
      <c r="A481" s="40"/>
      <c r="B481" s="40"/>
      <c r="C481" s="40"/>
      <c r="D481" s="82"/>
      <c r="E481" s="83"/>
      <c r="F481" s="40"/>
      <c r="G481" s="40"/>
      <c r="H481" s="82"/>
      <c r="I481" s="84"/>
      <c r="J481" s="84"/>
      <c r="K481" s="84"/>
      <c r="L481" s="85"/>
      <c r="M481" s="40"/>
      <c r="N481" s="86"/>
      <c r="O481" s="86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>
      <c r="A482" s="40"/>
      <c r="B482" s="40"/>
      <c r="C482" s="40"/>
      <c r="D482" s="82"/>
      <c r="E482" s="83"/>
      <c r="F482" s="40"/>
      <c r="G482" s="40"/>
      <c r="H482" s="82"/>
      <c r="I482" s="84"/>
      <c r="J482" s="84"/>
      <c r="K482" s="84"/>
      <c r="L482" s="85"/>
      <c r="M482" s="40"/>
      <c r="N482" s="86"/>
      <c r="O482" s="86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>
      <c r="A483" s="40"/>
      <c r="B483" s="40"/>
      <c r="C483" s="40"/>
      <c r="D483" s="82"/>
      <c r="E483" s="83"/>
      <c r="F483" s="40"/>
      <c r="G483" s="40"/>
      <c r="H483" s="82"/>
      <c r="I483" s="84"/>
      <c r="J483" s="84"/>
      <c r="K483" s="84"/>
      <c r="L483" s="85"/>
      <c r="M483" s="40"/>
      <c r="N483" s="86"/>
      <c r="O483" s="86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>
      <c r="A484" s="40"/>
      <c r="B484" s="40"/>
      <c r="C484" s="40"/>
      <c r="D484" s="82"/>
      <c r="E484" s="83"/>
      <c r="F484" s="40"/>
      <c r="G484" s="40"/>
      <c r="H484" s="82"/>
      <c r="I484" s="84"/>
      <c r="J484" s="84"/>
      <c r="K484" s="84"/>
      <c r="L484" s="85"/>
      <c r="M484" s="40"/>
      <c r="N484" s="86"/>
      <c r="O484" s="86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>
      <c r="A485" s="40"/>
      <c r="B485" s="40"/>
      <c r="C485" s="40"/>
      <c r="D485" s="82"/>
      <c r="E485" s="83"/>
      <c r="F485" s="40"/>
      <c r="G485" s="40"/>
      <c r="H485" s="82"/>
      <c r="I485" s="84"/>
      <c r="J485" s="84"/>
      <c r="K485" s="84"/>
      <c r="L485" s="85"/>
      <c r="M485" s="40"/>
      <c r="N485" s="86"/>
      <c r="O485" s="86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>
      <c r="A486" s="40"/>
      <c r="B486" s="40"/>
      <c r="C486" s="40"/>
      <c r="D486" s="82"/>
      <c r="E486" s="83"/>
      <c r="F486" s="40"/>
      <c r="G486" s="40"/>
      <c r="H486" s="82"/>
      <c r="I486" s="84"/>
      <c r="J486" s="84"/>
      <c r="K486" s="84"/>
      <c r="L486" s="85"/>
      <c r="M486" s="40"/>
      <c r="N486" s="86"/>
      <c r="O486" s="86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>
      <c r="A487" s="40"/>
      <c r="B487" s="40"/>
      <c r="C487" s="40"/>
      <c r="D487" s="82"/>
      <c r="E487" s="83"/>
      <c r="F487" s="40"/>
      <c r="G487" s="40"/>
      <c r="H487" s="82"/>
      <c r="I487" s="84"/>
      <c r="J487" s="84"/>
      <c r="K487" s="84"/>
      <c r="L487" s="85"/>
      <c r="M487" s="40"/>
      <c r="N487" s="86"/>
      <c r="O487" s="86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>
      <c r="A488" s="40"/>
      <c r="B488" s="40"/>
      <c r="C488" s="40"/>
      <c r="D488" s="82"/>
      <c r="E488" s="83"/>
      <c r="F488" s="40"/>
      <c r="G488" s="40"/>
      <c r="H488" s="82"/>
      <c r="I488" s="84"/>
      <c r="J488" s="84"/>
      <c r="K488" s="84"/>
      <c r="L488" s="85"/>
      <c r="M488" s="40"/>
      <c r="N488" s="86"/>
      <c r="O488" s="86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>
      <c r="A489" s="40"/>
      <c r="B489" s="40"/>
      <c r="C489" s="40"/>
      <c r="D489" s="82"/>
      <c r="E489" s="83"/>
      <c r="F489" s="40"/>
      <c r="G489" s="40"/>
      <c r="H489" s="82"/>
      <c r="I489" s="84"/>
      <c r="J489" s="84"/>
      <c r="K489" s="84"/>
      <c r="L489" s="85"/>
      <c r="M489" s="40"/>
      <c r="N489" s="86"/>
      <c r="O489" s="86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>
      <c r="A490" s="40"/>
      <c r="B490" s="40"/>
      <c r="C490" s="40"/>
      <c r="D490" s="82"/>
      <c r="E490" s="83"/>
      <c r="F490" s="40"/>
      <c r="G490" s="40"/>
      <c r="H490" s="82"/>
      <c r="I490" s="84"/>
      <c r="J490" s="84"/>
      <c r="K490" s="84"/>
      <c r="L490" s="85"/>
      <c r="M490" s="40"/>
      <c r="N490" s="86"/>
      <c r="O490" s="86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>
      <c r="A491" s="40"/>
      <c r="B491" s="40"/>
      <c r="C491" s="40"/>
      <c r="D491" s="82"/>
      <c r="E491" s="83"/>
      <c r="F491" s="40"/>
      <c r="G491" s="40"/>
      <c r="H491" s="82"/>
      <c r="I491" s="84"/>
      <c r="J491" s="84"/>
      <c r="K491" s="84"/>
      <c r="L491" s="85"/>
      <c r="M491" s="40"/>
      <c r="N491" s="86"/>
      <c r="O491" s="86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>
      <c r="A492" s="40"/>
      <c r="B492" s="40"/>
      <c r="C492" s="40"/>
      <c r="D492" s="82"/>
      <c r="E492" s="83"/>
      <c r="F492" s="40"/>
      <c r="G492" s="40"/>
      <c r="H492" s="82"/>
      <c r="I492" s="84"/>
      <c r="J492" s="84"/>
      <c r="K492" s="84"/>
      <c r="L492" s="85"/>
      <c r="M492" s="40"/>
      <c r="N492" s="86"/>
      <c r="O492" s="86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>
      <c r="A493" s="40"/>
      <c r="B493" s="40"/>
      <c r="C493" s="40"/>
      <c r="D493" s="82"/>
      <c r="E493" s="83"/>
      <c r="F493" s="40"/>
      <c r="G493" s="40"/>
      <c r="H493" s="82"/>
      <c r="I493" s="84"/>
      <c r="J493" s="84"/>
      <c r="K493" s="84"/>
      <c r="L493" s="85"/>
      <c r="M493" s="40"/>
      <c r="N493" s="86"/>
      <c r="O493" s="86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>
      <c r="A494" s="40"/>
      <c r="B494" s="40"/>
      <c r="C494" s="40"/>
      <c r="D494" s="82"/>
      <c r="E494" s="83"/>
      <c r="F494" s="40"/>
      <c r="G494" s="40"/>
      <c r="H494" s="82"/>
      <c r="I494" s="84"/>
      <c r="J494" s="84"/>
      <c r="K494" s="84"/>
      <c r="L494" s="85"/>
      <c r="M494" s="40"/>
      <c r="N494" s="86"/>
      <c r="O494" s="86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>
      <c r="A495" s="40"/>
      <c r="B495" s="40"/>
      <c r="C495" s="40"/>
      <c r="D495" s="82"/>
      <c r="E495" s="83"/>
      <c r="F495" s="40"/>
      <c r="G495" s="40"/>
      <c r="H495" s="82"/>
      <c r="I495" s="84"/>
      <c r="J495" s="84"/>
      <c r="K495" s="84"/>
      <c r="L495" s="85"/>
      <c r="M495" s="40"/>
      <c r="N495" s="86"/>
      <c r="O495" s="86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>
      <c r="A496" s="40"/>
      <c r="B496" s="40"/>
      <c r="C496" s="40"/>
      <c r="D496" s="82"/>
      <c r="E496" s="83"/>
      <c r="F496" s="40"/>
      <c r="G496" s="40"/>
      <c r="H496" s="82"/>
      <c r="I496" s="84"/>
      <c r="J496" s="84"/>
      <c r="K496" s="84"/>
      <c r="L496" s="85"/>
      <c r="M496" s="40"/>
      <c r="N496" s="86"/>
      <c r="O496" s="86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>
      <c r="A497" s="40"/>
      <c r="B497" s="40"/>
      <c r="C497" s="40"/>
      <c r="D497" s="82"/>
      <c r="E497" s="83"/>
      <c r="F497" s="40"/>
      <c r="G497" s="40"/>
      <c r="H497" s="82"/>
      <c r="I497" s="84"/>
      <c r="J497" s="84"/>
      <c r="K497" s="84"/>
      <c r="L497" s="85"/>
      <c r="M497" s="40"/>
      <c r="N497" s="86"/>
      <c r="O497" s="86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>
      <c r="A498" s="40"/>
      <c r="B498" s="40"/>
      <c r="C498" s="40"/>
      <c r="D498" s="82"/>
      <c r="E498" s="83"/>
      <c r="F498" s="40"/>
      <c r="G498" s="40"/>
      <c r="H498" s="82"/>
      <c r="I498" s="84"/>
      <c r="J498" s="84"/>
      <c r="K498" s="84"/>
      <c r="L498" s="85"/>
      <c r="M498" s="40"/>
      <c r="N498" s="86"/>
      <c r="O498" s="86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>
      <c r="A499" s="40"/>
      <c r="B499" s="40"/>
      <c r="C499" s="40"/>
      <c r="D499" s="82"/>
      <c r="E499" s="83"/>
      <c r="F499" s="40"/>
      <c r="G499" s="40"/>
      <c r="H499" s="82"/>
      <c r="I499" s="84"/>
      <c r="J499" s="84"/>
      <c r="K499" s="84"/>
      <c r="L499" s="85"/>
      <c r="M499" s="40"/>
      <c r="N499" s="86"/>
      <c r="O499" s="86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>
      <c r="A500" s="40"/>
      <c r="B500" s="40"/>
      <c r="C500" s="40"/>
      <c r="D500" s="82"/>
      <c r="E500" s="83"/>
      <c r="F500" s="40"/>
      <c r="G500" s="40"/>
      <c r="H500" s="82"/>
      <c r="I500" s="84"/>
      <c r="J500" s="84"/>
      <c r="K500" s="84"/>
      <c r="L500" s="85"/>
      <c r="M500" s="40"/>
      <c r="N500" s="86"/>
      <c r="O500" s="86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>
      <c r="A501" s="40"/>
      <c r="B501" s="40"/>
      <c r="C501" s="40"/>
      <c r="D501" s="82"/>
      <c r="E501" s="83"/>
      <c r="F501" s="40"/>
      <c r="G501" s="40"/>
      <c r="H501" s="82"/>
      <c r="I501" s="84"/>
      <c r="J501" s="84"/>
      <c r="K501" s="84"/>
      <c r="L501" s="85"/>
      <c r="M501" s="40"/>
      <c r="N501" s="86"/>
      <c r="O501" s="86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>
      <c r="A502" s="40"/>
      <c r="B502" s="40"/>
      <c r="C502" s="40"/>
      <c r="D502" s="82"/>
      <c r="E502" s="83"/>
      <c r="F502" s="40"/>
      <c r="G502" s="40"/>
      <c r="H502" s="82"/>
      <c r="I502" s="84"/>
      <c r="J502" s="84"/>
      <c r="K502" s="84"/>
      <c r="L502" s="85"/>
      <c r="M502" s="40"/>
      <c r="N502" s="86"/>
      <c r="O502" s="86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>
      <c r="A503" s="40"/>
      <c r="B503" s="40"/>
      <c r="C503" s="40"/>
      <c r="D503" s="82"/>
      <c r="E503" s="83"/>
      <c r="F503" s="40"/>
      <c r="G503" s="40"/>
      <c r="H503" s="82"/>
      <c r="I503" s="84"/>
      <c r="J503" s="84"/>
      <c r="K503" s="84"/>
      <c r="L503" s="85"/>
      <c r="M503" s="40"/>
      <c r="N503" s="86"/>
      <c r="O503" s="86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>
      <c r="A504" s="40"/>
      <c r="B504" s="40"/>
      <c r="C504" s="40"/>
      <c r="D504" s="82"/>
      <c r="E504" s="83"/>
      <c r="F504" s="40"/>
      <c r="G504" s="40"/>
      <c r="H504" s="82"/>
      <c r="I504" s="84"/>
      <c r="J504" s="84"/>
      <c r="K504" s="84"/>
      <c r="L504" s="85"/>
      <c r="M504" s="40"/>
      <c r="N504" s="86"/>
      <c r="O504" s="86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>
      <c r="A505" s="40"/>
      <c r="B505" s="40"/>
      <c r="C505" s="40"/>
      <c r="D505" s="82"/>
      <c r="E505" s="83"/>
      <c r="F505" s="40"/>
      <c r="G505" s="40"/>
      <c r="H505" s="82"/>
      <c r="I505" s="84"/>
      <c r="J505" s="84"/>
      <c r="K505" s="84"/>
      <c r="L505" s="85"/>
      <c r="M505" s="40"/>
      <c r="N505" s="86"/>
      <c r="O505" s="86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>
      <c r="A506" s="40"/>
      <c r="B506" s="40"/>
      <c r="C506" s="40"/>
      <c r="D506" s="82"/>
      <c r="E506" s="83"/>
      <c r="F506" s="40"/>
      <c r="G506" s="40"/>
      <c r="H506" s="82"/>
      <c r="I506" s="84"/>
      <c r="J506" s="84"/>
      <c r="K506" s="84"/>
      <c r="L506" s="85"/>
      <c r="M506" s="40"/>
      <c r="N506" s="86"/>
      <c r="O506" s="86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>
      <c r="A507" s="40"/>
      <c r="B507" s="40"/>
      <c r="C507" s="40"/>
      <c r="D507" s="82"/>
      <c r="E507" s="83"/>
      <c r="F507" s="40"/>
      <c r="G507" s="40"/>
      <c r="H507" s="82"/>
      <c r="I507" s="84"/>
      <c r="J507" s="84"/>
      <c r="K507" s="84"/>
      <c r="L507" s="85"/>
      <c r="M507" s="40"/>
      <c r="N507" s="86"/>
      <c r="O507" s="86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>
      <c r="A508" s="40"/>
      <c r="B508" s="40"/>
      <c r="C508" s="40"/>
      <c r="D508" s="82"/>
      <c r="E508" s="83"/>
      <c r="F508" s="40"/>
      <c r="G508" s="40"/>
      <c r="H508" s="82"/>
      <c r="I508" s="84"/>
      <c r="J508" s="84"/>
      <c r="K508" s="84"/>
      <c r="L508" s="85"/>
      <c r="M508" s="40"/>
      <c r="N508" s="86"/>
      <c r="O508" s="86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>
      <c r="A509" s="40"/>
      <c r="B509" s="40"/>
      <c r="C509" s="40"/>
      <c r="D509" s="82"/>
      <c r="E509" s="83"/>
      <c r="F509" s="40"/>
      <c r="G509" s="40"/>
      <c r="H509" s="82"/>
      <c r="I509" s="84"/>
      <c r="J509" s="84"/>
      <c r="K509" s="84"/>
      <c r="L509" s="85"/>
      <c r="M509" s="40"/>
      <c r="N509" s="86"/>
      <c r="O509" s="86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>
      <c r="A510" s="40"/>
      <c r="B510" s="40"/>
      <c r="C510" s="40"/>
      <c r="D510" s="82"/>
      <c r="E510" s="83"/>
      <c r="F510" s="40"/>
      <c r="G510" s="40"/>
      <c r="H510" s="82"/>
      <c r="I510" s="84"/>
      <c r="J510" s="84"/>
      <c r="K510" s="84"/>
      <c r="L510" s="85"/>
      <c r="M510" s="40"/>
      <c r="N510" s="86"/>
      <c r="O510" s="86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>
      <c r="A511" s="40"/>
      <c r="B511" s="40"/>
      <c r="C511" s="40"/>
      <c r="D511" s="82"/>
      <c r="E511" s="83"/>
      <c r="F511" s="40"/>
      <c r="G511" s="40"/>
      <c r="H511" s="82"/>
      <c r="I511" s="84"/>
      <c r="J511" s="84"/>
      <c r="K511" s="84"/>
      <c r="L511" s="85"/>
      <c r="M511" s="40"/>
      <c r="N511" s="86"/>
      <c r="O511" s="86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>
      <c r="A512" s="40"/>
      <c r="B512" s="40"/>
      <c r="C512" s="40"/>
      <c r="D512" s="82"/>
      <c r="E512" s="83"/>
      <c r="F512" s="40"/>
      <c r="G512" s="40"/>
      <c r="H512" s="82"/>
      <c r="I512" s="84"/>
      <c r="J512" s="84"/>
      <c r="K512" s="84"/>
      <c r="L512" s="85"/>
      <c r="M512" s="40"/>
      <c r="N512" s="86"/>
      <c r="O512" s="86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>
      <c r="A513" s="40"/>
      <c r="B513" s="40"/>
      <c r="C513" s="40"/>
      <c r="D513" s="82"/>
      <c r="E513" s="83"/>
      <c r="F513" s="40"/>
      <c r="G513" s="40"/>
      <c r="H513" s="82"/>
      <c r="I513" s="84"/>
      <c r="J513" s="84"/>
      <c r="K513" s="84"/>
      <c r="L513" s="85"/>
      <c r="M513" s="40"/>
      <c r="N513" s="86"/>
      <c r="O513" s="86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>
      <c r="A514" s="40"/>
      <c r="B514" s="40"/>
      <c r="C514" s="40"/>
      <c r="D514" s="82"/>
      <c r="E514" s="83"/>
      <c r="F514" s="40"/>
      <c r="G514" s="40"/>
      <c r="H514" s="82"/>
      <c r="I514" s="84"/>
      <c r="J514" s="84"/>
      <c r="K514" s="84"/>
      <c r="L514" s="85"/>
      <c r="M514" s="40"/>
      <c r="N514" s="86"/>
      <c r="O514" s="86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>
      <c r="A515" s="40"/>
      <c r="B515" s="40"/>
      <c r="C515" s="40"/>
      <c r="D515" s="82"/>
      <c r="E515" s="83"/>
      <c r="F515" s="40"/>
      <c r="G515" s="40"/>
      <c r="H515" s="82"/>
      <c r="I515" s="84"/>
      <c r="J515" s="84"/>
      <c r="K515" s="84"/>
      <c r="L515" s="85"/>
      <c r="M515" s="40"/>
      <c r="N515" s="86"/>
      <c r="O515" s="86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>
      <c r="A516" s="40"/>
      <c r="B516" s="40"/>
      <c r="C516" s="40"/>
      <c r="D516" s="82"/>
      <c r="E516" s="83"/>
      <c r="F516" s="40"/>
      <c r="G516" s="40"/>
      <c r="H516" s="82"/>
      <c r="I516" s="84"/>
      <c r="J516" s="84"/>
      <c r="K516" s="84"/>
      <c r="L516" s="85"/>
      <c r="M516" s="40"/>
      <c r="N516" s="86"/>
      <c r="O516" s="86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>
      <c r="A517" s="40"/>
      <c r="B517" s="40"/>
      <c r="C517" s="40"/>
      <c r="D517" s="82"/>
      <c r="E517" s="83"/>
      <c r="F517" s="40"/>
      <c r="G517" s="40"/>
      <c r="H517" s="82"/>
      <c r="I517" s="84"/>
      <c r="J517" s="84"/>
      <c r="K517" s="84"/>
      <c r="L517" s="85"/>
      <c r="M517" s="40"/>
      <c r="N517" s="86"/>
      <c r="O517" s="86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>
      <c r="A518" s="40"/>
      <c r="B518" s="40"/>
      <c r="C518" s="40"/>
      <c r="D518" s="82"/>
      <c r="E518" s="83"/>
      <c r="F518" s="40"/>
      <c r="G518" s="40"/>
      <c r="H518" s="82"/>
      <c r="I518" s="84"/>
      <c r="J518" s="84"/>
      <c r="K518" s="84"/>
      <c r="L518" s="85"/>
      <c r="M518" s="40"/>
      <c r="N518" s="86"/>
      <c r="O518" s="86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>
      <c r="A519" s="40"/>
      <c r="B519" s="40"/>
      <c r="C519" s="40"/>
      <c r="D519" s="82"/>
      <c r="E519" s="83"/>
      <c r="F519" s="40"/>
      <c r="G519" s="40"/>
      <c r="H519" s="82"/>
      <c r="I519" s="84"/>
      <c r="J519" s="84"/>
      <c r="K519" s="84"/>
      <c r="L519" s="85"/>
      <c r="M519" s="40"/>
      <c r="N519" s="86"/>
      <c r="O519" s="86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>
      <c r="A520" s="40"/>
      <c r="B520" s="40"/>
      <c r="C520" s="40"/>
      <c r="D520" s="82"/>
      <c r="E520" s="83"/>
      <c r="F520" s="40"/>
      <c r="G520" s="40"/>
      <c r="H520" s="82"/>
      <c r="I520" s="84"/>
      <c r="J520" s="84"/>
      <c r="K520" s="84"/>
      <c r="L520" s="85"/>
      <c r="M520" s="40"/>
      <c r="N520" s="86"/>
      <c r="O520" s="86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>
      <c r="A521" s="40"/>
      <c r="B521" s="40"/>
      <c r="C521" s="40"/>
      <c r="D521" s="82"/>
      <c r="E521" s="83"/>
      <c r="F521" s="40"/>
      <c r="G521" s="40"/>
      <c r="H521" s="82"/>
      <c r="I521" s="84"/>
      <c r="J521" s="84"/>
      <c r="K521" s="84"/>
      <c r="L521" s="85"/>
      <c r="M521" s="40"/>
      <c r="N521" s="86"/>
      <c r="O521" s="86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>
      <c r="A522" s="40"/>
      <c r="B522" s="40"/>
      <c r="C522" s="40"/>
      <c r="D522" s="82"/>
      <c r="E522" s="83"/>
      <c r="F522" s="40"/>
      <c r="G522" s="40"/>
      <c r="H522" s="82"/>
      <c r="I522" s="84"/>
      <c r="J522" s="84"/>
      <c r="K522" s="84"/>
      <c r="L522" s="85"/>
      <c r="M522" s="40"/>
      <c r="N522" s="86"/>
      <c r="O522" s="86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>
      <c r="A523" s="40"/>
      <c r="B523" s="40"/>
      <c r="C523" s="40"/>
      <c r="D523" s="82"/>
      <c r="E523" s="83"/>
      <c r="F523" s="40"/>
      <c r="G523" s="40"/>
      <c r="H523" s="82"/>
      <c r="I523" s="84"/>
      <c r="J523" s="84"/>
      <c r="K523" s="84"/>
      <c r="L523" s="85"/>
      <c r="M523" s="40"/>
      <c r="N523" s="86"/>
      <c r="O523" s="86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>
      <c r="A524" s="40"/>
      <c r="B524" s="40"/>
      <c r="C524" s="40"/>
      <c r="D524" s="82"/>
      <c r="E524" s="83"/>
      <c r="F524" s="40"/>
      <c r="G524" s="40"/>
      <c r="H524" s="82"/>
      <c r="I524" s="84"/>
      <c r="J524" s="84"/>
      <c r="K524" s="84"/>
      <c r="L524" s="85"/>
      <c r="M524" s="40"/>
      <c r="N524" s="86"/>
      <c r="O524" s="86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>
      <c r="A525" s="40"/>
      <c r="B525" s="40"/>
      <c r="C525" s="40"/>
      <c r="D525" s="82"/>
      <c r="E525" s="83"/>
      <c r="F525" s="40"/>
      <c r="G525" s="40"/>
      <c r="H525" s="82"/>
      <c r="I525" s="84"/>
      <c r="J525" s="84"/>
      <c r="K525" s="84"/>
      <c r="L525" s="85"/>
      <c r="M525" s="40"/>
      <c r="N525" s="86"/>
      <c r="O525" s="86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>
      <c r="A526" s="40"/>
      <c r="B526" s="40"/>
      <c r="C526" s="40"/>
      <c r="D526" s="82"/>
      <c r="E526" s="83"/>
      <c r="F526" s="40"/>
      <c r="G526" s="40"/>
      <c r="H526" s="82"/>
      <c r="I526" s="84"/>
      <c r="J526" s="84"/>
      <c r="K526" s="84"/>
      <c r="L526" s="85"/>
      <c r="M526" s="40"/>
      <c r="N526" s="86"/>
      <c r="O526" s="86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>
      <c r="A527" s="40"/>
      <c r="B527" s="40"/>
      <c r="C527" s="40"/>
      <c r="D527" s="82"/>
      <c r="E527" s="83"/>
      <c r="F527" s="40"/>
      <c r="G527" s="40"/>
      <c r="H527" s="82"/>
      <c r="I527" s="84"/>
      <c r="J527" s="84"/>
      <c r="K527" s="84"/>
      <c r="L527" s="85"/>
      <c r="M527" s="40"/>
      <c r="N527" s="86"/>
      <c r="O527" s="86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>
      <c r="A528" s="40"/>
      <c r="B528" s="40"/>
      <c r="C528" s="40"/>
      <c r="D528" s="82"/>
      <c r="E528" s="83"/>
      <c r="F528" s="40"/>
      <c r="G528" s="40"/>
      <c r="H528" s="82"/>
      <c r="I528" s="84"/>
      <c r="J528" s="84"/>
      <c r="K528" s="84"/>
      <c r="L528" s="85"/>
      <c r="M528" s="40"/>
      <c r="N528" s="86"/>
      <c r="O528" s="86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>
      <c r="A529" s="40"/>
      <c r="B529" s="40"/>
      <c r="C529" s="40"/>
      <c r="D529" s="82"/>
      <c r="E529" s="83"/>
      <c r="F529" s="40"/>
      <c r="G529" s="40"/>
      <c r="H529" s="82"/>
      <c r="I529" s="84"/>
      <c r="J529" s="84"/>
      <c r="K529" s="84"/>
      <c r="L529" s="85"/>
      <c r="M529" s="40"/>
      <c r="N529" s="86"/>
      <c r="O529" s="86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>
      <c r="A530" s="40"/>
      <c r="B530" s="40"/>
      <c r="C530" s="40"/>
      <c r="D530" s="82"/>
      <c r="E530" s="83"/>
      <c r="F530" s="40"/>
      <c r="G530" s="40"/>
      <c r="H530" s="82"/>
      <c r="I530" s="84"/>
      <c r="J530" s="84"/>
      <c r="K530" s="84"/>
      <c r="L530" s="85"/>
      <c r="M530" s="40"/>
      <c r="N530" s="86"/>
      <c r="O530" s="86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>
      <c r="A531" s="40"/>
      <c r="B531" s="40"/>
      <c r="C531" s="40"/>
      <c r="D531" s="82"/>
      <c r="E531" s="83"/>
      <c r="F531" s="40"/>
      <c r="G531" s="40"/>
      <c r="H531" s="82"/>
      <c r="I531" s="84"/>
      <c r="J531" s="84"/>
      <c r="K531" s="84"/>
      <c r="L531" s="85"/>
      <c r="M531" s="40"/>
      <c r="N531" s="86"/>
      <c r="O531" s="86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>
      <c r="A532" s="40"/>
      <c r="B532" s="40"/>
      <c r="C532" s="40"/>
      <c r="D532" s="82"/>
      <c r="E532" s="83"/>
      <c r="F532" s="40"/>
      <c r="G532" s="40"/>
      <c r="H532" s="82"/>
      <c r="I532" s="84"/>
      <c r="J532" s="84"/>
      <c r="K532" s="84"/>
      <c r="L532" s="85"/>
      <c r="M532" s="40"/>
      <c r="N532" s="86"/>
      <c r="O532" s="86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>
      <c r="A533" s="40"/>
      <c r="B533" s="40"/>
      <c r="C533" s="40"/>
      <c r="D533" s="82"/>
      <c r="E533" s="83"/>
      <c r="F533" s="40"/>
      <c r="G533" s="40"/>
      <c r="H533" s="82"/>
      <c r="I533" s="84"/>
      <c r="J533" s="84"/>
      <c r="K533" s="84"/>
      <c r="L533" s="85"/>
      <c r="M533" s="40"/>
      <c r="N533" s="86"/>
      <c r="O533" s="86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>
      <c r="A534" s="40"/>
      <c r="B534" s="40"/>
      <c r="C534" s="40"/>
      <c r="D534" s="82"/>
      <c r="E534" s="83"/>
      <c r="F534" s="40"/>
      <c r="G534" s="40"/>
      <c r="H534" s="82"/>
      <c r="I534" s="84"/>
      <c r="J534" s="84"/>
      <c r="K534" s="84"/>
      <c r="L534" s="85"/>
      <c r="M534" s="40"/>
      <c r="N534" s="86"/>
      <c r="O534" s="86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>
      <c r="A535" s="40"/>
      <c r="B535" s="40"/>
      <c r="C535" s="40"/>
      <c r="D535" s="82"/>
      <c r="E535" s="83"/>
      <c r="F535" s="40"/>
      <c r="G535" s="40"/>
      <c r="H535" s="82"/>
      <c r="I535" s="84"/>
      <c r="J535" s="84"/>
      <c r="K535" s="84"/>
      <c r="L535" s="85"/>
      <c r="M535" s="40"/>
      <c r="N535" s="86"/>
      <c r="O535" s="86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>
      <c r="A536" s="40"/>
      <c r="B536" s="40"/>
      <c r="C536" s="40"/>
      <c r="D536" s="82"/>
      <c r="E536" s="83"/>
      <c r="F536" s="40"/>
      <c r="G536" s="40"/>
      <c r="H536" s="82"/>
      <c r="I536" s="84"/>
      <c r="J536" s="84"/>
      <c r="K536" s="84"/>
      <c r="L536" s="85"/>
      <c r="M536" s="40"/>
      <c r="N536" s="86"/>
      <c r="O536" s="86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>
      <c r="A537" s="40"/>
      <c r="B537" s="40"/>
      <c r="C537" s="40"/>
      <c r="D537" s="82"/>
      <c r="E537" s="83"/>
      <c r="F537" s="40"/>
      <c r="G537" s="40"/>
      <c r="H537" s="82"/>
      <c r="I537" s="84"/>
      <c r="J537" s="84"/>
      <c r="K537" s="84"/>
      <c r="L537" s="85"/>
      <c r="M537" s="40"/>
      <c r="N537" s="86"/>
      <c r="O537" s="86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>
      <c r="A538" s="40"/>
      <c r="B538" s="40"/>
      <c r="C538" s="40"/>
      <c r="D538" s="82"/>
      <c r="E538" s="83"/>
      <c r="F538" s="40"/>
      <c r="G538" s="40"/>
      <c r="H538" s="82"/>
      <c r="I538" s="84"/>
      <c r="J538" s="84"/>
      <c r="K538" s="84"/>
      <c r="L538" s="85"/>
      <c r="M538" s="40"/>
      <c r="N538" s="86"/>
      <c r="O538" s="86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>
      <c r="A539" s="40"/>
      <c r="B539" s="40"/>
      <c r="C539" s="40"/>
      <c r="D539" s="82"/>
      <c r="E539" s="83"/>
      <c r="F539" s="40"/>
      <c r="G539" s="40"/>
      <c r="H539" s="82"/>
      <c r="I539" s="84"/>
      <c r="J539" s="84"/>
      <c r="K539" s="84"/>
      <c r="L539" s="85"/>
      <c r="M539" s="40"/>
      <c r="N539" s="86"/>
      <c r="O539" s="86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>
      <c r="A540" s="40"/>
      <c r="B540" s="40"/>
      <c r="C540" s="40"/>
      <c r="D540" s="82"/>
      <c r="E540" s="83"/>
      <c r="F540" s="40"/>
      <c r="G540" s="40"/>
      <c r="H540" s="82"/>
      <c r="I540" s="84"/>
      <c r="J540" s="84"/>
      <c r="K540" s="84"/>
      <c r="L540" s="85"/>
      <c r="M540" s="40"/>
      <c r="N540" s="86"/>
      <c r="O540" s="86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>
      <c r="A541" s="40"/>
      <c r="B541" s="40"/>
      <c r="C541" s="40"/>
      <c r="D541" s="82"/>
      <c r="E541" s="83"/>
      <c r="F541" s="40"/>
      <c r="G541" s="40"/>
      <c r="H541" s="82"/>
      <c r="I541" s="84"/>
      <c r="J541" s="84"/>
      <c r="K541" s="84"/>
      <c r="L541" s="85"/>
      <c r="M541" s="40"/>
      <c r="N541" s="86"/>
      <c r="O541" s="86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>
      <c r="A542" s="40"/>
      <c r="B542" s="40"/>
      <c r="C542" s="40"/>
      <c r="D542" s="82"/>
      <c r="E542" s="83"/>
      <c r="F542" s="40"/>
      <c r="G542" s="40"/>
      <c r="H542" s="82"/>
      <c r="I542" s="84"/>
      <c r="J542" s="84"/>
      <c r="K542" s="84"/>
      <c r="L542" s="85"/>
      <c r="M542" s="40"/>
      <c r="N542" s="86"/>
      <c r="O542" s="86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>
      <c r="A543" s="40"/>
      <c r="B543" s="40"/>
      <c r="C543" s="40"/>
      <c r="D543" s="82"/>
      <c r="E543" s="83"/>
      <c r="F543" s="40"/>
      <c r="G543" s="40"/>
      <c r="H543" s="82"/>
      <c r="I543" s="84"/>
      <c r="J543" s="84"/>
      <c r="K543" s="84"/>
      <c r="L543" s="85"/>
      <c r="M543" s="40"/>
      <c r="N543" s="86"/>
      <c r="O543" s="86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>
      <c r="A544" s="40"/>
      <c r="B544" s="40"/>
      <c r="C544" s="40"/>
      <c r="D544" s="82"/>
      <c r="E544" s="83"/>
      <c r="F544" s="40"/>
      <c r="G544" s="40"/>
      <c r="H544" s="82"/>
      <c r="I544" s="84"/>
      <c r="J544" s="84"/>
      <c r="K544" s="84"/>
      <c r="L544" s="85"/>
      <c r="M544" s="40"/>
      <c r="N544" s="86"/>
      <c r="O544" s="86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>
      <c r="A545" s="40"/>
      <c r="B545" s="40"/>
      <c r="C545" s="40"/>
      <c r="D545" s="82"/>
      <c r="E545" s="83"/>
      <c r="F545" s="40"/>
      <c r="G545" s="40"/>
      <c r="H545" s="82"/>
      <c r="I545" s="84"/>
      <c r="J545" s="84"/>
      <c r="K545" s="84"/>
      <c r="L545" s="85"/>
      <c r="M545" s="40"/>
      <c r="N545" s="86"/>
      <c r="O545" s="86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>
      <c r="A546" s="40"/>
      <c r="B546" s="40"/>
      <c r="C546" s="40"/>
      <c r="D546" s="82"/>
      <c r="E546" s="83"/>
      <c r="F546" s="40"/>
      <c r="G546" s="40"/>
      <c r="H546" s="82"/>
      <c r="I546" s="84"/>
      <c r="J546" s="84"/>
      <c r="K546" s="84"/>
      <c r="L546" s="85"/>
      <c r="M546" s="40"/>
      <c r="N546" s="86"/>
      <c r="O546" s="86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>
      <c r="A547" s="40"/>
      <c r="B547" s="40"/>
      <c r="C547" s="40"/>
      <c r="D547" s="82"/>
      <c r="E547" s="83"/>
      <c r="F547" s="40"/>
      <c r="G547" s="40"/>
      <c r="H547" s="82"/>
      <c r="I547" s="84"/>
      <c r="J547" s="84"/>
      <c r="K547" s="84"/>
      <c r="L547" s="85"/>
      <c r="M547" s="40"/>
      <c r="N547" s="86"/>
      <c r="O547" s="86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>
      <c r="A548" s="40"/>
      <c r="B548" s="40"/>
      <c r="C548" s="40"/>
      <c r="D548" s="82"/>
      <c r="E548" s="83"/>
      <c r="F548" s="40"/>
      <c r="G548" s="40"/>
      <c r="H548" s="82"/>
      <c r="I548" s="84"/>
      <c r="J548" s="84"/>
      <c r="K548" s="84"/>
      <c r="L548" s="85"/>
      <c r="M548" s="40"/>
      <c r="N548" s="86"/>
      <c r="O548" s="86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>
      <c r="A549" s="40"/>
      <c r="B549" s="40"/>
      <c r="C549" s="40"/>
      <c r="D549" s="82"/>
      <c r="E549" s="83"/>
      <c r="F549" s="40"/>
      <c r="G549" s="40"/>
      <c r="H549" s="82"/>
      <c r="I549" s="84"/>
      <c r="J549" s="84"/>
      <c r="K549" s="84"/>
      <c r="L549" s="85"/>
      <c r="M549" s="40"/>
      <c r="N549" s="86"/>
      <c r="O549" s="86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>
      <c r="A550" s="40"/>
      <c r="B550" s="40"/>
      <c r="C550" s="40"/>
      <c r="D550" s="82"/>
      <c r="E550" s="83"/>
      <c r="F550" s="40"/>
      <c r="G550" s="40"/>
      <c r="H550" s="82"/>
      <c r="I550" s="84"/>
      <c r="J550" s="84"/>
      <c r="K550" s="84"/>
      <c r="L550" s="85"/>
      <c r="M550" s="40"/>
      <c r="N550" s="86"/>
      <c r="O550" s="86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>
      <c r="A551" s="40"/>
      <c r="B551" s="40"/>
      <c r="C551" s="40"/>
      <c r="D551" s="82"/>
      <c r="E551" s="83"/>
      <c r="F551" s="40"/>
      <c r="G551" s="40"/>
      <c r="H551" s="82"/>
      <c r="I551" s="84"/>
      <c r="J551" s="84"/>
      <c r="K551" s="84"/>
      <c r="L551" s="85"/>
      <c r="M551" s="40"/>
      <c r="N551" s="86"/>
      <c r="O551" s="86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>
      <c r="A552" s="40"/>
      <c r="B552" s="40"/>
      <c r="C552" s="40"/>
      <c r="D552" s="82"/>
      <c r="E552" s="83"/>
      <c r="F552" s="40"/>
      <c r="G552" s="40"/>
      <c r="H552" s="82"/>
      <c r="I552" s="84"/>
      <c r="J552" s="84"/>
      <c r="K552" s="84"/>
      <c r="L552" s="85"/>
      <c r="M552" s="40"/>
      <c r="N552" s="86"/>
      <c r="O552" s="86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>
      <c r="A553" s="40"/>
      <c r="B553" s="40"/>
      <c r="C553" s="40"/>
      <c r="D553" s="82"/>
      <c r="E553" s="83"/>
      <c r="F553" s="40"/>
      <c r="G553" s="40"/>
      <c r="H553" s="82"/>
      <c r="I553" s="84"/>
      <c r="J553" s="84"/>
      <c r="K553" s="84"/>
      <c r="L553" s="85"/>
      <c r="M553" s="40"/>
      <c r="N553" s="86"/>
      <c r="O553" s="86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>
      <c r="A554" s="40"/>
      <c r="B554" s="40"/>
      <c r="C554" s="40"/>
      <c r="D554" s="82"/>
      <c r="E554" s="83"/>
      <c r="F554" s="40"/>
      <c r="G554" s="40"/>
      <c r="H554" s="82"/>
      <c r="I554" s="84"/>
      <c r="J554" s="84"/>
      <c r="K554" s="84"/>
      <c r="L554" s="85"/>
      <c r="M554" s="40"/>
      <c r="N554" s="86"/>
      <c r="O554" s="86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>
      <c r="A555" s="40"/>
      <c r="B555" s="40"/>
      <c r="C555" s="40"/>
      <c r="D555" s="82"/>
      <c r="E555" s="83"/>
      <c r="F555" s="40"/>
      <c r="G555" s="40"/>
      <c r="H555" s="82"/>
      <c r="I555" s="84"/>
      <c r="J555" s="84"/>
      <c r="K555" s="84"/>
      <c r="L555" s="85"/>
      <c r="M555" s="40"/>
      <c r="N555" s="86"/>
      <c r="O555" s="86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>
      <c r="A556" s="40"/>
      <c r="B556" s="40"/>
      <c r="C556" s="40"/>
      <c r="D556" s="82"/>
      <c r="E556" s="83"/>
      <c r="F556" s="40"/>
      <c r="G556" s="40"/>
      <c r="H556" s="82"/>
      <c r="I556" s="84"/>
      <c r="J556" s="84"/>
      <c r="K556" s="84"/>
      <c r="L556" s="85"/>
      <c r="M556" s="40"/>
      <c r="N556" s="86"/>
      <c r="O556" s="86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>
      <c r="A557" s="40"/>
      <c r="B557" s="40"/>
      <c r="C557" s="40"/>
      <c r="D557" s="82"/>
      <c r="E557" s="83"/>
      <c r="F557" s="40"/>
      <c r="G557" s="40"/>
      <c r="H557" s="82"/>
      <c r="I557" s="84"/>
      <c r="J557" s="84"/>
      <c r="K557" s="84"/>
      <c r="L557" s="85"/>
      <c r="M557" s="40"/>
      <c r="N557" s="86"/>
      <c r="O557" s="86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>
      <c r="A558" s="40"/>
      <c r="B558" s="40"/>
      <c r="C558" s="40"/>
      <c r="D558" s="82"/>
      <c r="E558" s="83"/>
      <c r="F558" s="40"/>
      <c r="G558" s="40"/>
      <c r="H558" s="82"/>
      <c r="I558" s="84"/>
      <c r="J558" s="84"/>
      <c r="K558" s="84"/>
      <c r="L558" s="85"/>
      <c r="M558" s="40"/>
      <c r="N558" s="86"/>
      <c r="O558" s="86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>
      <c r="A559" s="40"/>
      <c r="B559" s="40"/>
      <c r="C559" s="40"/>
      <c r="D559" s="82"/>
      <c r="E559" s="83"/>
      <c r="F559" s="40"/>
      <c r="G559" s="40"/>
      <c r="H559" s="82"/>
      <c r="I559" s="84"/>
      <c r="J559" s="84"/>
      <c r="K559" s="84"/>
      <c r="L559" s="85"/>
      <c r="M559" s="40"/>
      <c r="N559" s="86"/>
      <c r="O559" s="86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>
      <c r="A560" s="40"/>
      <c r="B560" s="40"/>
      <c r="C560" s="40"/>
      <c r="D560" s="82"/>
      <c r="E560" s="83"/>
      <c r="F560" s="40"/>
      <c r="G560" s="40"/>
      <c r="H560" s="82"/>
      <c r="I560" s="84"/>
      <c r="J560" s="84"/>
      <c r="K560" s="84"/>
      <c r="L560" s="85"/>
      <c r="M560" s="40"/>
      <c r="N560" s="86"/>
      <c r="O560" s="86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>
      <c r="A561" s="40"/>
      <c r="B561" s="40"/>
      <c r="C561" s="40"/>
      <c r="D561" s="82"/>
      <c r="E561" s="83"/>
      <c r="F561" s="40"/>
      <c r="G561" s="40"/>
      <c r="H561" s="82"/>
      <c r="I561" s="84"/>
      <c r="J561" s="84"/>
      <c r="K561" s="84"/>
      <c r="L561" s="85"/>
      <c r="M561" s="40"/>
      <c r="N561" s="86"/>
      <c r="O561" s="86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>
      <c r="A562" s="40"/>
      <c r="B562" s="40"/>
      <c r="C562" s="40"/>
      <c r="D562" s="82"/>
      <c r="E562" s="83"/>
      <c r="F562" s="40"/>
      <c r="G562" s="40"/>
      <c r="H562" s="82"/>
      <c r="I562" s="84"/>
      <c r="J562" s="84"/>
      <c r="K562" s="84"/>
      <c r="L562" s="85"/>
      <c r="M562" s="40"/>
      <c r="N562" s="86"/>
      <c r="O562" s="86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>
      <c r="A563" s="40"/>
      <c r="B563" s="40"/>
      <c r="C563" s="40"/>
      <c r="D563" s="82"/>
      <c r="E563" s="83"/>
      <c r="F563" s="40"/>
      <c r="G563" s="40"/>
      <c r="H563" s="82"/>
      <c r="I563" s="84"/>
      <c r="J563" s="84"/>
      <c r="K563" s="84"/>
      <c r="L563" s="85"/>
      <c r="M563" s="40"/>
      <c r="N563" s="86"/>
      <c r="O563" s="86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>
      <c r="A564" s="40"/>
      <c r="B564" s="40"/>
      <c r="C564" s="40"/>
      <c r="D564" s="82"/>
      <c r="E564" s="83"/>
      <c r="F564" s="40"/>
      <c r="G564" s="40"/>
      <c r="H564" s="82"/>
      <c r="I564" s="84"/>
      <c r="J564" s="84"/>
      <c r="K564" s="84"/>
      <c r="L564" s="85"/>
      <c r="M564" s="40"/>
      <c r="N564" s="86"/>
      <c r="O564" s="86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>
      <c r="A565" s="40"/>
      <c r="B565" s="40"/>
      <c r="C565" s="40"/>
      <c r="D565" s="82"/>
      <c r="E565" s="83"/>
      <c r="F565" s="40"/>
      <c r="G565" s="40"/>
      <c r="H565" s="82"/>
      <c r="I565" s="84"/>
      <c r="J565" s="84"/>
      <c r="K565" s="84"/>
      <c r="L565" s="85"/>
      <c r="M565" s="40"/>
      <c r="N565" s="86"/>
      <c r="O565" s="86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>
      <c r="A566" s="40"/>
      <c r="B566" s="40"/>
      <c r="C566" s="40"/>
      <c r="D566" s="82"/>
      <c r="E566" s="83"/>
      <c r="F566" s="40"/>
      <c r="G566" s="40"/>
      <c r="H566" s="82"/>
      <c r="I566" s="84"/>
      <c r="J566" s="84"/>
      <c r="K566" s="84"/>
      <c r="L566" s="85"/>
      <c r="M566" s="40"/>
      <c r="N566" s="86"/>
      <c r="O566" s="86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>
      <c r="A567" s="40"/>
      <c r="B567" s="40"/>
      <c r="C567" s="40"/>
      <c r="D567" s="82"/>
      <c r="E567" s="83"/>
      <c r="F567" s="40"/>
      <c r="G567" s="40"/>
      <c r="H567" s="82"/>
      <c r="I567" s="84"/>
      <c r="J567" s="84"/>
      <c r="K567" s="84"/>
      <c r="L567" s="85"/>
      <c r="M567" s="40"/>
      <c r="N567" s="86"/>
      <c r="O567" s="86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>
      <c r="A568" s="40"/>
      <c r="B568" s="40"/>
      <c r="C568" s="40"/>
      <c r="D568" s="82"/>
      <c r="E568" s="83"/>
      <c r="F568" s="40"/>
      <c r="G568" s="40"/>
      <c r="H568" s="82"/>
      <c r="I568" s="84"/>
      <c r="J568" s="84"/>
      <c r="K568" s="84"/>
      <c r="L568" s="85"/>
      <c r="M568" s="40"/>
      <c r="N568" s="86"/>
      <c r="O568" s="86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>
      <c r="A569" s="40"/>
      <c r="B569" s="40"/>
      <c r="C569" s="40"/>
      <c r="D569" s="82"/>
      <c r="E569" s="83"/>
      <c r="F569" s="40"/>
      <c r="G569" s="40"/>
      <c r="H569" s="82"/>
      <c r="I569" s="84"/>
      <c r="J569" s="84"/>
      <c r="K569" s="84"/>
      <c r="L569" s="85"/>
      <c r="M569" s="40"/>
      <c r="N569" s="86"/>
      <c r="O569" s="86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>
      <c r="A570" s="40"/>
      <c r="B570" s="40"/>
      <c r="C570" s="40"/>
      <c r="D570" s="82"/>
      <c r="E570" s="83"/>
      <c r="F570" s="40"/>
      <c r="G570" s="40"/>
      <c r="H570" s="82"/>
      <c r="I570" s="84"/>
      <c r="J570" s="84"/>
      <c r="K570" s="84"/>
      <c r="L570" s="85"/>
      <c r="M570" s="40"/>
      <c r="N570" s="86"/>
      <c r="O570" s="86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>
      <c r="A571" s="40"/>
      <c r="B571" s="40"/>
      <c r="C571" s="40"/>
      <c r="D571" s="82"/>
      <c r="E571" s="83"/>
      <c r="F571" s="40"/>
      <c r="G571" s="40"/>
      <c r="H571" s="82"/>
      <c r="I571" s="84"/>
      <c r="J571" s="84"/>
      <c r="K571" s="84"/>
      <c r="L571" s="85"/>
      <c r="M571" s="40"/>
      <c r="N571" s="86"/>
      <c r="O571" s="86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>
      <c r="A572" s="40"/>
      <c r="B572" s="40"/>
      <c r="C572" s="40"/>
      <c r="D572" s="82"/>
      <c r="E572" s="83"/>
      <c r="F572" s="40"/>
      <c r="G572" s="40"/>
      <c r="H572" s="82"/>
      <c r="I572" s="84"/>
      <c r="J572" s="84"/>
      <c r="K572" s="84"/>
      <c r="L572" s="85"/>
      <c r="M572" s="40"/>
      <c r="N572" s="86"/>
      <c r="O572" s="86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>
      <c r="A573" s="40"/>
      <c r="B573" s="40"/>
      <c r="C573" s="40"/>
      <c r="D573" s="82"/>
      <c r="E573" s="83"/>
      <c r="F573" s="40"/>
      <c r="G573" s="40"/>
      <c r="H573" s="82"/>
      <c r="I573" s="84"/>
      <c r="J573" s="84"/>
      <c r="K573" s="84"/>
      <c r="L573" s="85"/>
      <c r="M573" s="40"/>
      <c r="N573" s="86"/>
      <c r="O573" s="86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>
      <c r="A574" s="40"/>
      <c r="B574" s="40"/>
      <c r="C574" s="40"/>
      <c r="D574" s="82"/>
      <c r="E574" s="83"/>
      <c r="F574" s="40"/>
      <c r="G574" s="40"/>
      <c r="H574" s="82"/>
      <c r="I574" s="84"/>
      <c r="J574" s="84"/>
      <c r="K574" s="84"/>
      <c r="L574" s="85"/>
      <c r="M574" s="40"/>
      <c r="N574" s="86"/>
      <c r="O574" s="86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>
      <c r="A575" s="40"/>
      <c r="B575" s="40"/>
      <c r="C575" s="40"/>
      <c r="D575" s="82"/>
      <c r="E575" s="83"/>
      <c r="F575" s="40"/>
      <c r="G575" s="40"/>
      <c r="H575" s="82"/>
      <c r="I575" s="84"/>
      <c r="J575" s="84"/>
      <c r="K575" s="84"/>
      <c r="L575" s="85"/>
      <c r="M575" s="40"/>
      <c r="N575" s="86"/>
      <c r="O575" s="86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>
      <c r="A576" s="40"/>
      <c r="B576" s="40"/>
      <c r="C576" s="40"/>
      <c r="D576" s="82"/>
      <c r="E576" s="83"/>
      <c r="F576" s="40"/>
      <c r="G576" s="40"/>
      <c r="H576" s="82"/>
      <c r="I576" s="84"/>
      <c r="J576" s="84"/>
      <c r="K576" s="84"/>
      <c r="L576" s="85"/>
      <c r="M576" s="40"/>
      <c r="N576" s="86"/>
      <c r="O576" s="86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>
      <c r="A577" s="40"/>
      <c r="B577" s="40"/>
      <c r="C577" s="40"/>
      <c r="D577" s="82"/>
      <c r="E577" s="83"/>
      <c r="F577" s="40"/>
      <c r="G577" s="40"/>
      <c r="H577" s="82"/>
      <c r="I577" s="84"/>
      <c r="J577" s="84"/>
      <c r="K577" s="84"/>
      <c r="L577" s="85"/>
      <c r="M577" s="40"/>
      <c r="N577" s="86"/>
      <c r="O577" s="86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>
      <c r="A578" s="40"/>
      <c r="B578" s="40"/>
      <c r="C578" s="40"/>
      <c r="D578" s="82"/>
      <c r="E578" s="83"/>
      <c r="F578" s="40"/>
      <c r="G578" s="40"/>
      <c r="H578" s="82"/>
      <c r="I578" s="84"/>
      <c r="J578" s="84"/>
      <c r="K578" s="84"/>
      <c r="L578" s="85"/>
      <c r="M578" s="40"/>
      <c r="N578" s="86"/>
      <c r="O578" s="86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>
      <c r="A579" s="40"/>
      <c r="B579" s="40"/>
      <c r="C579" s="40"/>
      <c r="D579" s="82"/>
      <c r="E579" s="83"/>
      <c r="F579" s="40"/>
      <c r="G579" s="40"/>
      <c r="H579" s="82"/>
      <c r="I579" s="84"/>
      <c r="J579" s="84"/>
      <c r="K579" s="84"/>
      <c r="L579" s="85"/>
      <c r="M579" s="40"/>
      <c r="N579" s="86"/>
      <c r="O579" s="86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>
      <c r="A580" s="40"/>
      <c r="B580" s="40"/>
      <c r="C580" s="40"/>
      <c r="D580" s="82"/>
      <c r="E580" s="83"/>
      <c r="F580" s="40"/>
      <c r="G580" s="40"/>
      <c r="H580" s="82"/>
      <c r="I580" s="84"/>
      <c r="J580" s="84"/>
      <c r="K580" s="84"/>
      <c r="L580" s="85"/>
      <c r="M580" s="40"/>
      <c r="N580" s="86"/>
      <c r="O580" s="86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>
      <c r="A581" s="40"/>
      <c r="B581" s="40"/>
      <c r="C581" s="40"/>
      <c r="D581" s="82"/>
      <c r="E581" s="83"/>
      <c r="F581" s="40"/>
      <c r="G581" s="40"/>
      <c r="H581" s="82"/>
      <c r="I581" s="84"/>
      <c r="J581" s="84"/>
      <c r="K581" s="84"/>
      <c r="L581" s="85"/>
      <c r="M581" s="40"/>
      <c r="N581" s="86"/>
      <c r="O581" s="86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>
      <c r="A582" s="40"/>
      <c r="B582" s="40"/>
      <c r="C582" s="40"/>
      <c r="D582" s="82"/>
      <c r="E582" s="83"/>
      <c r="F582" s="40"/>
      <c r="G582" s="40"/>
      <c r="H582" s="82"/>
      <c r="I582" s="84"/>
      <c r="J582" s="84"/>
      <c r="K582" s="84"/>
      <c r="L582" s="85"/>
      <c r="M582" s="40"/>
      <c r="N582" s="86"/>
      <c r="O582" s="86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>
      <c r="A583" s="40"/>
      <c r="B583" s="40"/>
      <c r="C583" s="40"/>
      <c r="D583" s="82"/>
      <c r="E583" s="83"/>
      <c r="F583" s="40"/>
      <c r="G583" s="40"/>
      <c r="H583" s="82"/>
      <c r="I583" s="84"/>
      <c r="J583" s="84"/>
      <c r="K583" s="84"/>
      <c r="L583" s="85"/>
      <c r="M583" s="40"/>
      <c r="N583" s="86"/>
      <c r="O583" s="86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>
      <c r="A584" s="40"/>
      <c r="B584" s="40"/>
      <c r="C584" s="40"/>
      <c r="D584" s="82"/>
      <c r="E584" s="83"/>
      <c r="F584" s="40"/>
      <c r="G584" s="40"/>
      <c r="H584" s="82"/>
      <c r="I584" s="84"/>
      <c r="J584" s="84"/>
      <c r="K584" s="84"/>
      <c r="L584" s="85"/>
      <c r="M584" s="40"/>
      <c r="N584" s="86"/>
      <c r="O584" s="86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>
      <c r="A585" s="40"/>
      <c r="B585" s="40"/>
      <c r="C585" s="40"/>
      <c r="D585" s="82"/>
      <c r="E585" s="83"/>
      <c r="F585" s="40"/>
      <c r="G585" s="40"/>
      <c r="H585" s="82"/>
      <c r="I585" s="84"/>
      <c r="J585" s="84"/>
      <c r="K585" s="84"/>
      <c r="L585" s="85"/>
      <c r="M585" s="40"/>
      <c r="N585" s="86"/>
      <c r="O585" s="86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>
      <c r="A586" s="40"/>
      <c r="B586" s="40"/>
      <c r="C586" s="40"/>
      <c r="D586" s="82"/>
      <c r="E586" s="83"/>
      <c r="F586" s="40"/>
      <c r="G586" s="40"/>
      <c r="H586" s="82"/>
      <c r="I586" s="84"/>
      <c r="J586" s="84"/>
      <c r="K586" s="84"/>
      <c r="L586" s="85"/>
      <c r="M586" s="40"/>
      <c r="N586" s="86"/>
      <c r="O586" s="86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>
      <c r="A587" s="40"/>
      <c r="B587" s="40"/>
      <c r="C587" s="40"/>
      <c r="D587" s="82"/>
      <c r="E587" s="83"/>
      <c r="F587" s="40"/>
      <c r="G587" s="40"/>
      <c r="H587" s="82"/>
      <c r="I587" s="84"/>
      <c r="J587" s="84"/>
      <c r="K587" s="84"/>
      <c r="L587" s="85"/>
      <c r="M587" s="40"/>
      <c r="N587" s="86"/>
      <c r="O587" s="86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>
      <c r="A588" s="40"/>
      <c r="B588" s="40"/>
      <c r="C588" s="40"/>
      <c r="D588" s="82"/>
      <c r="E588" s="83"/>
      <c r="F588" s="40"/>
      <c r="G588" s="40"/>
      <c r="H588" s="82"/>
      <c r="I588" s="84"/>
      <c r="J588" s="84"/>
      <c r="K588" s="84"/>
      <c r="L588" s="85"/>
      <c r="M588" s="40"/>
      <c r="N588" s="86"/>
      <c r="O588" s="86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>
      <c r="A589" s="40"/>
      <c r="B589" s="40"/>
      <c r="C589" s="40"/>
      <c r="D589" s="82"/>
      <c r="E589" s="83"/>
      <c r="F589" s="40"/>
      <c r="G589" s="40"/>
      <c r="H589" s="82"/>
      <c r="I589" s="84"/>
      <c r="J589" s="84"/>
      <c r="K589" s="84"/>
      <c r="L589" s="85"/>
      <c r="M589" s="40"/>
      <c r="N589" s="86"/>
      <c r="O589" s="86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>
      <c r="A590" s="40"/>
      <c r="B590" s="40"/>
      <c r="C590" s="40"/>
      <c r="D590" s="82"/>
      <c r="E590" s="83"/>
      <c r="F590" s="40"/>
      <c r="G590" s="40"/>
      <c r="H590" s="82"/>
      <c r="I590" s="84"/>
      <c r="J590" s="84"/>
      <c r="K590" s="84"/>
      <c r="L590" s="85"/>
      <c r="M590" s="40"/>
      <c r="N590" s="86"/>
      <c r="O590" s="86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>
      <c r="A591" s="40"/>
      <c r="B591" s="40"/>
      <c r="C591" s="40"/>
      <c r="D591" s="82"/>
      <c r="E591" s="83"/>
      <c r="F591" s="40"/>
      <c r="G591" s="40"/>
      <c r="H591" s="82"/>
      <c r="I591" s="84"/>
      <c r="J591" s="84"/>
      <c r="K591" s="84"/>
      <c r="L591" s="85"/>
      <c r="M591" s="40"/>
      <c r="N591" s="86"/>
      <c r="O591" s="86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>
      <c r="A592" s="40"/>
      <c r="B592" s="40"/>
      <c r="C592" s="40"/>
      <c r="D592" s="82"/>
      <c r="E592" s="83"/>
      <c r="F592" s="40"/>
      <c r="G592" s="40"/>
      <c r="H592" s="82"/>
      <c r="I592" s="84"/>
      <c r="J592" s="84"/>
      <c r="K592" s="84"/>
      <c r="L592" s="85"/>
      <c r="M592" s="40"/>
      <c r="N592" s="86"/>
      <c r="O592" s="86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>
      <c r="A593" s="40"/>
      <c r="B593" s="40"/>
      <c r="C593" s="40"/>
      <c r="D593" s="82"/>
      <c r="E593" s="83"/>
      <c r="F593" s="40"/>
      <c r="G593" s="40"/>
      <c r="H593" s="82"/>
      <c r="I593" s="84"/>
      <c r="J593" s="84"/>
      <c r="K593" s="84"/>
      <c r="L593" s="85"/>
      <c r="M593" s="40"/>
      <c r="N593" s="86"/>
      <c r="O593" s="86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>
      <c r="A594" s="40"/>
      <c r="B594" s="40"/>
      <c r="C594" s="40"/>
      <c r="D594" s="82"/>
      <c r="E594" s="83"/>
      <c r="F594" s="40"/>
      <c r="G594" s="40"/>
      <c r="H594" s="82"/>
      <c r="I594" s="84"/>
      <c r="J594" s="84"/>
      <c r="K594" s="84"/>
      <c r="L594" s="85"/>
      <c r="M594" s="40"/>
      <c r="N594" s="86"/>
      <c r="O594" s="86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>
      <c r="A595" s="40"/>
      <c r="B595" s="40"/>
      <c r="C595" s="40"/>
      <c r="D595" s="82"/>
      <c r="E595" s="83"/>
      <c r="F595" s="40"/>
      <c r="G595" s="40"/>
      <c r="H595" s="82"/>
      <c r="I595" s="84"/>
      <c r="J595" s="84"/>
      <c r="K595" s="84"/>
      <c r="L595" s="85"/>
      <c r="M595" s="40"/>
      <c r="N595" s="86"/>
      <c r="O595" s="86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>
      <c r="A596" s="40"/>
      <c r="B596" s="40"/>
      <c r="C596" s="40"/>
      <c r="D596" s="82"/>
      <c r="E596" s="83"/>
      <c r="F596" s="40"/>
      <c r="G596" s="40"/>
      <c r="H596" s="82"/>
      <c r="I596" s="84"/>
      <c r="J596" s="84"/>
      <c r="K596" s="84"/>
      <c r="L596" s="85"/>
      <c r="M596" s="40"/>
      <c r="N596" s="86"/>
      <c r="O596" s="86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>
      <c r="A597" s="40"/>
      <c r="B597" s="40"/>
      <c r="C597" s="40"/>
      <c r="D597" s="82"/>
      <c r="E597" s="83"/>
      <c r="F597" s="40"/>
      <c r="G597" s="40"/>
      <c r="H597" s="82"/>
      <c r="I597" s="84"/>
      <c r="J597" s="84"/>
      <c r="K597" s="84"/>
      <c r="L597" s="85"/>
      <c r="M597" s="40"/>
      <c r="N597" s="86"/>
      <c r="O597" s="86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>
      <c r="A598" s="40"/>
      <c r="B598" s="40"/>
      <c r="C598" s="40"/>
      <c r="D598" s="82"/>
      <c r="E598" s="83"/>
      <c r="F598" s="40"/>
      <c r="G598" s="40"/>
      <c r="H598" s="82"/>
      <c r="I598" s="84"/>
      <c r="J598" s="84"/>
      <c r="K598" s="84"/>
      <c r="L598" s="85"/>
      <c r="M598" s="40"/>
      <c r="N598" s="86"/>
      <c r="O598" s="86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>
      <c r="A599" s="40"/>
      <c r="B599" s="40"/>
      <c r="C599" s="40"/>
      <c r="D599" s="82"/>
      <c r="E599" s="83"/>
      <c r="F599" s="40"/>
      <c r="G599" s="40"/>
      <c r="H599" s="82"/>
      <c r="I599" s="84"/>
      <c r="J599" s="84"/>
      <c r="K599" s="84"/>
      <c r="L599" s="85"/>
      <c r="M599" s="40"/>
      <c r="N599" s="86"/>
      <c r="O599" s="86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>
      <c r="A600" s="40"/>
      <c r="B600" s="40"/>
      <c r="C600" s="40"/>
      <c r="D600" s="82"/>
      <c r="E600" s="83"/>
      <c r="F600" s="40"/>
      <c r="G600" s="40"/>
      <c r="H600" s="82"/>
      <c r="I600" s="84"/>
      <c r="J600" s="84"/>
      <c r="K600" s="84"/>
      <c r="L600" s="85"/>
      <c r="M600" s="40"/>
      <c r="N600" s="86"/>
      <c r="O600" s="86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>
      <c r="A601" s="40"/>
      <c r="B601" s="40"/>
      <c r="C601" s="40"/>
      <c r="D601" s="82"/>
      <c r="E601" s="83"/>
      <c r="F601" s="40"/>
      <c r="G601" s="40"/>
      <c r="H601" s="82"/>
      <c r="I601" s="84"/>
      <c r="J601" s="84"/>
      <c r="K601" s="84"/>
      <c r="L601" s="85"/>
      <c r="M601" s="40"/>
      <c r="N601" s="86"/>
      <c r="O601" s="86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>
      <c r="A602" s="40"/>
      <c r="B602" s="40"/>
      <c r="C602" s="40"/>
      <c r="D602" s="82"/>
      <c r="E602" s="83"/>
      <c r="F602" s="40"/>
      <c r="G602" s="40"/>
      <c r="H602" s="82"/>
      <c r="I602" s="84"/>
      <c r="J602" s="84"/>
      <c r="K602" s="84"/>
      <c r="L602" s="85"/>
      <c r="M602" s="40"/>
      <c r="N602" s="86"/>
      <c r="O602" s="86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>
      <c r="A603" s="40"/>
      <c r="B603" s="40"/>
      <c r="C603" s="40"/>
      <c r="D603" s="82"/>
      <c r="E603" s="83"/>
      <c r="F603" s="40"/>
      <c r="G603" s="40"/>
      <c r="H603" s="82"/>
      <c r="I603" s="84"/>
      <c r="J603" s="84"/>
      <c r="K603" s="84"/>
      <c r="L603" s="85"/>
      <c r="M603" s="40"/>
      <c r="N603" s="86"/>
      <c r="O603" s="86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>
      <c r="A604" s="40"/>
      <c r="B604" s="40"/>
      <c r="C604" s="40"/>
      <c r="D604" s="82"/>
      <c r="E604" s="83"/>
      <c r="F604" s="40"/>
      <c r="G604" s="40"/>
      <c r="H604" s="82"/>
      <c r="I604" s="84"/>
      <c r="J604" s="84"/>
      <c r="K604" s="84"/>
      <c r="L604" s="85"/>
      <c r="M604" s="40"/>
      <c r="N604" s="86"/>
      <c r="O604" s="86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>
      <c r="A605" s="40"/>
      <c r="B605" s="40"/>
      <c r="C605" s="40"/>
      <c r="D605" s="82"/>
      <c r="E605" s="83"/>
      <c r="F605" s="40"/>
      <c r="G605" s="40"/>
      <c r="H605" s="82"/>
      <c r="I605" s="84"/>
      <c r="J605" s="84"/>
      <c r="K605" s="84"/>
      <c r="L605" s="85"/>
      <c r="M605" s="40"/>
      <c r="N605" s="86"/>
      <c r="O605" s="86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>
      <c r="A606" s="40"/>
      <c r="B606" s="40"/>
      <c r="C606" s="40"/>
      <c r="D606" s="82"/>
      <c r="E606" s="83"/>
      <c r="F606" s="40"/>
      <c r="G606" s="40"/>
      <c r="H606" s="82"/>
      <c r="I606" s="84"/>
      <c r="J606" s="84"/>
      <c r="K606" s="84"/>
      <c r="L606" s="85"/>
      <c r="M606" s="40"/>
      <c r="N606" s="86"/>
      <c r="O606" s="86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>
      <c r="A607" s="40"/>
      <c r="B607" s="40"/>
      <c r="C607" s="40"/>
      <c r="D607" s="82"/>
      <c r="E607" s="83"/>
      <c r="F607" s="40"/>
      <c r="G607" s="40"/>
      <c r="H607" s="82"/>
      <c r="I607" s="84"/>
      <c r="J607" s="84"/>
      <c r="K607" s="84"/>
      <c r="L607" s="85"/>
      <c r="M607" s="40"/>
      <c r="N607" s="86"/>
      <c r="O607" s="86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>
      <c r="A608" s="40"/>
      <c r="B608" s="40"/>
      <c r="C608" s="40"/>
      <c r="D608" s="82"/>
      <c r="E608" s="83"/>
      <c r="F608" s="40"/>
      <c r="G608" s="40"/>
      <c r="H608" s="82"/>
      <c r="I608" s="84"/>
      <c r="J608" s="84"/>
      <c r="K608" s="84"/>
      <c r="L608" s="85"/>
      <c r="M608" s="40"/>
      <c r="N608" s="86"/>
      <c r="O608" s="86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>
      <c r="A609" s="40"/>
      <c r="B609" s="40"/>
      <c r="C609" s="40"/>
      <c r="D609" s="82"/>
      <c r="E609" s="83"/>
      <c r="F609" s="40"/>
      <c r="G609" s="40"/>
      <c r="H609" s="82"/>
      <c r="I609" s="84"/>
      <c r="J609" s="84"/>
      <c r="K609" s="84"/>
      <c r="L609" s="85"/>
      <c r="M609" s="40"/>
      <c r="N609" s="86"/>
      <c r="O609" s="86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>
      <c r="A610" s="40"/>
      <c r="B610" s="40"/>
      <c r="C610" s="40"/>
      <c r="D610" s="82"/>
      <c r="E610" s="83"/>
      <c r="F610" s="40"/>
      <c r="G610" s="40"/>
      <c r="H610" s="82"/>
      <c r="I610" s="84"/>
      <c r="J610" s="84"/>
      <c r="K610" s="84"/>
      <c r="L610" s="85"/>
      <c r="M610" s="40"/>
      <c r="N610" s="86"/>
      <c r="O610" s="86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>
      <c r="A611" s="40"/>
      <c r="B611" s="40"/>
      <c r="C611" s="40"/>
      <c r="D611" s="82"/>
      <c r="E611" s="83"/>
      <c r="F611" s="40"/>
      <c r="G611" s="40"/>
      <c r="H611" s="82"/>
      <c r="I611" s="84"/>
      <c r="J611" s="84"/>
      <c r="K611" s="84"/>
      <c r="L611" s="85"/>
      <c r="M611" s="40"/>
      <c r="N611" s="86"/>
      <c r="O611" s="86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>
      <c r="A612" s="40"/>
      <c r="B612" s="40"/>
      <c r="C612" s="40"/>
      <c r="D612" s="82"/>
      <c r="E612" s="83"/>
      <c r="F612" s="40"/>
      <c r="G612" s="40"/>
      <c r="H612" s="82"/>
      <c r="I612" s="84"/>
      <c r="J612" s="84"/>
      <c r="K612" s="84"/>
      <c r="L612" s="85"/>
      <c r="M612" s="40"/>
      <c r="N612" s="86"/>
      <c r="O612" s="86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>
      <c r="A613" s="40"/>
      <c r="B613" s="40"/>
      <c r="C613" s="40"/>
      <c r="D613" s="82"/>
      <c r="E613" s="83"/>
      <c r="F613" s="40"/>
      <c r="G613" s="40"/>
      <c r="H613" s="82"/>
      <c r="I613" s="84"/>
      <c r="J613" s="84"/>
      <c r="K613" s="84"/>
      <c r="L613" s="85"/>
      <c r="M613" s="40"/>
      <c r="N613" s="86"/>
      <c r="O613" s="86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>
      <c r="A614" s="40"/>
      <c r="B614" s="40"/>
      <c r="C614" s="40"/>
      <c r="D614" s="82"/>
      <c r="E614" s="83"/>
      <c r="F614" s="40"/>
      <c r="G614" s="40"/>
      <c r="H614" s="82"/>
      <c r="I614" s="84"/>
      <c r="J614" s="84"/>
      <c r="K614" s="84"/>
      <c r="L614" s="85"/>
      <c r="M614" s="40"/>
      <c r="N614" s="86"/>
      <c r="O614" s="86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>
      <c r="A615" s="40"/>
      <c r="B615" s="40"/>
      <c r="C615" s="40"/>
      <c r="D615" s="82"/>
      <c r="E615" s="83"/>
      <c r="F615" s="40"/>
      <c r="G615" s="40"/>
      <c r="H615" s="82"/>
      <c r="I615" s="84"/>
      <c r="J615" s="84"/>
      <c r="K615" s="84"/>
      <c r="L615" s="85"/>
      <c r="M615" s="40"/>
      <c r="N615" s="86"/>
      <c r="O615" s="86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>
      <c r="A616" s="40"/>
      <c r="B616" s="40"/>
      <c r="C616" s="40"/>
      <c r="D616" s="82"/>
      <c r="E616" s="83"/>
      <c r="F616" s="40"/>
      <c r="G616" s="40"/>
      <c r="H616" s="82"/>
      <c r="I616" s="84"/>
      <c r="J616" s="84"/>
      <c r="K616" s="84"/>
      <c r="L616" s="85"/>
      <c r="M616" s="40"/>
      <c r="N616" s="86"/>
      <c r="O616" s="86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>
      <c r="A617" s="40"/>
      <c r="B617" s="40"/>
      <c r="C617" s="40"/>
      <c r="D617" s="82"/>
      <c r="E617" s="83"/>
      <c r="F617" s="40"/>
      <c r="G617" s="40"/>
      <c r="H617" s="82"/>
      <c r="I617" s="84"/>
      <c r="J617" s="84"/>
      <c r="K617" s="84"/>
      <c r="L617" s="85"/>
      <c r="M617" s="40"/>
      <c r="N617" s="86"/>
      <c r="O617" s="86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>
      <c r="A618" s="40"/>
      <c r="B618" s="40"/>
      <c r="C618" s="40"/>
      <c r="D618" s="82"/>
      <c r="E618" s="83"/>
      <c r="F618" s="40"/>
      <c r="G618" s="40"/>
      <c r="H618" s="82"/>
      <c r="I618" s="84"/>
      <c r="J618" s="84"/>
      <c r="K618" s="84"/>
      <c r="L618" s="85"/>
      <c r="M618" s="40"/>
      <c r="N618" s="86"/>
      <c r="O618" s="86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>
      <c r="A619" s="40"/>
      <c r="B619" s="40"/>
      <c r="C619" s="40"/>
      <c r="D619" s="82"/>
      <c r="E619" s="83"/>
      <c r="F619" s="40"/>
      <c r="G619" s="40"/>
      <c r="H619" s="82"/>
      <c r="I619" s="84"/>
      <c r="J619" s="84"/>
      <c r="K619" s="84"/>
      <c r="L619" s="85"/>
      <c r="M619" s="40"/>
      <c r="N619" s="86"/>
      <c r="O619" s="86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>
      <c r="A620" s="40"/>
      <c r="B620" s="40"/>
      <c r="C620" s="40"/>
      <c r="D620" s="82"/>
      <c r="E620" s="83"/>
      <c r="F620" s="40"/>
      <c r="G620" s="40"/>
      <c r="H620" s="82"/>
      <c r="I620" s="84"/>
      <c r="J620" s="84"/>
      <c r="K620" s="84"/>
      <c r="L620" s="85"/>
      <c r="M620" s="40"/>
      <c r="N620" s="86"/>
      <c r="O620" s="86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>
      <c r="A621" s="40"/>
      <c r="B621" s="40"/>
      <c r="C621" s="40"/>
      <c r="D621" s="82"/>
      <c r="E621" s="83"/>
      <c r="F621" s="40"/>
      <c r="G621" s="40"/>
      <c r="H621" s="82"/>
      <c r="I621" s="84"/>
      <c r="J621" s="84"/>
      <c r="K621" s="84"/>
      <c r="L621" s="85"/>
      <c r="M621" s="40"/>
      <c r="N621" s="86"/>
      <c r="O621" s="86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>
      <c r="A622" s="40"/>
      <c r="B622" s="40"/>
      <c r="C622" s="40"/>
      <c r="D622" s="82"/>
      <c r="E622" s="83"/>
      <c r="F622" s="40"/>
      <c r="G622" s="40"/>
      <c r="H622" s="82"/>
      <c r="I622" s="84"/>
      <c r="J622" s="84"/>
      <c r="K622" s="84"/>
      <c r="L622" s="85"/>
      <c r="M622" s="40"/>
      <c r="N622" s="86"/>
      <c r="O622" s="86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>
      <c r="A623" s="40"/>
      <c r="B623" s="40"/>
      <c r="C623" s="40"/>
      <c r="D623" s="82"/>
      <c r="E623" s="83"/>
      <c r="F623" s="40"/>
      <c r="G623" s="40"/>
      <c r="H623" s="82"/>
      <c r="I623" s="84"/>
      <c r="J623" s="84"/>
      <c r="K623" s="84"/>
      <c r="L623" s="85"/>
      <c r="M623" s="40"/>
      <c r="N623" s="86"/>
      <c r="O623" s="86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>
      <c r="A624" s="40"/>
      <c r="B624" s="40"/>
      <c r="C624" s="40"/>
      <c r="D624" s="82"/>
      <c r="E624" s="83"/>
      <c r="F624" s="40"/>
      <c r="G624" s="40"/>
      <c r="H624" s="82"/>
      <c r="I624" s="84"/>
      <c r="J624" s="84"/>
      <c r="K624" s="84"/>
      <c r="L624" s="85"/>
      <c r="M624" s="40"/>
      <c r="N624" s="86"/>
      <c r="O624" s="86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>
      <c r="A625" s="40"/>
      <c r="B625" s="40"/>
      <c r="C625" s="40"/>
      <c r="D625" s="82"/>
      <c r="E625" s="83"/>
      <c r="F625" s="40"/>
      <c r="G625" s="40"/>
      <c r="H625" s="82"/>
      <c r="I625" s="84"/>
      <c r="J625" s="84"/>
      <c r="K625" s="84"/>
      <c r="L625" s="85"/>
      <c r="M625" s="40"/>
      <c r="N625" s="86"/>
      <c r="O625" s="86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>
      <c r="A626" s="40"/>
      <c r="B626" s="40"/>
      <c r="C626" s="40"/>
      <c r="D626" s="82"/>
      <c r="E626" s="83"/>
      <c r="F626" s="40"/>
      <c r="G626" s="40"/>
      <c r="H626" s="82"/>
      <c r="I626" s="84"/>
      <c r="J626" s="84"/>
      <c r="K626" s="84"/>
      <c r="L626" s="85"/>
      <c r="M626" s="40"/>
      <c r="N626" s="86"/>
      <c r="O626" s="86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>
      <c r="A627" s="40"/>
      <c r="B627" s="40"/>
      <c r="C627" s="40"/>
      <c r="D627" s="82"/>
      <c r="E627" s="83"/>
      <c r="F627" s="40"/>
      <c r="G627" s="40"/>
      <c r="H627" s="82"/>
      <c r="I627" s="84"/>
      <c r="J627" s="84"/>
      <c r="K627" s="84"/>
      <c r="L627" s="85"/>
      <c r="M627" s="40"/>
      <c r="N627" s="86"/>
      <c r="O627" s="86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>
      <c r="A628" s="40"/>
      <c r="B628" s="40"/>
      <c r="C628" s="40"/>
      <c r="D628" s="82"/>
      <c r="E628" s="83"/>
      <c r="F628" s="40"/>
      <c r="G628" s="40"/>
      <c r="H628" s="82"/>
      <c r="I628" s="84"/>
      <c r="J628" s="84"/>
      <c r="K628" s="84"/>
      <c r="L628" s="85"/>
      <c r="M628" s="40"/>
      <c r="N628" s="86"/>
      <c r="O628" s="86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>
      <c r="A629" s="40"/>
      <c r="B629" s="40"/>
      <c r="C629" s="40"/>
      <c r="D629" s="82"/>
      <c r="E629" s="83"/>
      <c r="F629" s="40"/>
      <c r="G629" s="40"/>
      <c r="H629" s="82"/>
      <c r="I629" s="84"/>
      <c r="J629" s="84"/>
      <c r="K629" s="84"/>
      <c r="L629" s="85"/>
      <c r="M629" s="40"/>
      <c r="N629" s="86"/>
      <c r="O629" s="86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>
      <c r="A630" s="40"/>
      <c r="B630" s="40"/>
      <c r="C630" s="40"/>
      <c r="D630" s="82"/>
      <c r="E630" s="83"/>
      <c r="F630" s="40"/>
      <c r="G630" s="40"/>
      <c r="H630" s="82"/>
      <c r="I630" s="84"/>
      <c r="J630" s="84"/>
      <c r="K630" s="84"/>
      <c r="L630" s="85"/>
      <c r="M630" s="40"/>
      <c r="N630" s="86"/>
      <c r="O630" s="86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>
      <c r="A631" s="40"/>
      <c r="B631" s="40"/>
      <c r="C631" s="40"/>
      <c r="D631" s="82"/>
      <c r="E631" s="83"/>
      <c r="F631" s="40"/>
      <c r="G631" s="40"/>
      <c r="H631" s="82"/>
      <c r="I631" s="84"/>
      <c r="J631" s="84"/>
      <c r="K631" s="84"/>
      <c r="L631" s="85"/>
      <c r="M631" s="40"/>
      <c r="N631" s="86"/>
      <c r="O631" s="86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>
      <c r="A632" s="40"/>
      <c r="B632" s="40"/>
      <c r="C632" s="40"/>
      <c r="D632" s="82"/>
      <c r="E632" s="83"/>
      <c r="F632" s="40"/>
      <c r="G632" s="40"/>
      <c r="H632" s="82"/>
      <c r="I632" s="84"/>
      <c r="J632" s="84"/>
      <c r="K632" s="84"/>
      <c r="L632" s="85"/>
      <c r="M632" s="40"/>
      <c r="N632" s="86"/>
      <c r="O632" s="86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>
      <c r="A633" s="40"/>
      <c r="B633" s="40"/>
      <c r="C633" s="40"/>
      <c r="D633" s="82"/>
      <c r="E633" s="83"/>
      <c r="F633" s="40"/>
      <c r="G633" s="40"/>
      <c r="H633" s="82"/>
      <c r="I633" s="84"/>
      <c r="J633" s="84"/>
      <c r="K633" s="84"/>
      <c r="L633" s="85"/>
      <c r="M633" s="40"/>
      <c r="N633" s="86"/>
      <c r="O633" s="86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>
      <c r="A634" s="40"/>
      <c r="B634" s="40"/>
      <c r="C634" s="40"/>
      <c r="D634" s="82"/>
      <c r="E634" s="83"/>
      <c r="F634" s="40"/>
      <c r="G634" s="40"/>
      <c r="H634" s="82"/>
      <c r="I634" s="84"/>
      <c r="J634" s="84"/>
      <c r="K634" s="84"/>
      <c r="L634" s="85"/>
      <c r="M634" s="40"/>
      <c r="N634" s="86"/>
      <c r="O634" s="86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>
      <c r="A635" s="40"/>
      <c r="B635" s="40"/>
      <c r="C635" s="40"/>
      <c r="D635" s="82"/>
      <c r="E635" s="83"/>
      <c r="F635" s="40"/>
      <c r="G635" s="40"/>
      <c r="H635" s="82"/>
      <c r="I635" s="84"/>
      <c r="J635" s="84"/>
      <c r="K635" s="84"/>
      <c r="L635" s="85"/>
      <c r="M635" s="40"/>
      <c r="N635" s="86"/>
      <c r="O635" s="86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>
      <c r="A636" s="40"/>
      <c r="B636" s="40"/>
      <c r="C636" s="40"/>
      <c r="D636" s="82"/>
      <c r="E636" s="83"/>
      <c r="F636" s="40"/>
      <c r="G636" s="40"/>
      <c r="H636" s="82"/>
      <c r="I636" s="84"/>
      <c r="J636" s="84"/>
      <c r="K636" s="84"/>
      <c r="L636" s="85"/>
      <c r="M636" s="40"/>
      <c r="N636" s="86"/>
      <c r="O636" s="86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>
      <c r="A637" s="40"/>
      <c r="B637" s="40"/>
      <c r="C637" s="40"/>
      <c r="D637" s="82"/>
      <c r="E637" s="83"/>
      <c r="F637" s="40"/>
      <c r="G637" s="40"/>
      <c r="H637" s="82"/>
      <c r="I637" s="84"/>
      <c r="J637" s="84"/>
      <c r="K637" s="84"/>
      <c r="L637" s="85"/>
      <c r="M637" s="40"/>
      <c r="N637" s="86"/>
      <c r="O637" s="86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>
      <c r="A638" s="40"/>
      <c r="B638" s="40"/>
      <c r="C638" s="40"/>
      <c r="D638" s="82"/>
      <c r="E638" s="83"/>
      <c r="F638" s="40"/>
      <c r="G638" s="40"/>
      <c r="H638" s="82"/>
      <c r="I638" s="84"/>
      <c r="J638" s="84"/>
      <c r="K638" s="84"/>
      <c r="L638" s="85"/>
      <c r="M638" s="40"/>
      <c r="N638" s="86"/>
      <c r="O638" s="86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>
      <c r="A639" s="40"/>
      <c r="B639" s="40"/>
      <c r="C639" s="40"/>
      <c r="D639" s="82"/>
      <c r="E639" s="83"/>
      <c r="F639" s="40"/>
      <c r="G639" s="40"/>
      <c r="H639" s="82"/>
      <c r="I639" s="84"/>
      <c r="J639" s="84"/>
      <c r="K639" s="84"/>
      <c r="L639" s="85"/>
      <c r="M639" s="40"/>
      <c r="N639" s="86"/>
      <c r="O639" s="86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>
      <c r="A640" s="40"/>
      <c r="B640" s="40"/>
      <c r="C640" s="40"/>
      <c r="D640" s="82"/>
      <c r="E640" s="83"/>
      <c r="F640" s="40"/>
      <c r="G640" s="40"/>
      <c r="H640" s="82"/>
      <c r="I640" s="84"/>
      <c r="J640" s="84"/>
      <c r="K640" s="84"/>
      <c r="L640" s="85"/>
      <c r="M640" s="40"/>
      <c r="N640" s="86"/>
      <c r="O640" s="86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>
      <c r="A641" s="40"/>
      <c r="B641" s="40"/>
      <c r="C641" s="40"/>
      <c r="D641" s="82"/>
      <c r="E641" s="83"/>
      <c r="F641" s="40"/>
      <c r="G641" s="40"/>
      <c r="H641" s="82"/>
      <c r="I641" s="84"/>
      <c r="J641" s="84"/>
      <c r="K641" s="84"/>
      <c r="L641" s="85"/>
      <c r="M641" s="40"/>
      <c r="N641" s="86"/>
      <c r="O641" s="86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>
      <c r="A642" s="40"/>
      <c r="B642" s="40"/>
      <c r="C642" s="40"/>
      <c r="D642" s="82"/>
      <c r="E642" s="83"/>
      <c r="F642" s="40"/>
      <c r="G642" s="40"/>
      <c r="H642" s="82"/>
      <c r="I642" s="84"/>
      <c r="J642" s="84"/>
      <c r="K642" s="84"/>
      <c r="L642" s="85"/>
      <c r="M642" s="40"/>
      <c r="N642" s="86"/>
      <c r="O642" s="86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>
      <c r="A643" s="40"/>
      <c r="B643" s="40"/>
      <c r="C643" s="40"/>
      <c r="D643" s="82"/>
      <c r="E643" s="83"/>
      <c r="F643" s="40"/>
      <c r="G643" s="40"/>
      <c r="H643" s="82"/>
      <c r="I643" s="84"/>
      <c r="J643" s="84"/>
      <c r="K643" s="84"/>
      <c r="L643" s="85"/>
      <c r="M643" s="40"/>
      <c r="N643" s="86"/>
      <c r="O643" s="86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>
      <c r="A644" s="40"/>
      <c r="B644" s="40"/>
      <c r="C644" s="40"/>
      <c r="D644" s="82"/>
      <c r="E644" s="83"/>
      <c r="F644" s="40"/>
      <c r="G644" s="40"/>
      <c r="H644" s="82"/>
      <c r="I644" s="84"/>
      <c r="J644" s="84"/>
      <c r="K644" s="84"/>
      <c r="L644" s="85"/>
      <c r="M644" s="40"/>
      <c r="N644" s="86"/>
      <c r="O644" s="86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>
      <c r="A645" s="40"/>
      <c r="B645" s="40"/>
      <c r="C645" s="40"/>
      <c r="D645" s="82"/>
      <c r="E645" s="83"/>
      <c r="F645" s="40"/>
      <c r="G645" s="40"/>
      <c r="H645" s="82"/>
      <c r="I645" s="84"/>
      <c r="J645" s="84"/>
      <c r="K645" s="84"/>
      <c r="L645" s="85"/>
      <c r="M645" s="40"/>
      <c r="N645" s="86"/>
      <c r="O645" s="86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>
      <c r="A646" s="40"/>
      <c r="B646" s="40"/>
      <c r="C646" s="40"/>
      <c r="D646" s="82"/>
      <c r="E646" s="83"/>
      <c r="F646" s="40"/>
      <c r="G646" s="40"/>
      <c r="H646" s="82"/>
      <c r="I646" s="84"/>
      <c r="J646" s="84"/>
      <c r="K646" s="84"/>
      <c r="L646" s="85"/>
      <c r="M646" s="40"/>
      <c r="N646" s="86"/>
      <c r="O646" s="86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>
      <c r="A647" s="40"/>
      <c r="B647" s="40"/>
      <c r="C647" s="40"/>
      <c r="D647" s="82"/>
      <c r="E647" s="83"/>
      <c r="F647" s="40"/>
      <c r="G647" s="40"/>
      <c r="H647" s="82"/>
      <c r="I647" s="84"/>
      <c r="J647" s="84"/>
      <c r="K647" s="84"/>
      <c r="L647" s="85"/>
      <c r="M647" s="40"/>
      <c r="N647" s="86"/>
      <c r="O647" s="86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>
      <c r="A648" s="40"/>
      <c r="B648" s="40"/>
      <c r="C648" s="40"/>
      <c r="D648" s="82"/>
      <c r="E648" s="83"/>
      <c r="F648" s="40"/>
      <c r="G648" s="40"/>
      <c r="H648" s="82"/>
      <c r="I648" s="84"/>
      <c r="J648" s="84"/>
      <c r="K648" s="84"/>
      <c r="L648" s="85"/>
      <c r="M648" s="40"/>
      <c r="N648" s="86"/>
      <c r="O648" s="86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>
      <c r="A649" s="40"/>
      <c r="B649" s="40"/>
      <c r="C649" s="40"/>
      <c r="D649" s="82"/>
      <c r="E649" s="83"/>
      <c r="F649" s="40"/>
      <c r="G649" s="40"/>
      <c r="H649" s="82"/>
      <c r="I649" s="84"/>
      <c r="J649" s="84"/>
      <c r="K649" s="84"/>
      <c r="L649" s="85"/>
      <c r="M649" s="40"/>
      <c r="N649" s="86"/>
      <c r="O649" s="86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>
      <c r="A650" s="40"/>
      <c r="B650" s="40"/>
      <c r="C650" s="40"/>
      <c r="D650" s="82"/>
      <c r="E650" s="83"/>
      <c r="F650" s="40"/>
      <c r="G650" s="40"/>
      <c r="H650" s="82"/>
      <c r="I650" s="84"/>
      <c r="J650" s="84"/>
      <c r="K650" s="84"/>
      <c r="L650" s="85"/>
      <c r="M650" s="40"/>
      <c r="N650" s="86"/>
      <c r="O650" s="86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>
      <c r="A651" s="40"/>
      <c r="B651" s="40"/>
      <c r="C651" s="40"/>
      <c r="D651" s="82"/>
      <c r="E651" s="83"/>
      <c r="F651" s="40"/>
      <c r="G651" s="40"/>
      <c r="H651" s="82"/>
      <c r="I651" s="84"/>
      <c r="J651" s="84"/>
      <c r="K651" s="84"/>
      <c r="L651" s="85"/>
      <c r="M651" s="40"/>
      <c r="N651" s="86"/>
      <c r="O651" s="86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>
      <c r="A652" s="40"/>
      <c r="B652" s="40"/>
      <c r="C652" s="40"/>
      <c r="D652" s="82"/>
      <c r="E652" s="83"/>
      <c r="F652" s="40"/>
      <c r="G652" s="40"/>
      <c r="H652" s="82"/>
      <c r="I652" s="84"/>
      <c r="J652" s="84"/>
      <c r="K652" s="84"/>
      <c r="L652" s="85"/>
      <c r="M652" s="40"/>
      <c r="N652" s="86"/>
      <c r="O652" s="86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>
      <c r="A653" s="40"/>
      <c r="B653" s="40"/>
      <c r="C653" s="40"/>
      <c r="D653" s="82"/>
      <c r="E653" s="83"/>
      <c r="F653" s="40"/>
      <c r="G653" s="40"/>
      <c r="H653" s="82"/>
      <c r="I653" s="84"/>
      <c r="J653" s="84"/>
      <c r="K653" s="84"/>
      <c r="L653" s="85"/>
      <c r="M653" s="40"/>
      <c r="N653" s="86"/>
      <c r="O653" s="86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>
      <c r="A654" s="40"/>
      <c r="B654" s="40"/>
      <c r="C654" s="40"/>
      <c r="D654" s="82"/>
      <c r="E654" s="83"/>
      <c r="F654" s="40"/>
      <c r="G654" s="40"/>
      <c r="H654" s="82"/>
      <c r="I654" s="84"/>
      <c r="J654" s="84"/>
      <c r="K654" s="84"/>
      <c r="L654" s="85"/>
      <c r="M654" s="40"/>
      <c r="N654" s="86"/>
      <c r="O654" s="86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>
      <c r="A655" s="40"/>
      <c r="B655" s="40"/>
      <c r="C655" s="40"/>
      <c r="D655" s="82"/>
      <c r="E655" s="83"/>
      <c r="F655" s="40"/>
      <c r="G655" s="40"/>
      <c r="H655" s="82"/>
      <c r="I655" s="84"/>
      <c r="J655" s="84"/>
      <c r="K655" s="84"/>
      <c r="L655" s="85"/>
      <c r="M655" s="40"/>
      <c r="N655" s="86"/>
      <c r="O655" s="86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>
      <c r="A656" s="40"/>
      <c r="B656" s="40"/>
      <c r="C656" s="40"/>
      <c r="D656" s="82"/>
      <c r="E656" s="83"/>
      <c r="F656" s="40"/>
      <c r="G656" s="40"/>
      <c r="H656" s="82"/>
      <c r="I656" s="84"/>
      <c r="J656" s="84"/>
      <c r="K656" s="84"/>
      <c r="L656" s="85"/>
      <c r="M656" s="40"/>
      <c r="N656" s="86"/>
      <c r="O656" s="86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>
      <c r="A657" s="40"/>
      <c r="B657" s="40"/>
      <c r="C657" s="40"/>
      <c r="D657" s="82"/>
      <c r="E657" s="83"/>
      <c r="F657" s="40"/>
      <c r="G657" s="40"/>
      <c r="H657" s="82"/>
      <c r="I657" s="84"/>
      <c r="J657" s="84"/>
      <c r="K657" s="84"/>
      <c r="L657" s="85"/>
      <c r="M657" s="40"/>
      <c r="N657" s="86"/>
      <c r="O657" s="86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>
      <c r="A658" s="40"/>
      <c r="B658" s="40"/>
      <c r="C658" s="40"/>
      <c r="D658" s="82"/>
      <c r="E658" s="83"/>
      <c r="F658" s="40"/>
      <c r="G658" s="40"/>
      <c r="H658" s="82"/>
      <c r="I658" s="84"/>
      <c r="J658" s="84"/>
      <c r="K658" s="84"/>
      <c r="L658" s="85"/>
      <c r="M658" s="40"/>
      <c r="N658" s="86"/>
      <c r="O658" s="86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>
      <c r="A659" s="40"/>
      <c r="B659" s="40"/>
      <c r="C659" s="40"/>
      <c r="D659" s="82"/>
      <c r="E659" s="83"/>
      <c r="F659" s="40"/>
      <c r="G659" s="40"/>
      <c r="H659" s="82"/>
      <c r="I659" s="84"/>
      <c r="J659" s="84"/>
      <c r="K659" s="84"/>
      <c r="L659" s="85"/>
      <c r="M659" s="40"/>
      <c r="N659" s="86"/>
      <c r="O659" s="86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>
      <c r="A660" s="40"/>
      <c r="B660" s="40"/>
      <c r="C660" s="40"/>
      <c r="D660" s="82"/>
      <c r="E660" s="83"/>
      <c r="F660" s="40"/>
      <c r="G660" s="40"/>
      <c r="H660" s="82"/>
      <c r="I660" s="84"/>
      <c r="J660" s="84"/>
      <c r="K660" s="84"/>
      <c r="L660" s="85"/>
      <c r="M660" s="40"/>
      <c r="N660" s="86"/>
      <c r="O660" s="86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>
      <c r="A661" s="40"/>
      <c r="B661" s="40"/>
      <c r="C661" s="40"/>
      <c r="D661" s="82"/>
      <c r="E661" s="83"/>
      <c r="F661" s="40"/>
      <c r="G661" s="40"/>
      <c r="H661" s="82"/>
      <c r="I661" s="84"/>
      <c r="J661" s="84"/>
      <c r="K661" s="84"/>
      <c r="L661" s="85"/>
      <c r="M661" s="40"/>
      <c r="N661" s="86"/>
      <c r="O661" s="86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>
      <c r="A662" s="40"/>
      <c r="B662" s="40"/>
      <c r="C662" s="40"/>
      <c r="D662" s="82"/>
      <c r="E662" s="83"/>
      <c r="F662" s="40"/>
      <c r="G662" s="40"/>
      <c r="H662" s="82"/>
      <c r="I662" s="84"/>
      <c r="J662" s="84"/>
      <c r="K662" s="84"/>
      <c r="L662" s="85"/>
      <c r="M662" s="40"/>
      <c r="N662" s="86"/>
      <c r="O662" s="86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>
      <c r="A663" s="40"/>
      <c r="B663" s="40"/>
      <c r="C663" s="40"/>
      <c r="D663" s="82"/>
      <c r="E663" s="83"/>
      <c r="F663" s="40"/>
      <c r="G663" s="40"/>
      <c r="H663" s="82"/>
      <c r="I663" s="84"/>
      <c r="J663" s="84"/>
      <c r="K663" s="84"/>
      <c r="L663" s="85"/>
      <c r="M663" s="40"/>
      <c r="N663" s="86"/>
      <c r="O663" s="86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>
      <c r="A664" s="40"/>
      <c r="B664" s="40"/>
      <c r="C664" s="40"/>
      <c r="D664" s="82"/>
      <c r="E664" s="83"/>
      <c r="F664" s="40"/>
      <c r="G664" s="40"/>
      <c r="H664" s="82"/>
      <c r="I664" s="84"/>
      <c r="J664" s="84"/>
      <c r="K664" s="84"/>
      <c r="L664" s="85"/>
      <c r="M664" s="40"/>
      <c r="N664" s="86"/>
      <c r="O664" s="86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>
      <c r="A665" s="40"/>
      <c r="B665" s="40"/>
      <c r="C665" s="40"/>
      <c r="D665" s="82"/>
      <c r="E665" s="83"/>
      <c r="F665" s="40"/>
      <c r="G665" s="40"/>
      <c r="H665" s="82"/>
      <c r="I665" s="84"/>
      <c r="J665" s="84"/>
      <c r="K665" s="84"/>
      <c r="L665" s="85"/>
      <c r="M665" s="40"/>
      <c r="N665" s="86"/>
      <c r="O665" s="86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>
      <c r="A666" s="40"/>
      <c r="B666" s="40"/>
      <c r="C666" s="40"/>
      <c r="D666" s="82"/>
      <c r="E666" s="83"/>
      <c r="F666" s="40"/>
      <c r="G666" s="40"/>
      <c r="H666" s="82"/>
      <c r="I666" s="84"/>
      <c r="J666" s="84"/>
      <c r="K666" s="84"/>
      <c r="L666" s="85"/>
      <c r="M666" s="40"/>
      <c r="N666" s="86"/>
      <c r="O666" s="86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>
      <c r="A667" s="40"/>
      <c r="B667" s="40"/>
      <c r="C667" s="40"/>
      <c r="D667" s="82"/>
      <c r="E667" s="83"/>
      <c r="F667" s="40"/>
      <c r="G667" s="40"/>
      <c r="H667" s="82"/>
      <c r="I667" s="84"/>
      <c r="J667" s="84"/>
      <c r="K667" s="84"/>
      <c r="L667" s="85"/>
      <c r="M667" s="40"/>
      <c r="N667" s="86"/>
      <c r="O667" s="86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>
      <c r="A668" s="40"/>
      <c r="B668" s="40"/>
      <c r="C668" s="40"/>
      <c r="D668" s="82"/>
      <c r="E668" s="83"/>
      <c r="F668" s="40"/>
      <c r="G668" s="40"/>
      <c r="H668" s="82"/>
      <c r="I668" s="84"/>
      <c r="J668" s="84"/>
      <c r="K668" s="84"/>
      <c r="L668" s="85"/>
      <c r="M668" s="40"/>
      <c r="N668" s="86"/>
      <c r="O668" s="86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>
      <c r="A669" s="40"/>
      <c r="B669" s="40"/>
      <c r="C669" s="40"/>
      <c r="D669" s="82"/>
      <c r="E669" s="83"/>
      <c r="F669" s="40"/>
      <c r="G669" s="40"/>
      <c r="H669" s="82"/>
      <c r="I669" s="84"/>
      <c r="J669" s="84"/>
      <c r="K669" s="84"/>
      <c r="L669" s="85"/>
      <c r="M669" s="40"/>
      <c r="N669" s="86"/>
      <c r="O669" s="86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>
      <c r="A670" s="40"/>
      <c r="B670" s="40"/>
      <c r="C670" s="40"/>
      <c r="D670" s="82"/>
      <c r="E670" s="83"/>
      <c r="F670" s="40"/>
      <c r="G670" s="40"/>
      <c r="H670" s="82"/>
      <c r="I670" s="84"/>
      <c r="J670" s="84"/>
      <c r="K670" s="84"/>
      <c r="L670" s="85"/>
      <c r="M670" s="40"/>
      <c r="N670" s="86"/>
      <c r="O670" s="86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>
      <c r="A671" s="40"/>
      <c r="B671" s="40"/>
      <c r="C671" s="40"/>
      <c r="D671" s="82"/>
      <c r="E671" s="83"/>
      <c r="F671" s="40"/>
      <c r="G671" s="40"/>
      <c r="H671" s="82"/>
      <c r="I671" s="84"/>
      <c r="J671" s="84"/>
      <c r="K671" s="84"/>
      <c r="L671" s="85"/>
      <c r="M671" s="40"/>
      <c r="N671" s="86"/>
      <c r="O671" s="86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>
      <c r="A672" s="40"/>
      <c r="B672" s="40"/>
      <c r="C672" s="40"/>
      <c r="D672" s="82"/>
      <c r="E672" s="83"/>
      <c r="F672" s="40"/>
      <c r="G672" s="40"/>
      <c r="H672" s="82"/>
      <c r="I672" s="84"/>
      <c r="J672" s="84"/>
      <c r="K672" s="84"/>
      <c r="L672" s="85"/>
      <c r="M672" s="40"/>
      <c r="N672" s="86"/>
      <c r="O672" s="86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>
      <c r="A673" s="40"/>
      <c r="B673" s="40"/>
      <c r="C673" s="40"/>
      <c r="D673" s="82"/>
      <c r="E673" s="83"/>
      <c r="F673" s="40"/>
      <c r="G673" s="40"/>
      <c r="H673" s="82"/>
      <c r="I673" s="84"/>
      <c r="J673" s="84"/>
      <c r="K673" s="84"/>
      <c r="L673" s="85"/>
      <c r="M673" s="40"/>
      <c r="N673" s="86"/>
      <c r="O673" s="86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>
      <c r="A674" s="40"/>
      <c r="B674" s="40"/>
      <c r="C674" s="40"/>
      <c r="D674" s="82"/>
      <c r="E674" s="83"/>
      <c r="F674" s="40"/>
      <c r="G674" s="40"/>
      <c r="H674" s="82"/>
      <c r="I674" s="84"/>
      <c r="J674" s="84"/>
      <c r="K674" s="84"/>
      <c r="L674" s="85"/>
      <c r="M674" s="40"/>
      <c r="N674" s="86"/>
      <c r="O674" s="86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>
      <c r="A675" s="40"/>
      <c r="B675" s="40"/>
      <c r="C675" s="40"/>
      <c r="D675" s="82"/>
      <c r="E675" s="83"/>
      <c r="F675" s="40"/>
      <c r="G675" s="40"/>
      <c r="H675" s="82"/>
      <c r="I675" s="84"/>
      <c r="J675" s="84"/>
      <c r="K675" s="84"/>
      <c r="L675" s="85"/>
      <c r="M675" s="40"/>
      <c r="N675" s="86"/>
      <c r="O675" s="86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>
      <c r="A676" s="40"/>
      <c r="B676" s="40"/>
      <c r="C676" s="40"/>
      <c r="D676" s="82"/>
      <c r="E676" s="83"/>
      <c r="F676" s="40"/>
      <c r="G676" s="40"/>
      <c r="H676" s="82"/>
      <c r="I676" s="84"/>
      <c r="J676" s="84"/>
      <c r="K676" s="84"/>
      <c r="L676" s="85"/>
      <c r="M676" s="40"/>
      <c r="N676" s="86"/>
      <c r="O676" s="86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>
      <c r="A677" s="40"/>
      <c r="B677" s="40"/>
      <c r="C677" s="40"/>
      <c r="D677" s="82"/>
      <c r="E677" s="83"/>
      <c r="F677" s="40"/>
      <c r="G677" s="40"/>
      <c r="H677" s="82"/>
      <c r="I677" s="84"/>
      <c r="J677" s="84"/>
      <c r="K677" s="84"/>
      <c r="L677" s="85"/>
      <c r="M677" s="40"/>
      <c r="N677" s="86"/>
      <c r="O677" s="86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>
      <c r="A678" s="40"/>
      <c r="B678" s="40"/>
      <c r="C678" s="40"/>
      <c r="D678" s="82"/>
      <c r="E678" s="83"/>
      <c r="F678" s="40"/>
      <c r="G678" s="40"/>
      <c r="H678" s="82"/>
      <c r="I678" s="84"/>
      <c r="J678" s="84"/>
      <c r="K678" s="84"/>
      <c r="L678" s="85"/>
      <c r="M678" s="40"/>
      <c r="N678" s="86"/>
      <c r="O678" s="86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>
      <c r="A679" s="40"/>
      <c r="B679" s="40"/>
      <c r="C679" s="40"/>
      <c r="D679" s="82"/>
      <c r="E679" s="83"/>
      <c r="F679" s="40"/>
      <c r="G679" s="40"/>
      <c r="H679" s="82"/>
      <c r="I679" s="84"/>
      <c r="J679" s="84"/>
      <c r="K679" s="84"/>
      <c r="L679" s="85"/>
      <c r="M679" s="40"/>
      <c r="N679" s="86"/>
      <c r="O679" s="86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>
      <c r="A680" s="40"/>
      <c r="B680" s="40"/>
      <c r="C680" s="40"/>
      <c r="D680" s="82"/>
      <c r="E680" s="83"/>
      <c r="F680" s="40"/>
      <c r="G680" s="40"/>
      <c r="H680" s="82"/>
      <c r="I680" s="84"/>
      <c r="J680" s="84"/>
      <c r="K680" s="84"/>
      <c r="L680" s="85"/>
      <c r="M680" s="40"/>
      <c r="N680" s="86"/>
      <c r="O680" s="86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>
      <c r="A681" s="40"/>
      <c r="B681" s="40"/>
      <c r="C681" s="40"/>
      <c r="D681" s="82"/>
      <c r="E681" s="83"/>
      <c r="F681" s="40"/>
      <c r="G681" s="40"/>
      <c r="H681" s="82"/>
      <c r="I681" s="84"/>
      <c r="J681" s="84"/>
      <c r="K681" s="84"/>
      <c r="L681" s="85"/>
      <c r="M681" s="40"/>
      <c r="N681" s="86"/>
      <c r="O681" s="86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>
      <c r="A682" s="40"/>
      <c r="B682" s="40"/>
      <c r="C682" s="40"/>
      <c r="D682" s="82"/>
      <c r="E682" s="83"/>
      <c r="F682" s="40"/>
      <c r="G682" s="40"/>
      <c r="H682" s="82"/>
      <c r="I682" s="84"/>
      <c r="J682" s="84"/>
      <c r="K682" s="84"/>
      <c r="L682" s="85"/>
      <c r="M682" s="40"/>
      <c r="N682" s="86"/>
      <c r="O682" s="86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>
      <c r="A683" s="40"/>
      <c r="B683" s="40"/>
      <c r="C683" s="40"/>
      <c r="D683" s="82"/>
      <c r="E683" s="83"/>
      <c r="F683" s="40"/>
      <c r="G683" s="40"/>
      <c r="H683" s="82"/>
      <c r="I683" s="84"/>
      <c r="J683" s="84"/>
      <c r="K683" s="84"/>
      <c r="L683" s="85"/>
      <c r="M683" s="40"/>
      <c r="N683" s="86"/>
      <c r="O683" s="86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>
      <c r="A684" s="40"/>
      <c r="B684" s="40"/>
      <c r="C684" s="40"/>
      <c r="D684" s="82"/>
      <c r="E684" s="83"/>
      <c r="F684" s="40"/>
      <c r="G684" s="40"/>
      <c r="H684" s="82"/>
      <c r="I684" s="84"/>
      <c r="J684" s="84"/>
      <c r="K684" s="84"/>
      <c r="L684" s="85"/>
      <c r="M684" s="40"/>
      <c r="N684" s="86"/>
      <c r="O684" s="86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>
      <c r="A685" s="40"/>
      <c r="B685" s="40"/>
      <c r="C685" s="40"/>
      <c r="D685" s="82"/>
      <c r="E685" s="83"/>
      <c r="F685" s="40"/>
      <c r="G685" s="40"/>
      <c r="H685" s="82"/>
      <c r="I685" s="84"/>
      <c r="J685" s="84"/>
      <c r="K685" s="84"/>
      <c r="L685" s="85"/>
      <c r="M685" s="40"/>
      <c r="N685" s="86"/>
      <c r="O685" s="86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>
      <c r="A686" s="40"/>
      <c r="B686" s="40"/>
      <c r="C686" s="40"/>
      <c r="D686" s="82"/>
      <c r="E686" s="83"/>
      <c r="F686" s="40"/>
      <c r="G686" s="40"/>
      <c r="H686" s="82"/>
      <c r="I686" s="84"/>
      <c r="J686" s="84"/>
      <c r="K686" s="84"/>
      <c r="L686" s="85"/>
      <c r="M686" s="40"/>
      <c r="N686" s="86"/>
      <c r="O686" s="86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>
      <c r="A687" s="40"/>
      <c r="B687" s="40"/>
      <c r="C687" s="40"/>
      <c r="D687" s="82"/>
      <c r="E687" s="83"/>
      <c r="F687" s="40"/>
      <c r="G687" s="40"/>
      <c r="H687" s="82"/>
      <c r="I687" s="84"/>
      <c r="J687" s="84"/>
      <c r="K687" s="84"/>
      <c r="L687" s="85"/>
      <c r="M687" s="40"/>
      <c r="N687" s="86"/>
      <c r="O687" s="86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>
      <c r="A688" s="40"/>
      <c r="B688" s="40"/>
      <c r="C688" s="40"/>
      <c r="D688" s="82"/>
      <c r="E688" s="83"/>
      <c r="F688" s="40"/>
      <c r="G688" s="40"/>
      <c r="H688" s="82"/>
      <c r="I688" s="84"/>
      <c r="J688" s="84"/>
      <c r="K688" s="84"/>
      <c r="L688" s="85"/>
      <c r="M688" s="40"/>
      <c r="N688" s="86"/>
      <c r="O688" s="86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>
      <c r="A689" s="40"/>
      <c r="B689" s="40"/>
      <c r="C689" s="40"/>
      <c r="D689" s="82"/>
      <c r="E689" s="83"/>
      <c r="F689" s="40"/>
      <c r="G689" s="40"/>
      <c r="H689" s="82"/>
      <c r="I689" s="84"/>
      <c r="J689" s="84"/>
      <c r="K689" s="84"/>
      <c r="L689" s="85"/>
      <c r="M689" s="40"/>
      <c r="N689" s="86"/>
      <c r="O689" s="86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>
      <c r="A690" s="40"/>
      <c r="B690" s="40"/>
      <c r="C690" s="40"/>
      <c r="D690" s="82"/>
      <c r="E690" s="83"/>
      <c r="F690" s="40"/>
      <c r="G690" s="40"/>
      <c r="H690" s="82"/>
      <c r="I690" s="84"/>
      <c r="J690" s="84"/>
      <c r="K690" s="84"/>
      <c r="L690" s="85"/>
      <c r="M690" s="40"/>
      <c r="N690" s="86"/>
      <c r="O690" s="86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>
      <c r="A691" s="40"/>
      <c r="B691" s="40"/>
      <c r="C691" s="40"/>
      <c r="D691" s="82"/>
      <c r="E691" s="83"/>
      <c r="F691" s="40"/>
      <c r="G691" s="40"/>
      <c r="H691" s="82"/>
      <c r="I691" s="84"/>
      <c r="J691" s="84"/>
      <c r="K691" s="84"/>
      <c r="L691" s="85"/>
      <c r="M691" s="40"/>
      <c r="N691" s="86"/>
      <c r="O691" s="86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>
      <c r="A692" s="40"/>
      <c r="B692" s="40"/>
      <c r="C692" s="40"/>
      <c r="D692" s="82"/>
      <c r="E692" s="83"/>
      <c r="F692" s="40"/>
      <c r="G692" s="40"/>
      <c r="H692" s="82"/>
      <c r="I692" s="84"/>
      <c r="J692" s="84"/>
      <c r="K692" s="84"/>
      <c r="L692" s="85"/>
      <c r="M692" s="40"/>
      <c r="N692" s="86"/>
      <c r="O692" s="86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>
      <c r="A693" s="40"/>
      <c r="B693" s="40"/>
      <c r="C693" s="40"/>
      <c r="D693" s="82"/>
      <c r="E693" s="83"/>
      <c r="F693" s="40"/>
      <c r="G693" s="40"/>
      <c r="H693" s="82"/>
      <c r="I693" s="84"/>
      <c r="J693" s="84"/>
      <c r="K693" s="84"/>
      <c r="L693" s="85"/>
      <c r="M693" s="40"/>
      <c r="N693" s="86"/>
      <c r="O693" s="86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>
      <c r="A694" s="40"/>
      <c r="B694" s="40"/>
      <c r="C694" s="40"/>
      <c r="D694" s="82"/>
      <c r="E694" s="83"/>
      <c r="F694" s="40"/>
      <c r="G694" s="40"/>
      <c r="H694" s="82"/>
      <c r="I694" s="84"/>
      <c r="J694" s="84"/>
      <c r="K694" s="84"/>
      <c r="L694" s="85"/>
      <c r="M694" s="40"/>
      <c r="N694" s="86"/>
      <c r="O694" s="86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>
      <c r="A695" s="40"/>
      <c r="B695" s="40"/>
      <c r="C695" s="40"/>
      <c r="D695" s="82"/>
      <c r="E695" s="83"/>
      <c r="F695" s="40"/>
      <c r="G695" s="40"/>
      <c r="H695" s="82"/>
      <c r="I695" s="84"/>
      <c r="J695" s="84"/>
      <c r="K695" s="84"/>
      <c r="L695" s="85"/>
      <c r="M695" s="40"/>
      <c r="N695" s="86"/>
      <c r="O695" s="86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>
      <c r="A696" s="40"/>
      <c r="B696" s="40"/>
      <c r="C696" s="40"/>
      <c r="D696" s="82"/>
      <c r="E696" s="83"/>
      <c r="F696" s="40"/>
      <c r="G696" s="40"/>
      <c r="H696" s="82"/>
      <c r="I696" s="84"/>
      <c r="J696" s="84"/>
      <c r="K696" s="84"/>
      <c r="L696" s="85"/>
      <c r="M696" s="40"/>
      <c r="N696" s="86"/>
      <c r="O696" s="86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>
      <c r="A697" s="40"/>
      <c r="B697" s="40"/>
      <c r="C697" s="40"/>
      <c r="D697" s="82"/>
      <c r="E697" s="83"/>
      <c r="F697" s="40"/>
      <c r="G697" s="40"/>
      <c r="H697" s="82"/>
      <c r="I697" s="84"/>
      <c r="J697" s="84"/>
      <c r="K697" s="84"/>
      <c r="L697" s="85"/>
      <c r="M697" s="40"/>
      <c r="N697" s="86"/>
      <c r="O697" s="86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>
      <c r="A698" s="40"/>
      <c r="B698" s="40"/>
      <c r="C698" s="40"/>
      <c r="D698" s="82"/>
      <c r="E698" s="83"/>
      <c r="F698" s="40"/>
      <c r="G698" s="40"/>
      <c r="H698" s="82"/>
      <c r="I698" s="84"/>
      <c r="J698" s="84"/>
      <c r="K698" s="84"/>
      <c r="L698" s="85"/>
      <c r="M698" s="40"/>
      <c r="N698" s="86"/>
      <c r="O698" s="86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>
      <c r="A699" s="40"/>
      <c r="B699" s="40"/>
      <c r="C699" s="40"/>
      <c r="D699" s="82"/>
      <c r="E699" s="83"/>
      <c r="F699" s="40"/>
      <c r="G699" s="40"/>
      <c r="H699" s="82"/>
      <c r="I699" s="84"/>
      <c r="J699" s="84"/>
      <c r="K699" s="84"/>
      <c r="L699" s="85"/>
      <c r="M699" s="40"/>
      <c r="N699" s="86"/>
      <c r="O699" s="86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>
      <c r="A700" s="40"/>
      <c r="B700" s="40"/>
      <c r="C700" s="40"/>
      <c r="D700" s="82"/>
      <c r="E700" s="83"/>
      <c r="F700" s="40"/>
      <c r="G700" s="40"/>
      <c r="H700" s="82"/>
      <c r="I700" s="84"/>
      <c r="J700" s="84"/>
      <c r="K700" s="84"/>
      <c r="L700" s="85"/>
      <c r="M700" s="40"/>
      <c r="N700" s="86"/>
      <c r="O700" s="86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>
      <c r="A701" s="40"/>
      <c r="B701" s="40"/>
      <c r="C701" s="40"/>
      <c r="D701" s="82"/>
      <c r="E701" s="83"/>
      <c r="F701" s="40"/>
      <c r="G701" s="40"/>
      <c r="H701" s="82"/>
      <c r="I701" s="84"/>
      <c r="J701" s="84"/>
      <c r="K701" s="84"/>
      <c r="L701" s="85"/>
      <c r="M701" s="40"/>
      <c r="N701" s="86"/>
      <c r="O701" s="86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>
      <c r="A702" s="40"/>
      <c r="B702" s="40"/>
      <c r="C702" s="40"/>
      <c r="D702" s="82"/>
      <c r="E702" s="83"/>
      <c r="F702" s="40"/>
      <c r="G702" s="40"/>
      <c r="H702" s="82"/>
      <c r="I702" s="84"/>
      <c r="J702" s="84"/>
      <c r="K702" s="84"/>
      <c r="L702" s="85"/>
      <c r="M702" s="40"/>
      <c r="N702" s="86"/>
      <c r="O702" s="86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>
      <c r="A703" s="40"/>
      <c r="B703" s="40"/>
      <c r="C703" s="40"/>
      <c r="D703" s="82"/>
      <c r="E703" s="83"/>
      <c r="F703" s="40"/>
      <c r="G703" s="40"/>
      <c r="H703" s="82"/>
      <c r="I703" s="84"/>
      <c r="J703" s="84"/>
      <c r="K703" s="84"/>
      <c r="L703" s="85"/>
      <c r="M703" s="40"/>
      <c r="N703" s="86"/>
      <c r="O703" s="86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>
      <c r="A704" s="40"/>
      <c r="B704" s="40"/>
      <c r="C704" s="40"/>
      <c r="D704" s="82"/>
      <c r="E704" s="83"/>
      <c r="F704" s="40"/>
      <c r="G704" s="40"/>
      <c r="H704" s="82"/>
      <c r="I704" s="84"/>
      <c r="J704" s="84"/>
      <c r="K704" s="84"/>
      <c r="L704" s="85"/>
      <c r="M704" s="40"/>
      <c r="N704" s="86"/>
      <c r="O704" s="86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>
      <c r="A705" s="40"/>
      <c r="B705" s="40"/>
      <c r="C705" s="40"/>
      <c r="D705" s="82"/>
      <c r="E705" s="83"/>
      <c r="F705" s="40"/>
      <c r="G705" s="40"/>
      <c r="H705" s="82"/>
      <c r="I705" s="84"/>
      <c r="J705" s="84"/>
      <c r="K705" s="84"/>
      <c r="L705" s="85"/>
      <c r="M705" s="40"/>
      <c r="N705" s="86"/>
      <c r="O705" s="86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>
      <c r="A706" s="40"/>
      <c r="B706" s="40"/>
      <c r="C706" s="40"/>
      <c r="D706" s="82"/>
      <c r="E706" s="83"/>
      <c r="F706" s="40"/>
      <c r="G706" s="40"/>
      <c r="H706" s="82"/>
      <c r="I706" s="84"/>
      <c r="J706" s="84"/>
      <c r="K706" s="84"/>
      <c r="L706" s="85"/>
      <c r="M706" s="40"/>
      <c r="N706" s="86"/>
      <c r="O706" s="86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>
      <c r="A707" s="40"/>
      <c r="B707" s="40"/>
      <c r="C707" s="40"/>
      <c r="D707" s="82"/>
      <c r="E707" s="83"/>
      <c r="F707" s="40"/>
      <c r="G707" s="40"/>
      <c r="H707" s="82"/>
      <c r="I707" s="84"/>
      <c r="J707" s="84"/>
      <c r="K707" s="84"/>
      <c r="L707" s="85"/>
      <c r="M707" s="40"/>
      <c r="N707" s="86"/>
      <c r="O707" s="86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>
      <c r="A708" s="40"/>
      <c r="B708" s="40"/>
      <c r="C708" s="40"/>
      <c r="D708" s="82"/>
      <c r="E708" s="83"/>
      <c r="F708" s="40"/>
      <c r="G708" s="40"/>
      <c r="H708" s="82"/>
      <c r="I708" s="84"/>
      <c r="J708" s="84"/>
      <c r="K708" s="84"/>
      <c r="L708" s="85"/>
      <c r="M708" s="40"/>
      <c r="N708" s="86"/>
      <c r="O708" s="86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>
      <c r="A709" s="40"/>
      <c r="B709" s="40"/>
      <c r="C709" s="40"/>
      <c r="D709" s="82"/>
      <c r="E709" s="83"/>
      <c r="F709" s="40"/>
      <c r="G709" s="40"/>
      <c r="H709" s="82"/>
      <c r="I709" s="84"/>
      <c r="J709" s="84"/>
      <c r="K709" s="84"/>
      <c r="L709" s="85"/>
      <c r="M709" s="40"/>
      <c r="N709" s="86"/>
      <c r="O709" s="86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>
      <c r="A710" s="40"/>
      <c r="B710" s="40"/>
      <c r="C710" s="40"/>
      <c r="D710" s="82"/>
      <c r="E710" s="83"/>
      <c r="F710" s="40"/>
      <c r="G710" s="40"/>
      <c r="H710" s="82"/>
      <c r="I710" s="84"/>
      <c r="J710" s="84"/>
      <c r="K710" s="84"/>
      <c r="L710" s="85"/>
      <c r="M710" s="40"/>
      <c r="N710" s="86"/>
      <c r="O710" s="86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>
      <c r="A711" s="40"/>
      <c r="B711" s="40"/>
      <c r="C711" s="40"/>
      <c r="D711" s="82"/>
      <c r="E711" s="83"/>
      <c r="F711" s="40"/>
      <c r="G711" s="40"/>
      <c r="H711" s="82"/>
      <c r="I711" s="84"/>
      <c r="J711" s="84"/>
      <c r="K711" s="84"/>
      <c r="L711" s="85"/>
      <c r="M711" s="40"/>
      <c r="N711" s="86"/>
      <c r="O711" s="86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>
      <c r="A712" s="40"/>
      <c r="B712" s="40"/>
      <c r="C712" s="40"/>
      <c r="D712" s="82"/>
      <c r="E712" s="83"/>
      <c r="F712" s="40"/>
      <c r="G712" s="40"/>
      <c r="H712" s="82"/>
      <c r="I712" s="84"/>
      <c r="J712" s="84"/>
      <c r="K712" s="84"/>
      <c r="L712" s="85"/>
      <c r="M712" s="40"/>
      <c r="N712" s="86"/>
      <c r="O712" s="86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>
      <c r="A713" s="40"/>
      <c r="B713" s="40"/>
      <c r="C713" s="40"/>
      <c r="D713" s="82"/>
      <c r="E713" s="83"/>
      <c r="F713" s="40"/>
      <c r="G713" s="40"/>
      <c r="H713" s="82"/>
      <c r="I713" s="84"/>
      <c r="J713" s="84"/>
      <c r="K713" s="84"/>
      <c r="L713" s="85"/>
      <c r="M713" s="40"/>
      <c r="N713" s="86"/>
      <c r="O713" s="86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>
      <c r="A714" s="40"/>
      <c r="B714" s="40"/>
      <c r="C714" s="40"/>
      <c r="D714" s="82"/>
      <c r="E714" s="83"/>
      <c r="F714" s="40"/>
      <c r="G714" s="40"/>
      <c r="H714" s="82"/>
      <c r="I714" s="84"/>
      <c r="J714" s="84"/>
      <c r="K714" s="84"/>
      <c r="L714" s="85"/>
      <c r="M714" s="40"/>
      <c r="N714" s="86"/>
      <c r="O714" s="86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>
      <c r="A715" s="40"/>
      <c r="B715" s="40"/>
      <c r="C715" s="40"/>
      <c r="D715" s="82"/>
      <c r="E715" s="83"/>
      <c r="F715" s="40"/>
      <c r="G715" s="40"/>
      <c r="H715" s="82"/>
      <c r="I715" s="84"/>
      <c r="J715" s="84"/>
      <c r="K715" s="84"/>
      <c r="L715" s="85"/>
      <c r="M715" s="40"/>
      <c r="N715" s="86"/>
      <c r="O715" s="86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>
      <c r="A716" s="40"/>
      <c r="B716" s="40"/>
      <c r="C716" s="40"/>
      <c r="D716" s="82"/>
      <c r="E716" s="83"/>
      <c r="F716" s="40"/>
      <c r="G716" s="40"/>
      <c r="H716" s="82"/>
      <c r="I716" s="84"/>
      <c r="J716" s="84"/>
      <c r="K716" s="84"/>
      <c r="L716" s="85"/>
      <c r="M716" s="40"/>
      <c r="N716" s="86"/>
      <c r="O716" s="86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>
      <c r="A717" s="40"/>
      <c r="B717" s="40"/>
      <c r="C717" s="40"/>
      <c r="D717" s="82"/>
      <c r="E717" s="83"/>
      <c r="F717" s="40"/>
      <c r="G717" s="40"/>
      <c r="H717" s="82"/>
      <c r="I717" s="84"/>
      <c r="J717" s="84"/>
      <c r="K717" s="84"/>
      <c r="L717" s="85"/>
      <c r="M717" s="40"/>
      <c r="N717" s="86"/>
      <c r="O717" s="86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>
      <c r="A718" s="40"/>
      <c r="B718" s="40"/>
      <c r="C718" s="40"/>
      <c r="D718" s="82"/>
      <c r="E718" s="83"/>
      <c r="F718" s="40"/>
      <c r="G718" s="40"/>
      <c r="H718" s="82"/>
      <c r="I718" s="84"/>
      <c r="J718" s="84"/>
      <c r="K718" s="84"/>
      <c r="L718" s="85"/>
      <c r="M718" s="40"/>
      <c r="N718" s="86"/>
      <c r="O718" s="86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>
      <c r="A719" s="40"/>
      <c r="B719" s="40"/>
      <c r="C719" s="40"/>
      <c r="D719" s="82"/>
      <c r="E719" s="83"/>
      <c r="F719" s="40"/>
      <c r="G719" s="40"/>
      <c r="H719" s="82"/>
      <c r="I719" s="84"/>
      <c r="J719" s="84"/>
      <c r="K719" s="84"/>
      <c r="L719" s="85"/>
      <c r="M719" s="40"/>
      <c r="N719" s="86"/>
      <c r="O719" s="86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>
      <c r="A720" s="40"/>
      <c r="B720" s="40"/>
      <c r="C720" s="40"/>
      <c r="D720" s="82"/>
      <c r="E720" s="83"/>
      <c r="F720" s="40"/>
      <c r="G720" s="40"/>
      <c r="H720" s="82"/>
      <c r="I720" s="84"/>
      <c r="J720" s="84"/>
      <c r="K720" s="84"/>
      <c r="L720" s="85"/>
      <c r="M720" s="40"/>
      <c r="N720" s="86"/>
      <c r="O720" s="86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>
      <c r="A721" s="40"/>
      <c r="B721" s="40"/>
      <c r="C721" s="40"/>
      <c r="D721" s="82"/>
      <c r="E721" s="83"/>
      <c r="F721" s="40"/>
      <c r="G721" s="40"/>
      <c r="H721" s="82"/>
      <c r="I721" s="84"/>
      <c r="J721" s="84"/>
      <c r="K721" s="84"/>
      <c r="L721" s="85"/>
      <c r="M721" s="40"/>
      <c r="N721" s="86"/>
      <c r="O721" s="86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>
      <c r="A722" s="40"/>
      <c r="B722" s="40"/>
      <c r="C722" s="40"/>
      <c r="D722" s="82"/>
      <c r="E722" s="83"/>
      <c r="F722" s="40"/>
      <c r="G722" s="40"/>
      <c r="H722" s="82"/>
      <c r="I722" s="84"/>
      <c r="J722" s="84"/>
      <c r="K722" s="84"/>
      <c r="L722" s="85"/>
      <c r="M722" s="40"/>
      <c r="N722" s="86"/>
      <c r="O722" s="86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>
      <c r="A723" s="40"/>
      <c r="B723" s="40"/>
      <c r="C723" s="40"/>
      <c r="D723" s="82"/>
      <c r="E723" s="83"/>
      <c r="F723" s="40"/>
      <c r="G723" s="40"/>
      <c r="H723" s="82"/>
      <c r="I723" s="84"/>
      <c r="J723" s="84"/>
      <c r="K723" s="84"/>
      <c r="L723" s="85"/>
      <c r="M723" s="40"/>
      <c r="N723" s="86"/>
      <c r="O723" s="86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>
      <c r="A724" s="40"/>
      <c r="B724" s="40"/>
      <c r="C724" s="40"/>
      <c r="D724" s="82"/>
      <c r="E724" s="83"/>
      <c r="F724" s="40"/>
      <c r="G724" s="40"/>
      <c r="H724" s="82"/>
      <c r="I724" s="84"/>
      <c r="J724" s="84"/>
      <c r="K724" s="84"/>
      <c r="L724" s="85"/>
      <c r="M724" s="40"/>
      <c r="N724" s="86"/>
      <c r="O724" s="86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>
      <c r="A725" s="40"/>
      <c r="B725" s="40"/>
      <c r="C725" s="40"/>
      <c r="D725" s="82"/>
      <c r="E725" s="83"/>
      <c r="F725" s="40"/>
      <c r="G725" s="40"/>
      <c r="H725" s="82"/>
      <c r="I725" s="84"/>
      <c r="J725" s="84"/>
      <c r="K725" s="84"/>
      <c r="L725" s="85"/>
      <c r="M725" s="40"/>
      <c r="N725" s="86"/>
      <c r="O725" s="86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>
      <c r="A726" s="40"/>
      <c r="B726" s="40"/>
      <c r="C726" s="40"/>
      <c r="D726" s="82"/>
      <c r="E726" s="83"/>
      <c r="F726" s="40"/>
      <c r="G726" s="40"/>
      <c r="H726" s="82"/>
      <c r="I726" s="84"/>
      <c r="J726" s="84"/>
      <c r="K726" s="84"/>
      <c r="L726" s="85"/>
      <c r="M726" s="40"/>
      <c r="N726" s="86"/>
      <c r="O726" s="86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>
      <c r="A727" s="40"/>
      <c r="B727" s="40"/>
      <c r="C727" s="40"/>
      <c r="D727" s="82"/>
      <c r="E727" s="83"/>
      <c r="F727" s="40"/>
      <c r="G727" s="40"/>
      <c r="H727" s="82"/>
      <c r="I727" s="84"/>
      <c r="J727" s="84"/>
      <c r="K727" s="84"/>
      <c r="L727" s="85"/>
      <c r="M727" s="40"/>
      <c r="N727" s="86"/>
      <c r="O727" s="86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>
      <c r="A728" s="40"/>
      <c r="B728" s="40"/>
      <c r="C728" s="40"/>
      <c r="D728" s="82"/>
      <c r="E728" s="83"/>
      <c r="F728" s="40"/>
      <c r="G728" s="40"/>
      <c r="H728" s="82"/>
      <c r="I728" s="84"/>
      <c r="J728" s="84"/>
      <c r="K728" s="84"/>
      <c r="L728" s="85"/>
      <c r="M728" s="40"/>
      <c r="N728" s="86"/>
      <c r="O728" s="86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>
      <c r="A729" s="40"/>
      <c r="B729" s="40"/>
      <c r="C729" s="40"/>
      <c r="D729" s="82"/>
      <c r="E729" s="83"/>
      <c r="F729" s="40"/>
      <c r="G729" s="40"/>
      <c r="H729" s="82"/>
      <c r="I729" s="84"/>
      <c r="J729" s="84"/>
      <c r="K729" s="84"/>
      <c r="L729" s="85"/>
      <c r="M729" s="40"/>
      <c r="N729" s="86"/>
      <c r="O729" s="86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>
      <c r="A730" s="40"/>
      <c r="B730" s="40"/>
      <c r="C730" s="40"/>
      <c r="D730" s="82"/>
      <c r="E730" s="83"/>
      <c r="F730" s="40"/>
      <c r="G730" s="40"/>
      <c r="H730" s="82"/>
      <c r="I730" s="84"/>
      <c r="J730" s="84"/>
      <c r="K730" s="84"/>
      <c r="L730" s="85"/>
      <c r="M730" s="40"/>
      <c r="N730" s="86"/>
      <c r="O730" s="86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>
      <c r="A731" s="40"/>
      <c r="B731" s="40"/>
      <c r="C731" s="40"/>
      <c r="D731" s="82"/>
      <c r="E731" s="83"/>
      <c r="F731" s="40"/>
      <c r="G731" s="40"/>
      <c r="H731" s="82"/>
      <c r="I731" s="84"/>
      <c r="J731" s="84"/>
      <c r="K731" s="84"/>
      <c r="L731" s="85"/>
      <c r="M731" s="40"/>
      <c r="N731" s="86"/>
      <c r="O731" s="86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>
      <c r="A732" s="40"/>
      <c r="B732" s="40"/>
      <c r="C732" s="40"/>
      <c r="D732" s="82"/>
      <c r="E732" s="83"/>
      <c r="F732" s="40"/>
      <c r="G732" s="40"/>
      <c r="H732" s="82"/>
      <c r="I732" s="84"/>
      <c r="J732" s="84"/>
      <c r="K732" s="84"/>
      <c r="L732" s="85"/>
      <c r="M732" s="40"/>
      <c r="N732" s="86"/>
      <c r="O732" s="86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>
      <c r="A733" s="40"/>
      <c r="B733" s="40"/>
      <c r="C733" s="40"/>
      <c r="D733" s="82"/>
      <c r="E733" s="83"/>
      <c r="F733" s="40"/>
      <c r="G733" s="40"/>
      <c r="H733" s="82"/>
      <c r="I733" s="84"/>
      <c r="J733" s="84"/>
      <c r="K733" s="84"/>
      <c r="L733" s="85"/>
      <c r="M733" s="40"/>
      <c r="N733" s="86"/>
      <c r="O733" s="86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>
      <c r="A734" s="40"/>
      <c r="B734" s="40"/>
      <c r="C734" s="40"/>
      <c r="D734" s="82"/>
      <c r="E734" s="83"/>
      <c r="F734" s="40"/>
      <c r="G734" s="40"/>
      <c r="H734" s="82"/>
      <c r="I734" s="84"/>
      <c r="J734" s="84"/>
      <c r="K734" s="84"/>
      <c r="L734" s="85"/>
      <c r="M734" s="40"/>
      <c r="N734" s="86"/>
      <c r="O734" s="86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>
      <c r="A735" s="40"/>
      <c r="B735" s="40"/>
      <c r="C735" s="40"/>
      <c r="D735" s="82"/>
      <c r="E735" s="83"/>
      <c r="F735" s="40"/>
      <c r="G735" s="40"/>
      <c r="H735" s="82"/>
      <c r="I735" s="84"/>
      <c r="J735" s="84"/>
      <c r="K735" s="84"/>
      <c r="L735" s="85"/>
      <c r="M735" s="40"/>
      <c r="N735" s="86"/>
      <c r="O735" s="86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>
      <c r="A736" s="40"/>
      <c r="B736" s="40"/>
      <c r="C736" s="40"/>
      <c r="D736" s="82"/>
      <c r="E736" s="83"/>
      <c r="F736" s="40"/>
      <c r="G736" s="40"/>
      <c r="H736" s="82"/>
      <c r="I736" s="84"/>
      <c r="J736" s="84"/>
      <c r="K736" s="84"/>
      <c r="L736" s="85"/>
      <c r="M736" s="40"/>
      <c r="N736" s="86"/>
      <c r="O736" s="86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>
      <c r="A737" s="40"/>
      <c r="B737" s="40"/>
      <c r="C737" s="40"/>
      <c r="D737" s="82"/>
      <c r="E737" s="83"/>
      <c r="F737" s="40"/>
      <c r="G737" s="40"/>
      <c r="H737" s="82"/>
      <c r="I737" s="84"/>
      <c r="J737" s="84"/>
      <c r="K737" s="84"/>
      <c r="L737" s="85"/>
      <c r="M737" s="40"/>
      <c r="N737" s="86"/>
      <c r="O737" s="86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>
      <c r="A738" s="40"/>
      <c r="B738" s="40"/>
      <c r="C738" s="40"/>
      <c r="D738" s="82"/>
      <c r="E738" s="83"/>
      <c r="F738" s="40"/>
      <c r="G738" s="40"/>
      <c r="H738" s="82"/>
      <c r="I738" s="84"/>
      <c r="J738" s="84"/>
      <c r="K738" s="84"/>
      <c r="L738" s="85"/>
      <c r="M738" s="40"/>
      <c r="N738" s="86"/>
      <c r="O738" s="86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>
      <c r="A739" s="40"/>
      <c r="B739" s="40"/>
      <c r="C739" s="40"/>
      <c r="D739" s="82"/>
      <c r="E739" s="83"/>
      <c r="F739" s="40"/>
      <c r="G739" s="40"/>
      <c r="H739" s="82"/>
      <c r="I739" s="84"/>
      <c r="J739" s="84"/>
      <c r="K739" s="84"/>
      <c r="L739" s="85"/>
      <c r="M739" s="40"/>
      <c r="N739" s="86"/>
      <c r="O739" s="86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>
      <c r="A740" s="40"/>
      <c r="B740" s="40"/>
      <c r="C740" s="40"/>
      <c r="D740" s="82"/>
      <c r="E740" s="83"/>
      <c r="F740" s="40"/>
      <c r="G740" s="40"/>
      <c r="H740" s="82"/>
      <c r="I740" s="84"/>
      <c r="J740" s="84"/>
      <c r="K740" s="84"/>
      <c r="L740" s="85"/>
      <c r="M740" s="40"/>
      <c r="N740" s="86"/>
      <c r="O740" s="86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>
      <c r="A741" s="40"/>
      <c r="B741" s="40"/>
      <c r="C741" s="40"/>
      <c r="D741" s="82"/>
      <c r="E741" s="83"/>
      <c r="F741" s="40"/>
      <c r="G741" s="40"/>
      <c r="H741" s="82"/>
      <c r="I741" s="84"/>
      <c r="J741" s="84"/>
      <c r="K741" s="84"/>
      <c r="L741" s="85"/>
      <c r="M741" s="40"/>
      <c r="N741" s="86"/>
      <c r="O741" s="86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>
      <c r="A742" s="40"/>
      <c r="B742" s="40"/>
      <c r="C742" s="40"/>
      <c r="D742" s="82"/>
      <c r="E742" s="83"/>
      <c r="F742" s="40"/>
      <c r="G742" s="40"/>
      <c r="H742" s="82"/>
      <c r="I742" s="84"/>
      <c r="J742" s="84"/>
      <c r="K742" s="84"/>
      <c r="L742" s="85"/>
      <c r="M742" s="40"/>
      <c r="N742" s="86"/>
      <c r="O742" s="86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>
      <c r="A743" s="40"/>
      <c r="B743" s="40"/>
      <c r="C743" s="40"/>
      <c r="D743" s="82"/>
      <c r="E743" s="83"/>
      <c r="F743" s="40"/>
      <c r="G743" s="40"/>
      <c r="H743" s="82"/>
      <c r="I743" s="84"/>
      <c r="J743" s="84"/>
      <c r="K743" s="84"/>
      <c r="L743" s="85"/>
      <c r="M743" s="40"/>
      <c r="N743" s="86"/>
      <c r="O743" s="86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>
      <c r="A744" s="40"/>
      <c r="B744" s="40"/>
      <c r="C744" s="40"/>
      <c r="D744" s="82"/>
      <c r="E744" s="83"/>
      <c r="F744" s="40"/>
      <c r="G744" s="40"/>
      <c r="H744" s="82"/>
      <c r="I744" s="84"/>
      <c r="J744" s="84"/>
      <c r="K744" s="84"/>
      <c r="L744" s="85"/>
      <c r="M744" s="40"/>
      <c r="N744" s="86"/>
      <c r="O744" s="86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>
      <c r="A745" s="40"/>
      <c r="B745" s="40"/>
      <c r="C745" s="40"/>
      <c r="D745" s="82"/>
      <c r="E745" s="83"/>
      <c r="F745" s="40"/>
      <c r="G745" s="40"/>
      <c r="H745" s="82"/>
      <c r="I745" s="84"/>
      <c r="J745" s="84"/>
      <c r="K745" s="84"/>
      <c r="L745" s="85"/>
      <c r="M745" s="40"/>
      <c r="N745" s="86"/>
      <c r="O745" s="86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>
      <c r="A746" s="40"/>
      <c r="B746" s="40"/>
      <c r="C746" s="40"/>
      <c r="D746" s="82"/>
      <c r="E746" s="83"/>
      <c r="F746" s="40"/>
      <c r="G746" s="40"/>
      <c r="H746" s="82"/>
      <c r="I746" s="84"/>
      <c r="J746" s="84"/>
      <c r="K746" s="84"/>
      <c r="L746" s="85"/>
      <c r="M746" s="40"/>
      <c r="N746" s="86"/>
      <c r="O746" s="86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>
      <c r="A747" s="40"/>
      <c r="B747" s="40"/>
      <c r="C747" s="40"/>
      <c r="D747" s="82"/>
      <c r="E747" s="83"/>
      <c r="F747" s="40"/>
      <c r="G747" s="40"/>
      <c r="H747" s="82"/>
      <c r="I747" s="84"/>
      <c r="J747" s="84"/>
      <c r="K747" s="84"/>
      <c r="L747" s="85"/>
      <c r="M747" s="40"/>
      <c r="N747" s="86"/>
      <c r="O747" s="86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>
      <c r="A748" s="40"/>
      <c r="B748" s="40"/>
      <c r="C748" s="40"/>
      <c r="D748" s="82"/>
      <c r="E748" s="83"/>
      <c r="F748" s="40"/>
      <c r="G748" s="40"/>
      <c r="H748" s="82"/>
      <c r="I748" s="84"/>
      <c r="J748" s="84"/>
      <c r="K748" s="84"/>
      <c r="L748" s="85"/>
      <c r="M748" s="40"/>
      <c r="N748" s="86"/>
      <c r="O748" s="86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>
      <c r="A749" s="40"/>
      <c r="B749" s="40"/>
      <c r="C749" s="40"/>
      <c r="D749" s="82"/>
      <c r="E749" s="83"/>
      <c r="F749" s="40"/>
      <c r="G749" s="40"/>
      <c r="H749" s="82"/>
      <c r="I749" s="84"/>
      <c r="J749" s="84"/>
      <c r="K749" s="84"/>
      <c r="L749" s="85"/>
      <c r="M749" s="40"/>
      <c r="N749" s="86"/>
      <c r="O749" s="86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>
      <c r="A750" s="40"/>
      <c r="B750" s="40"/>
      <c r="C750" s="40"/>
      <c r="D750" s="82"/>
      <c r="E750" s="83"/>
      <c r="F750" s="40"/>
      <c r="G750" s="40"/>
      <c r="H750" s="82"/>
      <c r="I750" s="84"/>
      <c r="J750" s="84"/>
      <c r="K750" s="84"/>
      <c r="L750" s="85"/>
      <c r="M750" s="40"/>
      <c r="N750" s="86"/>
      <c r="O750" s="86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>
      <c r="A751" s="40"/>
      <c r="B751" s="40"/>
      <c r="C751" s="40"/>
      <c r="D751" s="82"/>
      <c r="E751" s="83"/>
      <c r="F751" s="40"/>
      <c r="G751" s="40"/>
      <c r="H751" s="82"/>
      <c r="I751" s="84"/>
      <c r="J751" s="84"/>
      <c r="K751" s="84"/>
      <c r="L751" s="85"/>
      <c r="M751" s="40"/>
      <c r="N751" s="86"/>
      <c r="O751" s="86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>
      <c r="A752" s="40"/>
      <c r="B752" s="40"/>
      <c r="C752" s="40"/>
      <c r="D752" s="82"/>
      <c r="E752" s="83"/>
      <c r="F752" s="40"/>
      <c r="G752" s="40"/>
      <c r="H752" s="82"/>
      <c r="I752" s="84"/>
      <c r="J752" s="84"/>
      <c r="K752" s="84"/>
      <c r="L752" s="85"/>
      <c r="M752" s="40"/>
      <c r="N752" s="86"/>
      <c r="O752" s="86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>
      <c r="A753" s="40"/>
      <c r="B753" s="40"/>
      <c r="C753" s="40"/>
      <c r="D753" s="82"/>
      <c r="E753" s="83"/>
      <c r="F753" s="40"/>
      <c r="G753" s="40"/>
      <c r="H753" s="82"/>
      <c r="I753" s="84"/>
      <c r="J753" s="84"/>
      <c r="K753" s="84"/>
      <c r="L753" s="85"/>
      <c r="M753" s="40"/>
      <c r="N753" s="86"/>
      <c r="O753" s="86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>
      <c r="A754" s="40"/>
      <c r="B754" s="40"/>
      <c r="C754" s="40"/>
      <c r="D754" s="82"/>
      <c r="E754" s="83"/>
      <c r="F754" s="40"/>
      <c r="G754" s="40"/>
      <c r="H754" s="82"/>
      <c r="I754" s="84"/>
      <c r="J754" s="84"/>
      <c r="K754" s="84"/>
      <c r="L754" s="85"/>
      <c r="M754" s="40"/>
      <c r="N754" s="86"/>
      <c r="O754" s="86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>
      <c r="A755" s="40"/>
      <c r="B755" s="40"/>
      <c r="C755" s="40"/>
      <c r="D755" s="82"/>
      <c r="E755" s="83"/>
      <c r="F755" s="40"/>
      <c r="G755" s="40"/>
      <c r="H755" s="82"/>
      <c r="I755" s="84"/>
      <c r="J755" s="84"/>
      <c r="K755" s="84"/>
      <c r="L755" s="85"/>
      <c r="M755" s="40"/>
      <c r="N755" s="86"/>
      <c r="O755" s="86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>
      <c r="A756" s="40"/>
      <c r="B756" s="40"/>
      <c r="C756" s="40"/>
      <c r="D756" s="82"/>
      <c r="E756" s="83"/>
      <c r="F756" s="40"/>
      <c r="G756" s="40"/>
      <c r="H756" s="82"/>
      <c r="I756" s="84"/>
      <c r="J756" s="84"/>
      <c r="K756" s="84"/>
      <c r="L756" s="85"/>
      <c r="M756" s="40"/>
      <c r="N756" s="86"/>
      <c r="O756" s="86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>
      <c r="A757" s="40"/>
      <c r="B757" s="40"/>
      <c r="C757" s="40"/>
      <c r="D757" s="82"/>
      <c r="E757" s="83"/>
      <c r="F757" s="40"/>
      <c r="G757" s="40"/>
      <c r="H757" s="82"/>
      <c r="I757" s="84"/>
      <c r="J757" s="84"/>
      <c r="K757" s="84"/>
      <c r="L757" s="85"/>
      <c r="M757" s="40"/>
      <c r="N757" s="86"/>
      <c r="O757" s="86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>
      <c r="A758" s="40"/>
      <c r="B758" s="40"/>
      <c r="C758" s="40"/>
      <c r="D758" s="82"/>
      <c r="E758" s="83"/>
      <c r="F758" s="40"/>
      <c r="G758" s="40"/>
      <c r="H758" s="82"/>
      <c r="I758" s="84"/>
      <c r="J758" s="84"/>
      <c r="K758" s="84"/>
      <c r="L758" s="85"/>
      <c r="M758" s="40"/>
      <c r="N758" s="86"/>
      <c r="O758" s="86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>
      <c r="A759" s="40"/>
      <c r="B759" s="40"/>
      <c r="C759" s="40"/>
      <c r="D759" s="82"/>
      <c r="E759" s="83"/>
      <c r="F759" s="40"/>
      <c r="G759" s="40"/>
      <c r="H759" s="82"/>
      <c r="I759" s="84"/>
      <c r="J759" s="84"/>
      <c r="K759" s="84"/>
      <c r="L759" s="85"/>
      <c r="M759" s="40"/>
      <c r="N759" s="86"/>
      <c r="O759" s="86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>
      <c r="A760" s="40"/>
      <c r="B760" s="40"/>
      <c r="C760" s="40"/>
      <c r="D760" s="82"/>
      <c r="E760" s="83"/>
      <c r="F760" s="40"/>
      <c r="G760" s="40"/>
      <c r="H760" s="82"/>
      <c r="I760" s="84"/>
      <c r="J760" s="84"/>
      <c r="K760" s="84"/>
      <c r="L760" s="85"/>
      <c r="M760" s="40"/>
      <c r="N760" s="86"/>
      <c r="O760" s="86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>
      <c r="A761" s="40"/>
      <c r="B761" s="40"/>
      <c r="C761" s="40"/>
      <c r="D761" s="82"/>
      <c r="E761" s="83"/>
      <c r="F761" s="40"/>
      <c r="G761" s="40"/>
      <c r="H761" s="82"/>
      <c r="I761" s="84"/>
      <c r="J761" s="84"/>
      <c r="K761" s="84"/>
      <c r="L761" s="85"/>
      <c r="M761" s="40"/>
      <c r="N761" s="86"/>
      <c r="O761" s="86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>
      <c r="A762" s="40"/>
      <c r="B762" s="40"/>
      <c r="C762" s="40"/>
      <c r="D762" s="82"/>
      <c r="E762" s="83"/>
      <c r="F762" s="40"/>
      <c r="G762" s="40"/>
      <c r="H762" s="82"/>
      <c r="I762" s="84"/>
      <c r="J762" s="84"/>
      <c r="K762" s="84"/>
      <c r="L762" s="85"/>
      <c r="M762" s="40"/>
      <c r="N762" s="86"/>
      <c r="O762" s="86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>
      <c r="A763" s="40"/>
      <c r="B763" s="40"/>
      <c r="C763" s="40"/>
      <c r="D763" s="82"/>
      <c r="E763" s="83"/>
      <c r="F763" s="40"/>
      <c r="G763" s="40"/>
      <c r="H763" s="82"/>
      <c r="I763" s="84"/>
      <c r="J763" s="84"/>
      <c r="K763" s="84"/>
      <c r="L763" s="85"/>
      <c r="M763" s="40"/>
      <c r="N763" s="86"/>
      <c r="O763" s="86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>
      <c r="A764" s="40"/>
      <c r="B764" s="40"/>
      <c r="C764" s="40"/>
      <c r="D764" s="82"/>
      <c r="E764" s="83"/>
      <c r="F764" s="40"/>
      <c r="G764" s="40"/>
      <c r="H764" s="82"/>
      <c r="I764" s="84"/>
      <c r="J764" s="84"/>
      <c r="K764" s="84"/>
      <c r="L764" s="85"/>
      <c r="M764" s="40"/>
      <c r="N764" s="86"/>
      <c r="O764" s="86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>
      <c r="A765" s="40"/>
      <c r="B765" s="40"/>
      <c r="C765" s="40"/>
      <c r="D765" s="82"/>
      <c r="E765" s="83"/>
      <c r="F765" s="40"/>
      <c r="G765" s="40"/>
      <c r="H765" s="82"/>
      <c r="I765" s="84"/>
      <c r="J765" s="84"/>
      <c r="K765" s="84"/>
      <c r="L765" s="85"/>
      <c r="M765" s="40"/>
      <c r="N765" s="86"/>
      <c r="O765" s="86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>
      <c r="A766" s="40"/>
      <c r="B766" s="40"/>
      <c r="C766" s="40"/>
      <c r="D766" s="82"/>
      <c r="E766" s="83"/>
      <c r="F766" s="40"/>
      <c r="G766" s="40"/>
      <c r="H766" s="82"/>
      <c r="I766" s="84"/>
      <c r="J766" s="84"/>
      <c r="K766" s="84"/>
      <c r="L766" s="85"/>
      <c r="M766" s="40"/>
      <c r="N766" s="86"/>
      <c r="O766" s="86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>
      <c r="A767" s="40"/>
      <c r="B767" s="40"/>
      <c r="C767" s="40"/>
      <c r="D767" s="82"/>
      <c r="E767" s="83"/>
      <c r="F767" s="40"/>
      <c r="G767" s="40"/>
      <c r="H767" s="82"/>
      <c r="I767" s="84"/>
      <c r="J767" s="84"/>
      <c r="K767" s="84"/>
      <c r="L767" s="85"/>
      <c r="M767" s="40"/>
      <c r="N767" s="86"/>
      <c r="O767" s="86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>
      <c r="A768" s="40"/>
      <c r="B768" s="40"/>
      <c r="C768" s="40"/>
      <c r="D768" s="82"/>
      <c r="E768" s="83"/>
      <c r="F768" s="40"/>
      <c r="G768" s="40"/>
      <c r="H768" s="82"/>
      <c r="I768" s="84"/>
      <c r="J768" s="84"/>
      <c r="K768" s="84"/>
      <c r="L768" s="85"/>
      <c r="M768" s="40"/>
      <c r="N768" s="86"/>
      <c r="O768" s="86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>
      <c r="A769" s="40"/>
      <c r="B769" s="40"/>
      <c r="C769" s="40"/>
      <c r="D769" s="82"/>
      <c r="E769" s="83"/>
      <c r="F769" s="40"/>
      <c r="G769" s="40"/>
      <c r="H769" s="82"/>
      <c r="I769" s="84"/>
      <c r="J769" s="84"/>
      <c r="K769" s="84"/>
      <c r="L769" s="85"/>
      <c r="M769" s="40"/>
      <c r="N769" s="86"/>
      <c r="O769" s="86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>
      <c r="A770" s="40"/>
      <c r="B770" s="40"/>
      <c r="C770" s="40"/>
      <c r="D770" s="82"/>
      <c r="E770" s="83"/>
      <c r="F770" s="40"/>
      <c r="G770" s="40"/>
      <c r="H770" s="82"/>
      <c r="I770" s="84"/>
      <c r="J770" s="84"/>
      <c r="K770" s="84"/>
      <c r="L770" s="85"/>
      <c r="M770" s="40"/>
      <c r="N770" s="86"/>
      <c r="O770" s="86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>
      <c r="A771" s="40"/>
      <c r="B771" s="40"/>
      <c r="C771" s="40"/>
      <c r="D771" s="82"/>
      <c r="E771" s="83"/>
      <c r="F771" s="40"/>
      <c r="G771" s="40"/>
      <c r="H771" s="82"/>
      <c r="I771" s="84"/>
      <c r="J771" s="84"/>
      <c r="K771" s="84"/>
      <c r="L771" s="85"/>
      <c r="M771" s="40"/>
      <c r="N771" s="86"/>
      <c r="O771" s="86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>
      <c r="A772" s="40"/>
      <c r="B772" s="40"/>
      <c r="C772" s="40"/>
      <c r="D772" s="82"/>
      <c r="E772" s="83"/>
      <c r="F772" s="40"/>
      <c r="G772" s="40"/>
      <c r="H772" s="82"/>
      <c r="I772" s="84"/>
      <c r="J772" s="84"/>
      <c r="K772" s="84"/>
      <c r="L772" s="85"/>
      <c r="M772" s="40"/>
      <c r="N772" s="86"/>
      <c r="O772" s="86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>
      <c r="A773" s="40"/>
      <c r="B773" s="40"/>
      <c r="C773" s="40"/>
      <c r="D773" s="82"/>
      <c r="E773" s="83"/>
      <c r="F773" s="40"/>
      <c r="G773" s="40"/>
      <c r="H773" s="82"/>
      <c r="I773" s="84"/>
      <c r="J773" s="84"/>
      <c r="K773" s="84"/>
      <c r="L773" s="85"/>
      <c r="M773" s="40"/>
      <c r="N773" s="86"/>
      <c r="O773" s="86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>
      <c r="A774" s="40"/>
      <c r="B774" s="40"/>
      <c r="C774" s="40"/>
      <c r="D774" s="82"/>
      <c r="E774" s="83"/>
      <c r="F774" s="40"/>
      <c r="G774" s="40"/>
      <c r="H774" s="82"/>
      <c r="I774" s="84"/>
      <c r="J774" s="84"/>
      <c r="K774" s="84"/>
      <c r="L774" s="85"/>
      <c r="M774" s="40"/>
      <c r="N774" s="86"/>
      <c r="O774" s="86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>
      <c r="A775" s="40"/>
      <c r="B775" s="40"/>
      <c r="C775" s="40"/>
      <c r="D775" s="82"/>
      <c r="E775" s="83"/>
      <c r="F775" s="40"/>
      <c r="G775" s="40"/>
      <c r="H775" s="82"/>
      <c r="I775" s="84"/>
      <c r="J775" s="84"/>
      <c r="K775" s="84"/>
      <c r="L775" s="85"/>
      <c r="M775" s="40"/>
      <c r="N775" s="86"/>
      <c r="O775" s="86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>
      <c r="A776" s="40"/>
      <c r="B776" s="40"/>
      <c r="C776" s="40"/>
      <c r="D776" s="82"/>
      <c r="E776" s="83"/>
      <c r="F776" s="40"/>
      <c r="G776" s="40"/>
      <c r="H776" s="82"/>
      <c r="I776" s="84"/>
      <c r="J776" s="84"/>
      <c r="K776" s="84"/>
      <c r="L776" s="85"/>
      <c r="M776" s="40"/>
      <c r="N776" s="86"/>
      <c r="O776" s="86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>
      <c r="A777" s="40"/>
      <c r="B777" s="40"/>
      <c r="C777" s="40"/>
      <c r="D777" s="82"/>
      <c r="E777" s="83"/>
      <c r="F777" s="40"/>
      <c r="G777" s="40"/>
      <c r="H777" s="82"/>
      <c r="I777" s="84"/>
      <c r="J777" s="84"/>
      <c r="K777" s="84"/>
      <c r="L777" s="85"/>
      <c r="M777" s="40"/>
      <c r="N777" s="86"/>
      <c r="O777" s="86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>
      <c r="A778" s="40"/>
      <c r="B778" s="40"/>
      <c r="C778" s="40"/>
      <c r="D778" s="82"/>
      <c r="E778" s="83"/>
      <c r="F778" s="40"/>
      <c r="G778" s="40"/>
      <c r="H778" s="82"/>
      <c r="I778" s="84"/>
      <c r="J778" s="84"/>
      <c r="K778" s="84"/>
      <c r="L778" s="85"/>
      <c r="M778" s="40"/>
      <c r="N778" s="86"/>
      <c r="O778" s="86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>
      <c r="A779" s="40"/>
      <c r="B779" s="40"/>
      <c r="C779" s="40"/>
      <c r="D779" s="82"/>
      <c r="E779" s="83"/>
      <c r="F779" s="40"/>
      <c r="G779" s="40"/>
      <c r="H779" s="82"/>
      <c r="I779" s="84"/>
      <c r="J779" s="84"/>
      <c r="K779" s="84"/>
      <c r="L779" s="85"/>
      <c r="M779" s="40"/>
      <c r="N779" s="86"/>
      <c r="O779" s="86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>
      <c r="A780" s="40"/>
      <c r="B780" s="40"/>
      <c r="C780" s="40"/>
      <c r="D780" s="82"/>
      <c r="E780" s="83"/>
      <c r="F780" s="40"/>
      <c r="G780" s="40"/>
      <c r="H780" s="82"/>
      <c r="I780" s="84"/>
      <c r="J780" s="84"/>
      <c r="K780" s="84"/>
      <c r="L780" s="85"/>
      <c r="M780" s="40"/>
      <c r="N780" s="86"/>
      <c r="O780" s="86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>
      <c r="A781" s="40"/>
      <c r="B781" s="40"/>
      <c r="C781" s="40"/>
      <c r="D781" s="82"/>
      <c r="E781" s="83"/>
      <c r="F781" s="40"/>
      <c r="G781" s="40"/>
      <c r="H781" s="82"/>
      <c r="I781" s="84"/>
      <c r="J781" s="84"/>
      <c r="K781" s="84"/>
      <c r="L781" s="85"/>
      <c r="M781" s="40"/>
      <c r="N781" s="86"/>
      <c r="O781" s="86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>
      <c r="A782" s="40"/>
      <c r="B782" s="40"/>
      <c r="C782" s="40"/>
      <c r="D782" s="82"/>
      <c r="E782" s="83"/>
      <c r="F782" s="40"/>
      <c r="G782" s="40"/>
      <c r="H782" s="82"/>
      <c r="I782" s="84"/>
      <c r="J782" s="84"/>
      <c r="K782" s="84"/>
      <c r="L782" s="85"/>
      <c r="M782" s="40"/>
      <c r="N782" s="86"/>
      <c r="O782" s="86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>
      <c r="A783" s="40"/>
      <c r="B783" s="40"/>
      <c r="C783" s="40"/>
      <c r="D783" s="82"/>
      <c r="E783" s="83"/>
      <c r="F783" s="40"/>
      <c r="G783" s="40"/>
      <c r="H783" s="82"/>
      <c r="I783" s="84"/>
      <c r="J783" s="84"/>
      <c r="K783" s="84"/>
      <c r="L783" s="85"/>
      <c r="M783" s="40"/>
      <c r="N783" s="86"/>
      <c r="O783" s="86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>
      <c r="A784" s="40"/>
      <c r="B784" s="40"/>
      <c r="C784" s="40"/>
      <c r="D784" s="82"/>
      <c r="E784" s="83"/>
      <c r="F784" s="40"/>
      <c r="G784" s="40"/>
      <c r="H784" s="82"/>
      <c r="I784" s="84"/>
      <c r="J784" s="84"/>
      <c r="K784" s="84"/>
      <c r="L784" s="85"/>
      <c r="M784" s="40"/>
      <c r="N784" s="86"/>
      <c r="O784" s="86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>
      <c r="A785" s="40"/>
      <c r="B785" s="40"/>
      <c r="C785" s="40"/>
      <c r="D785" s="82"/>
      <c r="E785" s="83"/>
      <c r="F785" s="40"/>
      <c r="G785" s="40"/>
      <c r="H785" s="82"/>
      <c r="I785" s="84"/>
      <c r="J785" s="84"/>
      <c r="K785" s="84"/>
      <c r="L785" s="85"/>
      <c r="M785" s="40"/>
      <c r="N785" s="86"/>
      <c r="O785" s="86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>
      <c r="A786" s="40"/>
      <c r="B786" s="40"/>
      <c r="C786" s="40"/>
      <c r="D786" s="82"/>
      <c r="E786" s="83"/>
      <c r="F786" s="40"/>
      <c r="G786" s="40"/>
      <c r="H786" s="82"/>
      <c r="I786" s="84"/>
      <c r="J786" s="84"/>
      <c r="K786" s="84"/>
      <c r="L786" s="85"/>
      <c r="M786" s="40"/>
      <c r="N786" s="86"/>
      <c r="O786" s="86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>
      <c r="A787" s="40"/>
      <c r="B787" s="40"/>
      <c r="C787" s="40"/>
      <c r="D787" s="82"/>
      <c r="E787" s="83"/>
      <c r="F787" s="40"/>
      <c r="G787" s="40"/>
      <c r="H787" s="82"/>
      <c r="I787" s="84"/>
      <c r="J787" s="84"/>
      <c r="K787" s="84"/>
      <c r="L787" s="85"/>
      <c r="M787" s="40"/>
      <c r="N787" s="86"/>
      <c r="O787" s="86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>
      <c r="A788" s="40"/>
      <c r="B788" s="40"/>
      <c r="C788" s="40"/>
      <c r="D788" s="82"/>
      <c r="E788" s="83"/>
      <c r="F788" s="40"/>
      <c r="G788" s="40"/>
      <c r="H788" s="82"/>
      <c r="I788" s="84"/>
      <c r="J788" s="84"/>
      <c r="K788" s="84"/>
      <c r="L788" s="85"/>
      <c r="M788" s="40"/>
      <c r="N788" s="86"/>
      <c r="O788" s="86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>
      <c r="A789" s="40"/>
      <c r="B789" s="40"/>
      <c r="C789" s="40"/>
      <c r="D789" s="82"/>
      <c r="E789" s="83"/>
      <c r="F789" s="40"/>
      <c r="G789" s="40"/>
      <c r="H789" s="82"/>
      <c r="I789" s="84"/>
      <c r="J789" s="84"/>
      <c r="K789" s="84"/>
      <c r="L789" s="85"/>
      <c r="M789" s="40"/>
      <c r="N789" s="86"/>
      <c r="O789" s="86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>
      <c r="A790" s="40"/>
      <c r="B790" s="40"/>
      <c r="C790" s="40"/>
      <c r="D790" s="82"/>
      <c r="E790" s="83"/>
      <c r="F790" s="40"/>
      <c r="G790" s="40"/>
      <c r="H790" s="82"/>
      <c r="I790" s="84"/>
      <c r="J790" s="84"/>
      <c r="K790" s="84"/>
      <c r="L790" s="85"/>
      <c r="M790" s="40"/>
      <c r="N790" s="86"/>
      <c r="O790" s="86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>
      <c r="A791" s="40"/>
      <c r="B791" s="40"/>
      <c r="C791" s="40"/>
      <c r="D791" s="82"/>
      <c r="E791" s="83"/>
      <c r="F791" s="40"/>
      <c r="G791" s="40"/>
      <c r="H791" s="82"/>
      <c r="I791" s="84"/>
      <c r="J791" s="84"/>
      <c r="K791" s="84"/>
      <c r="L791" s="85"/>
      <c r="M791" s="40"/>
      <c r="N791" s="86"/>
      <c r="O791" s="86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>
      <c r="A792" s="40"/>
      <c r="B792" s="40"/>
      <c r="C792" s="40"/>
      <c r="D792" s="82"/>
      <c r="E792" s="83"/>
      <c r="F792" s="40"/>
      <c r="G792" s="40"/>
      <c r="H792" s="82"/>
      <c r="I792" s="84"/>
      <c r="J792" s="84"/>
      <c r="K792" s="84"/>
      <c r="L792" s="85"/>
      <c r="M792" s="40"/>
      <c r="N792" s="86"/>
      <c r="O792" s="86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>
      <c r="A793" s="40"/>
      <c r="B793" s="40"/>
      <c r="C793" s="40"/>
      <c r="D793" s="82"/>
      <c r="E793" s="83"/>
      <c r="F793" s="40"/>
      <c r="G793" s="40"/>
      <c r="H793" s="82"/>
      <c r="I793" s="84"/>
      <c r="J793" s="84"/>
      <c r="K793" s="84"/>
      <c r="L793" s="85"/>
      <c r="M793" s="40"/>
      <c r="N793" s="86"/>
      <c r="O793" s="86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>
      <c r="A794" s="40"/>
      <c r="B794" s="40"/>
      <c r="C794" s="40"/>
      <c r="D794" s="82"/>
      <c r="E794" s="83"/>
      <c r="F794" s="40"/>
      <c r="G794" s="40"/>
      <c r="H794" s="82"/>
      <c r="I794" s="84"/>
      <c r="J794" s="84"/>
      <c r="K794" s="84"/>
      <c r="L794" s="85"/>
      <c r="M794" s="40"/>
      <c r="N794" s="86"/>
      <c r="O794" s="86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>
      <c r="A795" s="40"/>
      <c r="B795" s="40"/>
      <c r="C795" s="40"/>
      <c r="D795" s="82"/>
      <c r="E795" s="83"/>
      <c r="F795" s="40"/>
      <c r="G795" s="40"/>
      <c r="H795" s="82"/>
      <c r="I795" s="84"/>
      <c r="J795" s="84"/>
      <c r="K795" s="84"/>
      <c r="L795" s="85"/>
      <c r="M795" s="40"/>
      <c r="N795" s="86"/>
      <c r="O795" s="86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>
      <c r="A796" s="40"/>
      <c r="B796" s="40"/>
      <c r="C796" s="40"/>
      <c r="D796" s="82"/>
      <c r="E796" s="83"/>
      <c r="F796" s="40"/>
      <c r="G796" s="40"/>
      <c r="H796" s="82"/>
      <c r="I796" s="84"/>
      <c r="J796" s="84"/>
      <c r="K796" s="84"/>
      <c r="L796" s="85"/>
      <c r="M796" s="40"/>
      <c r="N796" s="86"/>
      <c r="O796" s="86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>
      <c r="A797" s="40"/>
      <c r="B797" s="40"/>
      <c r="C797" s="40"/>
      <c r="D797" s="82"/>
      <c r="E797" s="83"/>
      <c r="F797" s="40"/>
      <c r="G797" s="40"/>
      <c r="H797" s="82"/>
      <c r="I797" s="84"/>
      <c r="J797" s="84"/>
      <c r="K797" s="84"/>
      <c r="L797" s="85"/>
      <c r="M797" s="40"/>
      <c r="N797" s="86"/>
      <c r="O797" s="86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>
      <c r="A798" s="40"/>
      <c r="B798" s="40"/>
      <c r="C798" s="40"/>
      <c r="D798" s="82"/>
      <c r="E798" s="83"/>
      <c r="F798" s="40"/>
      <c r="G798" s="40"/>
      <c r="H798" s="82"/>
      <c r="I798" s="84"/>
      <c r="J798" s="84"/>
      <c r="K798" s="84"/>
      <c r="L798" s="85"/>
      <c r="M798" s="40"/>
      <c r="N798" s="86"/>
      <c r="O798" s="86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>
      <c r="A799" s="40"/>
      <c r="B799" s="40"/>
      <c r="C799" s="40"/>
      <c r="D799" s="82"/>
      <c r="E799" s="83"/>
      <c r="F799" s="40"/>
      <c r="G799" s="40"/>
      <c r="H799" s="82"/>
      <c r="I799" s="84"/>
      <c r="J799" s="84"/>
      <c r="K799" s="84"/>
      <c r="L799" s="85"/>
      <c r="M799" s="40"/>
      <c r="N799" s="86"/>
      <c r="O799" s="86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>
      <c r="A800" s="40"/>
      <c r="B800" s="40"/>
      <c r="C800" s="40"/>
      <c r="D800" s="82"/>
      <c r="E800" s="83"/>
      <c r="F800" s="40"/>
      <c r="G800" s="40"/>
      <c r="H800" s="82"/>
      <c r="I800" s="84"/>
      <c r="J800" s="84"/>
      <c r="K800" s="84"/>
      <c r="L800" s="85"/>
      <c r="M800" s="40"/>
      <c r="N800" s="86"/>
      <c r="O800" s="86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>
      <c r="A801" s="40"/>
      <c r="B801" s="40"/>
      <c r="C801" s="40"/>
      <c r="D801" s="82"/>
      <c r="E801" s="83"/>
      <c r="F801" s="40"/>
      <c r="G801" s="40"/>
      <c r="H801" s="82"/>
      <c r="I801" s="84"/>
      <c r="J801" s="84"/>
      <c r="K801" s="84"/>
      <c r="L801" s="85"/>
      <c r="M801" s="40"/>
      <c r="N801" s="86"/>
      <c r="O801" s="86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>
      <c r="A802" s="40"/>
      <c r="B802" s="40"/>
      <c r="C802" s="40"/>
      <c r="D802" s="82"/>
      <c r="E802" s="83"/>
      <c r="F802" s="40"/>
      <c r="G802" s="40"/>
      <c r="H802" s="82"/>
      <c r="I802" s="84"/>
      <c r="J802" s="84"/>
      <c r="K802" s="84"/>
      <c r="L802" s="85"/>
      <c r="M802" s="40"/>
      <c r="N802" s="86"/>
      <c r="O802" s="86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>
      <c r="A803" s="40"/>
      <c r="B803" s="40"/>
      <c r="C803" s="40"/>
      <c r="D803" s="82"/>
      <c r="E803" s="83"/>
      <c r="F803" s="40"/>
      <c r="G803" s="40"/>
      <c r="H803" s="82"/>
      <c r="I803" s="84"/>
      <c r="J803" s="84"/>
      <c r="K803" s="84"/>
      <c r="L803" s="85"/>
      <c r="M803" s="40"/>
      <c r="N803" s="86"/>
      <c r="O803" s="86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>
      <c r="A804" s="40"/>
      <c r="B804" s="40"/>
      <c r="C804" s="40"/>
      <c r="D804" s="82"/>
      <c r="E804" s="83"/>
      <c r="F804" s="40"/>
      <c r="G804" s="40"/>
      <c r="H804" s="82"/>
      <c r="I804" s="84"/>
      <c r="J804" s="84"/>
      <c r="K804" s="84"/>
      <c r="L804" s="85"/>
      <c r="M804" s="40"/>
      <c r="N804" s="86"/>
      <c r="O804" s="86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>
      <c r="A805" s="40"/>
      <c r="B805" s="40"/>
      <c r="C805" s="40"/>
      <c r="D805" s="82"/>
      <c r="E805" s="83"/>
      <c r="F805" s="40"/>
      <c r="G805" s="40"/>
      <c r="H805" s="82"/>
      <c r="I805" s="84"/>
      <c r="J805" s="84"/>
      <c r="K805" s="84"/>
      <c r="L805" s="85"/>
      <c r="M805" s="40"/>
      <c r="N805" s="86"/>
      <c r="O805" s="86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>
      <c r="A806" s="40"/>
      <c r="B806" s="40"/>
      <c r="C806" s="40"/>
      <c r="D806" s="82"/>
      <c r="E806" s="83"/>
      <c r="F806" s="40"/>
      <c r="G806" s="40"/>
      <c r="H806" s="82"/>
      <c r="I806" s="84"/>
      <c r="J806" s="84"/>
      <c r="K806" s="84"/>
      <c r="L806" s="85"/>
      <c r="M806" s="40"/>
      <c r="N806" s="86"/>
      <c r="O806" s="86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>
      <c r="A807" s="40"/>
      <c r="B807" s="40"/>
      <c r="C807" s="40"/>
      <c r="D807" s="82"/>
      <c r="E807" s="83"/>
      <c r="F807" s="40"/>
      <c r="G807" s="40"/>
      <c r="H807" s="82"/>
      <c r="I807" s="84"/>
      <c r="J807" s="84"/>
      <c r="K807" s="84"/>
      <c r="L807" s="85"/>
      <c r="M807" s="40"/>
      <c r="N807" s="86"/>
      <c r="O807" s="86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>
      <c r="A808" s="40"/>
      <c r="B808" s="40"/>
      <c r="C808" s="40"/>
      <c r="D808" s="82"/>
      <c r="E808" s="83"/>
      <c r="F808" s="40"/>
      <c r="G808" s="40"/>
      <c r="H808" s="82"/>
      <c r="I808" s="84"/>
      <c r="J808" s="84"/>
      <c r="K808" s="84"/>
      <c r="L808" s="85"/>
      <c r="M808" s="40"/>
      <c r="N808" s="86"/>
      <c r="O808" s="86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>
      <c r="A809" s="40"/>
      <c r="B809" s="40"/>
      <c r="C809" s="40"/>
      <c r="D809" s="82"/>
      <c r="E809" s="83"/>
      <c r="F809" s="40"/>
      <c r="G809" s="40"/>
      <c r="H809" s="82"/>
      <c r="I809" s="84"/>
      <c r="J809" s="84"/>
      <c r="K809" s="84"/>
      <c r="L809" s="85"/>
      <c r="M809" s="40"/>
      <c r="N809" s="86"/>
      <c r="O809" s="86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>
      <c r="A810" s="40"/>
      <c r="B810" s="40"/>
      <c r="C810" s="40"/>
      <c r="D810" s="82"/>
      <c r="E810" s="83"/>
      <c r="F810" s="40"/>
      <c r="G810" s="40"/>
      <c r="H810" s="82"/>
      <c r="I810" s="84"/>
      <c r="J810" s="84"/>
      <c r="K810" s="84"/>
      <c r="L810" s="85"/>
      <c r="M810" s="40"/>
      <c r="N810" s="86"/>
      <c r="O810" s="86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>
      <c r="A811" s="40"/>
      <c r="B811" s="40"/>
      <c r="C811" s="40"/>
      <c r="D811" s="82"/>
      <c r="E811" s="83"/>
      <c r="F811" s="40"/>
      <c r="G811" s="40"/>
      <c r="H811" s="82"/>
      <c r="I811" s="84"/>
      <c r="J811" s="84"/>
      <c r="K811" s="84"/>
      <c r="L811" s="85"/>
      <c r="M811" s="40"/>
      <c r="N811" s="86"/>
      <c r="O811" s="86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>
      <c r="A812" s="40"/>
      <c r="B812" s="40"/>
      <c r="C812" s="40"/>
      <c r="D812" s="82"/>
      <c r="E812" s="83"/>
      <c r="F812" s="40"/>
      <c r="G812" s="40"/>
      <c r="H812" s="82"/>
      <c r="I812" s="84"/>
      <c r="J812" s="84"/>
      <c r="K812" s="84"/>
      <c r="L812" s="85"/>
      <c r="M812" s="40"/>
      <c r="N812" s="86"/>
      <c r="O812" s="86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>
      <c r="A813" s="40"/>
      <c r="B813" s="40"/>
      <c r="C813" s="40"/>
      <c r="D813" s="82"/>
      <c r="E813" s="83"/>
      <c r="F813" s="40"/>
      <c r="G813" s="40"/>
      <c r="H813" s="82"/>
      <c r="I813" s="84"/>
      <c r="J813" s="84"/>
      <c r="K813" s="84"/>
      <c r="L813" s="85"/>
      <c r="M813" s="40"/>
      <c r="N813" s="86"/>
      <c r="O813" s="86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>
      <c r="A814" s="40"/>
      <c r="B814" s="40"/>
      <c r="C814" s="40"/>
      <c r="D814" s="82"/>
      <c r="E814" s="83"/>
      <c r="F814" s="40"/>
      <c r="G814" s="40"/>
      <c r="H814" s="82"/>
      <c r="I814" s="84"/>
      <c r="J814" s="84"/>
      <c r="K814" s="84"/>
      <c r="L814" s="85"/>
      <c r="M814" s="40"/>
      <c r="N814" s="86"/>
      <c r="O814" s="86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>
      <c r="A815" s="40"/>
      <c r="B815" s="40"/>
      <c r="C815" s="40"/>
      <c r="D815" s="82"/>
      <c r="E815" s="83"/>
      <c r="F815" s="40"/>
      <c r="G815" s="40"/>
      <c r="H815" s="82"/>
      <c r="I815" s="84"/>
      <c r="J815" s="84"/>
      <c r="K815" s="84"/>
      <c r="L815" s="85"/>
      <c r="M815" s="40"/>
      <c r="N815" s="86"/>
      <c r="O815" s="86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>
      <c r="A816" s="40"/>
      <c r="B816" s="40"/>
      <c r="C816" s="40"/>
      <c r="D816" s="82"/>
      <c r="E816" s="83"/>
      <c r="F816" s="40"/>
      <c r="G816" s="40"/>
      <c r="H816" s="82"/>
      <c r="I816" s="84"/>
      <c r="J816" s="84"/>
      <c r="K816" s="84"/>
      <c r="L816" s="85"/>
      <c r="M816" s="40"/>
      <c r="N816" s="86"/>
      <c r="O816" s="86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>
      <c r="A817" s="40"/>
      <c r="B817" s="40"/>
      <c r="C817" s="40"/>
      <c r="D817" s="82"/>
      <c r="E817" s="83"/>
      <c r="F817" s="40"/>
      <c r="G817" s="40"/>
      <c r="H817" s="82"/>
      <c r="I817" s="84"/>
      <c r="J817" s="84"/>
      <c r="K817" s="84"/>
      <c r="L817" s="85"/>
      <c r="M817" s="40"/>
      <c r="N817" s="86"/>
      <c r="O817" s="86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>
      <c r="A818" s="40"/>
      <c r="B818" s="40"/>
      <c r="C818" s="40"/>
      <c r="D818" s="82"/>
      <c r="E818" s="83"/>
      <c r="F818" s="40"/>
      <c r="G818" s="40"/>
      <c r="H818" s="82"/>
      <c r="I818" s="84"/>
      <c r="J818" s="84"/>
      <c r="K818" s="84"/>
      <c r="L818" s="85"/>
      <c r="M818" s="40"/>
      <c r="N818" s="86"/>
      <c r="O818" s="86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>
      <c r="A819" s="40"/>
      <c r="B819" s="40"/>
      <c r="C819" s="40"/>
      <c r="D819" s="82"/>
      <c r="E819" s="83"/>
      <c r="F819" s="40"/>
      <c r="G819" s="40"/>
      <c r="H819" s="82"/>
      <c r="I819" s="84"/>
      <c r="J819" s="84"/>
      <c r="K819" s="84"/>
      <c r="L819" s="85"/>
      <c r="M819" s="40"/>
      <c r="N819" s="86"/>
      <c r="O819" s="86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>
      <c r="A820" s="40"/>
      <c r="B820" s="40"/>
      <c r="C820" s="40"/>
      <c r="D820" s="82"/>
      <c r="E820" s="83"/>
      <c r="F820" s="40"/>
      <c r="G820" s="40"/>
      <c r="H820" s="82"/>
      <c r="I820" s="84"/>
      <c r="J820" s="84"/>
      <c r="K820" s="84"/>
      <c r="L820" s="85"/>
      <c r="M820" s="40"/>
      <c r="N820" s="86"/>
      <c r="O820" s="86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>
      <c r="A821" s="40"/>
      <c r="B821" s="40"/>
      <c r="C821" s="40"/>
      <c r="D821" s="82"/>
      <c r="E821" s="83"/>
      <c r="F821" s="40"/>
      <c r="G821" s="40"/>
      <c r="H821" s="82"/>
      <c r="I821" s="84"/>
      <c r="J821" s="84"/>
      <c r="K821" s="84"/>
      <c r="L821" s="85"/>
      <c r="M821" s="40"/>
      <c r="N821" s="86"/>
      <c r="O821" s="86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>
      <c r="A822" s="40"/>
      <c r="B822" s="40"/>
      <c r="C822" s="40"/>
      <c r="D822" s="82"/>
      <c r="E822" s="83"/>
      <c r="F822" s="40"/>
      <c r="G822" s="40"/>
      <c r="H822" s="82"/>
      <c r="I822" s="84"/>
      <c r="J822" s="84"/>
      <c r="K822" s="84"/>
      <c r="L822" s="85"/>
      <c r="M822" s="40"/>
      <c r="N822" s="86"/>
      <c r="O822" s="86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>
      <c r="A823" s="40"/>
      <c r="B823" s="40"/>
      <c r="C823" s="40"/>
      <c r="D823" s="82"/>
      <c r="E823" s="83"/>
      <c r="F823" s="40"/>
      <c r="G823" s="40"/>
      <c r="H823" s="82"/>
      <c r="I823" s="84"/>
      <c r="J823" s="84"/>
      <c r="K823" s="84"/>
      <c r="L823" s="85"/>
      <c r="M823" s="40"/>
      <c r="N823" s="86"/>
      <c r="O823" s="86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>
      <c r="A824" s="40"/>
      <c r="B824" s="40"/>
      <c r="C824" s="40"/>
      <c r="D824" s="82"/>
      <c r="E824" s="83"/>
      <c r="F824" s="40"/>
      <c r="G824" s="40"/>
      <c r="H824" s="82"/>
      <c r="I824" s="84"/>
      <c r="J824" s="84"/>
      <c r="K824" s="84"/>
      <c r="L824" s="85"/>
      <c r="M824" s="40"/>
      <c r="N824" s="86"/>
      <c r="O824" s="86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>
      <c r="A825" s="40"/>
      <c r="B825" s="40"/>
      <c r="C825" s="40"/>
      <c r="D825" s="82"/>
      <c r="E825" s="83"/>
      <c r="F825" s="40"/>
      <c r="G825" s="40"/>
      <c r="H825" s="82"/>
      <c r="I825" s="84"/>
      <c r="J825" s="84"/>
      <c r="K825" s="84"/>
      <c r="L825" s="85"/>
      <c r="M825" s="40"/>
      <c r="N825" s="86"/>
      <c r="O825" s="86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>
      <c r="A826" s="40"/>
      <c r="B826" s="40"/>
      <c r="C826" s="40"/>
      <c r="D826" s="82"/>
      <c r="E826" s="83"/>
      <c r="F826" s="40"/>
      <c r="G826" s="40"/>
      <c r="H826" s="82"/>
      <c r="I826" s="84"/>
      <c r="J826" s="84"/>
      <c r="K826" s="84"/>
      <c r="L826" s="85"/>
      <c r="M826" s="40"/>
      <c r="N826" s="86"/>
      <c r="O826" s="86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>
      <c r="A827" s="40"/>
      <c r="B827" s="40"/>
      <c r="C827" s="40"/>
      <c r="D827" s="82"/>
      <c r="E827" s="83"/>
      <c r="F827" s="40"/>
      <c r="G827" s="40"/>
      <c r="H827" s="82"/>
      <c r="I827" s="84"/>
      <c r="J827" s="84"/>
      <c r="K827" s="84"/>
      <c r="L827" s="85"/>
      <c r="M827" s="40"/>
      <c r="N827" s="86"/>
      <c r="O827" s="86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>
      <c r="A828" s="40"/>
      <c r="B828" s="40"/>
      <c r="C828" s="40"/>
      <c r="D828" s="82"/>
      <c r="E828" s="83"/>
      <c r="F828" s="40"/>
      <c r="G828" s="40"/>
      <c r="H828" s="82"/>
      <c r="I828" s="84"/>
      <c r="J828" s="84"/>
      <c r="K828" s="84"/>
      <c r="L828" s="85"/>
      <c r="M828" s="40"/>
      <c r="N828" s="86"/>
      <c r="O828" s="86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>
      <c r="A829" s="40"/>
      <c r="B829" s="40"/>
      <c r="C829" s="40"/>
      <c r="D829" s="82"/>
      <c r="E829" s="83"/>
      <c r="F829" s="40"/>
      <c r="G829" s="40"/>
      <c r="H829" s="82"/>
      <c r="I829" s="84"/>
      <c r="J829" s="84"/>
      <c r="K829" s="84"/>
      <c r="L829" s="85"/>
      <c r="M829" s="40"/>
      <c r="N829" s="86"/>
      <c r="O829" s="86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>
      <c r="A830" s="40"/>
      <c r="B830" s="40"/>
      <c r="C830" s="40"/>
      <c r="D830" s="82"/>
      <c r="E830" s="83"/>
      <c r="F830" s="40"/>
      <c r="G830" s="40"/>
      <c r="H830" s="82"/>
      <c r="I830" s="84"/>
      <c r="J830" s="84"/>
      <c r="K830" s="84"/>
      <c r="L830" s="85"/>
      <c r="M830" s="40"/>
      <c r="N830" s="86"/>
      <c r="O830" s="86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>
      <c r="A831" s="40"/>
      <c r="B831" s="40"/>
      <c r="C831" s="40"/>
      <c r="D831" s="82"/>
      <c r="E831" s="83"/>
      <c r="F831" s="40"/>
      <c r="G831" s="40"/>
      <c r="H831" s="82"/>
      <c r="I831" s="84"/>
      <c r="J831" s="84"/>
      <c r="K831" s="84"/>
      <c r="L831" s="85"/>
      <c r="M831" s="40"/>
      <c r="N831" s="86"/>
      <c r="O831" s="86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>
      <c r="A832" s="40"/>
      <c r="B832" s="40"/>
      <c r="C832" s="40"/>
      <c r="D832" s="82"/>
      <c r="E832" s="83"/>
      <c r="F832" s="40"/>
      <c r="G832" s="40"/>
      <c r="H832" s="82"/>
      <c r="I832" s="84"/>
      <c r="J832" s="84"/>
      <c r="K832" s="84"/>
      <c r="L832" s="85"/>
      <c r="M832" s="40"/>
      <c r="N832" s="86"/>
      <c r="O832" s="86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>
      <c r="A833" s="40"/>
      <c r="B833" s="40"/>
      <c r="C833" s="40"/>
      <c r="D833" s="82"/>
      <c r="E833" s="83"/>
      <c r="F833" s="40"/>
      <c r="G833" s="40"/>
      <c r="H833" s="82"/>
      <c r="I833" s="84"/>
      <c r="J833" s="84"/>
      <c r="K833" s="84"/>
      <c r="L833" s="85"/>
      <c r="M833" s="40"/>
      <c r="N833" s="86"/>
      <c r="O833" s="86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>
      <c r="A834" s="40"/>
      <c r="B834" s="40"/>
      <c r="C834" s="40"/>
      <c r="D834" s="82"/>
      <c r="E834" s="83"/>
      <c r="F834" s="40"/>
      <c r="G834" s="40"/>
      <c r="H834" s="82"/>
      <c r="I834" s="84"/>
      <c r="J834" s="84"/>
      <c r="K834" s="84"/>
      <c r="L834" s="85"/>
      <c r="M834" s="40"/>
      <c r="N834" s="86"/>
      <c r="O834" s="86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>
      <c r="A835" s="40"/>
      <c r="B835" s="40"/>
      <c r="C835" s="40"/>
      <c r="D835" s="82"/>
      <c r="E835" s="83"/>
      <c r="F835" s="40"/>
      <c r="G835" s="40"/>
      <c r="H835" s="82"/>
      <c r="I835" s="84"/>
      <c r="J835" s="84"/>
      <c r="K835" s="84"/>
      <c r="L835" s="85"/>
      <c r="M835" s="40"/>
      <c r="N835" s="86"/>
      <c r="O835" s="86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>
      <c r="A836" s="40"/>
      <c r="B836" s="40"/>
      <c r="C836" s="40"/>
      <c r="D836" s="82"/>
      <c r="E836" s="83"/>
      <c r="F836" s="40"/>
      <c r="G836" s="40"/>
      <c r="H836" s="82"/>
      <c r="I836" s="84"/>
      <c r="J836" s="84"/>
      <c r="K836" s="84"/>
      <c r="L836" s="85"/>
      <c r="M836" s="40"/>
      <c r="N836" s="86"/>
      <c r="O836" s="86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>
      <c r="A837" s="40"/>
      <c r="B837" s="40"/>
      <c r="C837" s="40"/>
      <c r="D837" s="82"/>
      <c r="E837" s="83"/>
      <c r="F837" s="40"/>
      <c r="G837" s="40"/>
      <c r="H837" s="82"/>
      <c r="I837" s="84"/>
      <c r="J837" s="84"/>
      <c r="K837" s="84"/>
      <c r="L837" s="85"/>
      <c r="M837" s="40"/>
      <c r="N837" s="86"/>
      <c r="O837" s="86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>
      <c r="A838" s="40"/>
      <c r="B838" s="40"/>
      <c r="C838" s="40"/>
      <c r="D838" s="82"/>
      <c r="E838" s="83"/>
      <c r="F838" s="40"/>
      <c r="G838" s="40"/>
      <c r="H838" s="82"/>
      <c r="I838" s="84"/>
      <c r="J838" s="84"/>
      <c r="K838" s="84"/>
      <c r="L838" s="85"/>
      <c r="M838" s="40"/>
      <c r="N838" s="86"/>
      <c r="O838" s="86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>
      <c r="A839" s="40"/>
      <c r="B839" s="40"/>
      <c r="C839" s="40"/>
      <c r="D839" s="82"/>
      <c r="E839" s="83"/>
      <c r="F839" s="40"/>
      <c r="G839" s="40"/>
      <c r="H839" s="82"/>
      <c r="I839" s="84"/>
      <c r="J839" s="84"/>
      <c r="K839" s="84"/>
      <c r="L839" s="85"/>
      <c r="M839" s="40"/>
      <c r="N839" s="86"/>
      <c r="O839" s="86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>
      <c r="A840" s="40"/>
      <c r="B840" s="40"/>
      <c r="C840" s="40"/>
      <c r="D840" s="82"/>
      <c r="E840" s="83"/>
      <c r="F840" s="40"/>
      <c r="G840" s="40"/>
      <c r="H840" s="82"/>
      <c r="I840" s="84"/>
      <c r="J840" s="84"/>
      <c r="K840" s="84"/>
      <c r="L840" s="85"/>
      <c r="M840" s="40"/>
      <c r="N840" s="86"/>
      <c r="O840" s="86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>
      <c r="A841" s="40"/>
      <c r="B841" s="40"/>
      <c r="C841" s="40"/>
      <c r="D841" s="82"/>
      <c r="E841" s="83"/>
      <c r="F841" s="40"/>
      <c r="G841" s="40"/>
      <c r="H841" s="82"/>
      <c r="I841" s="84"/>
      <c r="J841" s="84"/>
      <c r="K841" s="84"/>
      <c r="L841" s="85"/>
      <c r="M841" s="40"/>
      <c r="N841" s="86"/>
      <c r="O841" s="86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>
      <c r="A842" s="40"/>
      <c r="B842" s="40"/>
      <c r="C842" s="40"/>
      <c r="D842" s="82"/>
      <c r="E842" s="83"/>
      <c r="F842" s="40"/>
      <c r="G842" s="40"/>
      <c r="H842" s="82"/>
      <c r="I842" s="84"/>
      <c r="J842" s="84"/>
      <c r="K842" s="84"/>
      <c r="L842" s="85"/>
      <c r="M842" s="40"/>
      <c r="N842" s="86"/>
      <c r="O842" s="86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>
      <c r="A843" s="40"/>
      <c r="B843" s="40"/>
      <c r="C843" s="40"/>
      <c r="D843" s="82"/>
      <c r="E843" s="83"/>
      <c r="F843" s="40"/>
      <c r="G843" s="40"/>
      <c r="H843" s="82"/>
      <c r="I843" s="84"/>
      <c r="J843" s="84"/>
      <c r="K843" s="84"/>
      <c r="L843" s="85"/>
      <c r="M843" s="40"/>
      <c r="N843" s="86"/>
      <c r="O843" s="86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>
      <c r="A844" s="40"/>
      <c r="B844" s="40"/>
      <c r="C844" s="40"/>
      <c r="D844" s="82"/>
      <c r="E844" s="83"/>
      <c r="F844" s="40"/>
      <c r="G844" s="40"/>
      <c r="H844" s="82"/>
      <c r="I844" s="84"/>
      <c r="J844" s="84"/>
      <c r="K844" s="84"/>
      <c r="L844" s="85"/>
      <c r="M844" s="40"/>
      <c r="N844" s="86"/>
      <c r="O844" s="86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>
      <c r="A845" s="40"/>
      <c r="B845" s="40"/>
      <c r="C845" s="40"/>
      <c r="D845" s="82"/>
      <c r="E845" s="83"/>
      <c r="F845" s="40"/>
      <c r="G845" s="40"/>
      <c r="H845" s="82"/>
      <c r="I845" s="84"/>
      <c r="J845" s="84"/>
      <c r="K845" s="84"/>
      <c r="L845" s="85"/>
      <c r="M845" s="40"/>
      <c r="N845" s="86"/>
      <c r="O845" s="86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>
      <c r="A846" s="40"/>
      <c r="B846" s="40"/>
      <c r="C846" s="40"/>
      <c r="D846" s="82"/>
      <c r="E846" s="83"/>
      <c r="F846" s="40"/>
      <c r="G846" s="40"/>
      <c r="H846" s="82"/>
      <c r="I846" s="84"/>
      <c r="J846" s="84"/>
      <c r="K846" s="84"/>
      <c r="L846" s="85"/>
      <c r="M846" s="40"/>
      <c r="N846" s="86"/>
      <c r="O846" s="86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>
      <c r="A847" s="40"/>
      <c r="B847" s="40"/>
      <c r="C847" s="40"/>
      <c r="D847" s="82"/>
      <c r="E847" s="83"/>
      <c r="F847" s="40"/>
      <c r="G847" s="40"/>
      <c r="H847" s="82"/>
      <c r="I847" s="84"/>
      <c r="J847" s="84"/>
      <c r="K847" s="84"/>
      <c r="L847" s="85"/>
      <c r="M847" s="40"/>
      <c r="N847" s="86"/>
      <c r="O847" s="86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>
      <c r="A848" s="40"/>
      <c r="B848" s="40"/>
      <c r="C848" s="40"/>
      <c r="D848" s="82"/>
      <c r="E848" s="83"/>
      <c r="F848" s="40"/>
      <c r="G848" s="40"/>
      <c r="H848" s="82"/>
      <c r="I848" s="84"/>
      <c r="J848" s="84"/>
      <c r="K848" s="84"/>
      <c r="L848" s="85"/>
      <c r="M848" s="40"/>
      <c r="N848" s="86"/>
      <c r="O848" s="86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>
      <c r="A849" s="40"/>
      <c r="B849" s="40"/>
      <c r="C849" s="40"/>
      <c r="D849" s="82"/>
      <c r="E849" s="83"/>
      <c r="F849" s="40"/>
      <c r="G849" s="40"/>
      <c r="H849" s="82"/>
      <c r="I849" s="84"/>
      <c r="J849" s="84"/>
      <c r="K849" s="84"/>
      <c r="L849" s="85"/>
      <c r="M849" s="40"/>
      <c r="N849" s="86"/>
      <c r="O849" s="86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>
      <c r="A850" s="40"/>
      <c r="B850" s="40"/>
      <c r="C850" s="40"/>
      <c r="D850" s="82"/>
      <c r="E850" s="83"/>
      <c r="F850" s="40"/>
      <c r="G850" s="40"/>
      <c r="H850" s="82"/>
      <c r="I850" s="84"/>
      <c r="J850" s="84"/>
      <c r="K850" s="84"/>
      <c r="L850" s="85"/>
      <c r="M850" s="40"/>
      <c r="N850" s="86"/>
      <c r="O850" s="86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>
      <c r="A851" s="40"/>
      <c r="B851" s="40"/>
      <c r="C851" s="40"/>
      <c r="D851" s="82"/>
      <c r="E851" s="83"/>
      <c r="F851" s="40"/>
      <c r="G851" s="40"/>
      <c r="H851" s="82"/>
      <c r="I851" s="84"/>
      <c r="J851" s="84"/>
      <c r="K851" s="84"/>
      <c r="L851" s="85"/>
      <c r="M851" s="40"/>
      <c r="N851" s="86"/>
      <c r="O851" s="86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>
      <c r="A852" s="40"/>
      <c r="B852" s="40"/>
      <c r="C852" s="40"/>
      <c r="D852" s="82"/>
      <c r="E852" s="83"/>
      <c r="F852" s="40"/>
      <c r="G852" s="40"/>
      <c r="H852" s="82"/>
      <c r="I852" s="84"/>
      <c r="J852" s="84"/>
      <c r="K852" s="84"/>
      <c r="L852" s="85"/>
      <c r="M852" s="40"/>
      <c r="N852" s="86"/>
      <c r="O852" s="86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>
      <c r="A853" s="40"/>
      <c r="B853" s="40"/>
      <c r="C853" s="40"/>
      <c r="D853" s="82"/>
      <c r="E853" s="83"/>
      <c r="F853" s="40"/>
      <c r="G853" s="40"/>
      <c r="H853" s="82"/>
      <c r="I853" s="84"/>
      <c r="J853" s="84"/>
      <c r="K853" s="84"/>
      <c r="L853" s="85"/>
      <c r="M853" s="40"/>
      <c r="N853" s="86"/>
      <c r="O853" s="86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>
      <c r="A854" s="40"/>
      <c r="B854" s="40"/>
      <c r="C854" s="40"/>
      <c r="D854" s="82"/>
      <c r="E854" s="83"/>
      <c r="F854" s="40"/>
      <c r="G854" s="40"/>
      <c r="H854" s="82"/>
      <c r="I854" s="84"/>
      <c r="J854" s="84"/>
      <c r="K854" s="84"/>
      <c r="L854" s="85"/>
      <c r="M854" s="40"/>
      <c r="N854" s="86"/>
      <c r="O854" s="86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>
      <c r="A855" s="40"/>
      <c r="B855" s="40"/>
      <c r="C855" s="40"/>
      <c r="D855" s="82"/>
      <c r="E855" s="83"/>
      <c r="F855" s="40"/>
      <c r="G855" s="40"/>
      <c r="H855" s="82"/>
      <c r="I855" s="84"/>
      <c r="J855" s="84"/>
      <c r="K855" s="84"/>
      <c r="L855" s="85"/>
      <c r="M855" s="40"/>
      <c r="N855" s="86"/>
      <c r="O855" s="86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>
      <c r="A856" s="40"/>
      <c r="B856" s="40"/>
      <c r="C856" s="40"/>
      <c r="D856" s="82"/>
      <c r="E856" s="83"/>
      <c r="F856" s="40"/>
      <c r="G856" s="40"/>
      <c r="H856" s="82"/>
      <c r="I856" s="84"/>
      <c r="J856" s="84"/>
      <c r="K856" s="84"/>
      <c r="L856" s="85"/>
      <c r="M856" s="40"/>
      <c r="N856" s="86"/>
      <c r="O856" s="86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>
      <c r="A857" s="40"/>
      <c r="B857" s="40"/>
      <c r="C857" s="40"/>
      <c r="D857" s="82"/>
      <c r="E857" s="83"/>
      <c r="F857" s="40"/>
      <c r="G857" s="40"/>
      <c r="H857" s="82"/>
      <c r="I857" s="84"/>
      <c r="J857" s="84"/>
      <c r="K857" s="84"/>
      <c r="L857" s="85"/>
      <c r="M857" s="40"/>
      <c r="N857" s="86"/>
      <c r="O857" s="86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>
      <c r="A858" s="40"/>
      <c r="B858" s="40"/>
      <c r="C858" s="40"/>
      <c r="D858" s="82"/>
      <c r="E858" s="83"/>
      <c r="F858" s="40"/>
      <c r="G858" s="40"/>
      <c r="H858" s="82"/>
      <c r="I858" s="84"/>
      <c r="J858" s="84"/>
      <c r="K858" s="84"/>
      <c r="L858" s="85"/>
      <c r="M858" s="40"/>
      <c r="N858" s="86"/>
      <c r="O858" s="86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>
      <c r="A859" s="40"/>
      <c r="B859" s="40"/>
      <c r="C859" s="40"/>
      <c r="D859" s="82"/>
      <c r="E859" s="83"/>
      <c r="F859" s="40"/>
      <c r="G859" s="40"/>
      <c r="H859" s="82"/>
      <c r="I859" s="84"/>
      <c r="J859" s="84"/>
      <c r="K859" s="84"/>
      <c r="L859" s="85"/>
      <c r="M859" s="40"/>
      <c r="N859" s="86"/>
      <c r="O859" s="86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>
      <c r="A860" s="40"/>
      <c r="B860" s="40"/>
      <c r="C860" s="40"/>
      <c r="D860" s="82"/>
      <c r="E860" s="83"/>
      <c r="F860" s="40"/>
      <c r="G860" s="40"/>
      <c r="H860" s="82"/>
      <c r="I860" s="84"/>
      <c r="J860" s="84"/>
      <c r="K860" s="84"/>
      <c r="L860" s="85"/>
      <c r="M860" s="40"/>
      <c r="N860" s="86"/>
      <c r="O860" s="86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>
      <c r="A861" s="40"/>
      <c r="B861" s="40"/>
      <c r="C861" s="40"/>
      <c r="D861" s="82"/>
      <c r="E861" s="83"/>
      <c r="F861" s="40"/>
      <c r="G861" s="40"/>
      <c r="H861" s="82"/>
      <c r="I861" s="84"/>
      <c r="J861" s="84"/>
      <c r="K861" s="84"/>
      <c r="L861" s="85"/>
      <c r="M861" s="40"/>
      <c r="N861" s="86"/>
      <c r="O861" s="86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>
      <c r="A862" s="40"/>
      <c r="B862" s="40"/>
      <c r="C862" s="40"/>
      <c r="D862" s="82"/>
      <c r="E862" s="83"/>
      <c r="F862" s="40"/>
      <c r="G862" s="40"/>
      <c r="H862" s="82"/>
      <c r="I862" s="84"/>
      <c r="J862" s="84"/>
      <c r="K862" s="84"/>
      <c r="L862" s="85"/>
      <c r="M862" s="40"/>
      <c r="N862" s="86"/>
      <c r="O862" s="86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>
      <c r="A863" s="40"/>
      <c r="B863" s="40"/>
      <c r="C863" s="40"/>
      <c r="D863" s="82"/>
      <c r="E863" s="83"/>
      <c r="F863" s="40"/>
      <c r="G863" s="40"/>
      <c r="H863" s="82"/>
      <c r="I863" s="84"/>
      <c r="J863" s="84"/>
      <c r="K863" s="84"/>
      <c r="L863" s="85"/>
      <c r="M863" s="40"/>
      <c r="N863" s="86"/>
      <c r="O863" s="86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>
      <c r="A864" s="40"/>
      <c r="B864" s="40"/>
      <c r="C864" s="40"/>
      <c r="D864" s="82"/>
      <c r="E864" s="83"/>
      <c r="F864" s="40"/>
      <c r="G864" s="40"/>
      <c r="H864" s="82"/>
      <c r="I864" s="84"/>
      <c r="J864" s="84"/>
      <c r="K864" s="84"/>
      <c r="L864" s="85"/>
      <c r="M864" s="40"/>
      <c r="N864" s="86"/>
      <c r="O864" s="86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>
      <c r="A865" s="40"/>
      <c r="B865" s="40"/>
      <c r="C865" s="40"/>
      <c r="D865" s="82"/>
      <c r="E865" s="83"/>
      <c r="F865" s="40"/>
      <c r="G865" s="40"/>
      <c r="H865" s="82"/>
      <c r="I865" s="84"/>
      <c r="J865" s="84"/>
      <c r="K865" s="84"/>
      <c r="L865" s="85"/>
      <c r="M865" s="40"/>
      <c r="N865" s="86"/>
      <c r="O865" s="86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>
      <c r="A866" s="40"/>
      <c r="B866" s="40"/>
      <c r="C866" s="40"/>
      <c r="D866" s="82"/>
      <c r="E866" s="83"/>
      <c r="F866" s="40"/>
      <c r="G866" s="40"/>
      <c r="H866" s="82"/>
      <c r="I866" s="84"/>
      <c r="J866" s="84"/>
      <c r="K866" s="84"/>
      <c r="L866" s="85"/>
      <c r="M866" s="40"/>
      <c r="N866" s="86"/>
      <c r="O866" s="86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>
      <c r="A867" s="40"/>
      <c r="B867" s="40"/>
      <c r="C867" s="40"/>
      <c r="D867" s="82"/>
      <c r="E867" s="83"/>
      <c r="F867" s="40"/>
      <c r="G867" s="40"/>
      <c r="H867" s="82"/>
      <c r="I867" s="84"/>
      <c r="J867" s="84"/>
      <c r="K867" s="84"/>
      <c r="L867" s="85"/>
      <c r="M867" s="40"/>
      <c r="N867" s="86"/>
      <c r="O867" s="86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>
      <c r="A868" s="40"/>
      <c r="B868" s="40"/>
      <c r="C868" s="40"/>
      <c r="D868" s="82"/>
      <c r="E868" s="83"/>
      <c r="F868" s="40"/>
      <c r="G868" s="40"/>
      <c r="H868" s="82"/>
      <c r="I868" s="84"/>
      <c r="J868" s="84"/>
      <c r="K868" s="84"/>
      <c r="L868" s="85"/>
      <c r="M868" s="40"/>
      <c r="N868" s="86"/>
      <c r="O868" s="86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>
      <c r="A869" s="40"/>
      <c r="B869" s="40"/>
      <c r="C869" s="40"/>
      <c r="D869" s="82"/>
      <c r="E869" s="83"/>
      <c r="F869" s="40"/>
      <c r="G869" s="40"/>
      <c r="H869" s="82"/>
      <c r="I869" s="84"/>
      <c r="J869" s="84"/>
      <c r="K869" s="84"/>
      <c r="L869" s="85"/>
      <c r="M869" s="40"/>
      <c r="N869" s="86"/>
      <c r="O869" s="86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>
      <c r="A870" s="40"/>
      <c r="B870" s="40"/>
      <c r="C870" s="40"/>
      <c r="D870" s="82"/>
      <c r="E870" s="83"/>
      <c r="F870" s="40"/>
      <c r="G870" s="40"/>
      <c r="H870" s="82"/>
      <c r="I870" s="84"/>
      <c r="J870" s="84"/>
      <c r="K870" s="84"/>
      <c r="L870" s="85"/>
      <c r="M870" s="40"/>
      <c r="N870" s="86"/>
      <c r="O870" s="86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>
      <c r="A871" s="40"/>
      <c r="B871" s="40"/>
      <c r="C871" s="40"/>
      <c r="D871" s="82"/>
      <c r="E871" s="83"/>
      <c r="F871" s="40"/>
      <c r="G871" s="40"/>
      <c r="H871" s="82"/>
      <c r="I871" s="84"/>
      <c r="J871" s="84"/>
      <c r="K871" s="84"/>
      <c r="L871" s="85"/>
      <c r="M871" s="40"/>
      <c r="N871" s="86"/>
      <c r="O871" s="86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>
      <c r="A872" s="40"/>
      <c r="B872" s="40"/>
      <c r="C872" s="40"/>
      <c r="D872" s="82"/>
      <c r="E872" s="83"/>
      <c r="F872" s="40"/>
      <c r="G872" s="40"/>
      <c r="H872" s="82"/>
      <c r="I872" s="84"/>
      <c r="J872" s="84"/>
      <c r="K872" s="84"/>
      <c r="L872" s="85"/>
      <c r="M872" s="40"/>
      <c r="N872" s="86"/>
      <c r="O872" s="86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>
      <c r="A873" s="40"/>
      <c r="B873" s="40"/>
      <c r="C873" s="40"/>
      <c r="D873" s="82"/>
      <c r="E873" s="83"/>
      <c r="F873" s="40"/>
      <c r="G873" s="40"/>
      <c r="H873" s="82"/>
      <c r="I873" s="84"/>
      <c r="J873" s="84"/>
      <c r="K873" s="84"/>
      <c r="L873" s="85"/>
      <c r="M873" s="40"/>
      <c r="N873" s="86"/>
      <c r="O873" s="86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>
      <c r="A874" s="40"/>
      <c r="B874" s="40"/>
      <c r="C874" s="40"/>
      <c r="D874" s="82"/>
      <c r="E874" s="83"/>
      <c r="F874" s="40"/>
      <c r="G874" s="40"/>
      <c r="H874" s="82"/>
      <c r="I874" s="84"/>
      <c r="J874" s="84"/>
      <c r="K874" s="84"/>
      <c r="L874" s="85"/>
      <c r="M874" s="40"/>
      <c r="N874" s="86"/>
      <c r="O874" s="86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>
      <c r="A875" s="40"/>
      <c r="B875" s="40"/>
      <c r="C875" s="40"/>
      <c r="D875" s="82"/>
      <c r="E875" s="83"/>
      <c r="F875" s="40"/>
      <c r="G875" s="40"/>
      <c r="H875" s="82"/>
      <c r="I875" s="84"/>
      <c r="J875" s="84"/>
      <c r="K875" s="84"/>
      <c r="L875" s="85"/>
      <c r="M875" s="40"/>
      <c r="N875" s="86"/>
      <c r="O875" s="86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>
      <c r="A876" s="40"/>
      <c r="B876" s="40"/>
      <c r="C876" s="40"/>
      <c r="D876" s="82"/>
      <c r="E876" s="83"/>
      <c r="F876" s="40"/>
      <c r="G876" s="40"/>
      <c r="H876" s="82"/>
      <c r="I876" s="84"/>
      <c r="J876" s="84"/>
      <c r="K876" s="84"/>
      <c r="L876" s="85"/>
      <c r="M876" s="40"/>
      <c r="N876" s="86"/>
      <c r="O876" s="86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>
      <c r="A877" s="40"/>
      <c r="B877" s="40"/>
      <c r="C877" s="40"/>
      <c r="D877" s="82"/>
      <c r="E877" s="83"/>
      <c r="F877" s="40"/>
      <c r="G877" s="40"/>
      <c r="H877" s="82"/>
      <c r="I877" s="84"/>
      <c r="J877" s="84"/>
      <c r="K877" s="84"/>
      <c r="L877" s="85"/>
      <c r="M877" s="40"/>
      <c r="N877" s="86"/>
      <c r="O877" s="86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>
      <c r="A878" s="40"/>
      <c r="B878" s="40"/>
      <c r="C878" s="40"/>
      <c r="D878" s="82"/>
      <c r="E878" s="83"/>
      <c r="F878" s="40"/>
      <c r="G878" s="40"/>
      <c r="H878" s="82"/>
      <c r="I878" s="84"/>
      <c r="J878" s="84"/>
      <c r="K878" s="84"/>
      <c r="L878" s="85"/>
      <c r="M878" s="40"/>
      <c r="N878" s="86"/>
      <c r="O878" s="86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>
      <c r="A879" s="40"/>
      <c r="B879" s="40"/>
      <c r="C879" s="40"/>
      <c r="D879" s="82"/>
      <c r="E879" s="83"/>
      <c r="F879" s="40"/>
      <c r="G879" s="40"/>
      <c r="H879" s="82"/>
      <c r="I879" s="84"/>
      <c r="J879" s="84"/>
      <c r="K879" s="84"/>
      <c r="L879" s="85"/>
      <c r="M879" s="40"/>
      <c r="N879" s="86"/>
      <c r="O879" s="86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>
      <c r="A880" s="40"/>
      <c r="B880" s="40"/>
      <c r="C880" s="40"/>
      <c r="D880" s="82"/>
      <c r="E880" s="83"/>
      <c r="F880" s="40"/>
      <c r="G880" s="40"/>
      <c r="H880" s="82"/>
      <c r="I880" s="84"/>
      <c r="J880" s="84"/>
      <c r="K880" s="84"/>
      <c r="L880" s="85"/>
      <c r="M880" s="40"/>
      <c r="N880" s="86"/>
      <c r="O880" s="86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>
      <c r="A881" s="40"/>
      <c r="B881" s="40"/>
      <c r="C881" s="40"/>
      <c r="D881" s="82"/>
      <c r="E881" s="83"/>
      <c r="F881" s="40"/>
      <c r="G881" s="40"/>
      <c r="H881" s="82"/>
      <c r="I881" s="84"/>
      <c r="J881" s="84"/>
      <c r="K881" s="84"/>
      <c r="L881" s="85"/>
      <c r="M881" s="40"/>
      <c r="N881" s="86"/>
      <c r="O881" s="86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>
      <c r="A882" s="40"/>
      <c r="B882" s="40"/>
      <c r="C882" s="40"/>
      <c r="D882" s="82"/>
      <c r="E882" s="83"/>
      <c r="F882" s="40"/>
      <c r="G882" s="40"/>
      <c r="H882" s="82"/>
      <c r="I882" s="84"/>
      <c r="J882" s="84"/>
      <c r="K882" s="84"/>
      <c r="L882" s="85"/>
      <c r="M882" s="40"/>
      <c r="N882" s="86"/>
      <c r="O882" s="86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>
      <c r="A883" s="40"/>
      <c r="B883" s="40"/>
      <c r="C883" s="40"/>
      <c r="D883" s="82"/>
      <c r="E883" s="83"/>
      <c r="F883" s="40"/>
      <c r="G883" s="40"/>
      <c r="H883" s="82"/>
      <c r="I883" s="84"/>
      <c r="J883" s="84"/>
      <c r="K883" s="84"/>
      <c r="L883" s="85"/>
      <c r="M883" s="40"/>
      <c r="N883" s="86"/>
      <c r="O883" s="86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>
      <c r="A884" s="40"/>
      <c r="B884" s="40"/>
      <c r="C884" s="40"/>
      <c r="D884" s="82"/>
      <c r="E884" s="83"/>
      <c r="F884" s="40"/>
      <c r="G884" s="40"/>
      <c r="H884" s="82"/>
      <c r="I884" s="84"/>
      <c r="J884" s="84"/>
      <c r="K884" s="84"/>
      <c r="L884" s="85"/>
      <c r="M884" s="40"/>
      <c r="N884" s="86"/>
      <c r="O884" s="86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>
      <c r="A885" s="40"/>
      <c r="B885" s="40"/>
      <c r="C885" s="40"/>
      <c r="D885" s="82"/>
      <c r="E885" s="83"/>
      <c r="F885" s="40"/>
      <c r="G885" s="40"/>
      <c r="H885" s="82"/>
      <c r="I885" s="84"/>
      <c r="J885" s="84"/>
      <c r="K885" s="84"/>
      <c r="L885" s="85"/>
      <c r="M885" s="40"/>
      <c r="N885" s="86"/>
      <c r="O885" s="86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>
      <c r="A886" s="40"/>
      <c r="B886" s="40"/>
      <c r="C886" s="40"/>
      <c r="D886" s="82"/>
      <c r="E886" s="83"/>
      <c r="F886" s="40"/>
      <c r="G886" s="40"/>
      <c r="H886" s="82"/>
      <c r="I886" s="84"/>
      <c r="J886" s="84"/>
      <c r="K886" s="84"/>
      <c r="L886" s="85"/>
      <c r="M886" s="40"/>
      <c r="N886" s="86"/>
      <c r="O886" s="86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>
      <c r="A887" s="40"/>
      <c r="B887" s="40"/>
      <c r="C887" s="40"/>
      <c r="D887" s="82"/>
      <c r="E887" s="83"/>
      <c r="F887" s="40"/>
      <c r="G887" s="40"/>
      <c r="H887" s="82"/>
      <c r="I887" s="84"/>
      <c r="J887" s="84"/>
      <c r="K887" s="84"/>
      <c r="L887" s="85"/>
      <c r="M887" s="40"/>
      <c r="N887" s="86"/>
      <c r="O887" s="86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>
      <c r="A888" s="40"/>
      <c r="B888" s="40"/>
      <c r="C888" s="40"/>
      <c r="D888" s="82"/>
      <c r="E888" s="83"/>
      <c r="F888" s="40"/>
      <c r="G888" s="40"/>
      <c r="H888" s="82"/>
      <c r="I888" s="84"/>
      <c r="J888" s="84"/>
      <c r="K888" s="84"/>
      <c r="L888" s="85"/>
      <c r="M888" s="40"/>
      <c r="N888" s="86"/>
      <c r="O888" s="86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>
      <c r="A889" s="40"/>
      <c r="B889" s="40"/>
      <c r="C889" s="40"/>
      <c r="D889" s="82"/>
      <c r="E889" s="83"/>
      <c r="F889" s="40"/>
      <c r="G889" s="40"/>
      <c r="H889" s="82"/>
      <c r="I889" s="84"/>
      <c r="J889" s="84"/>
      <c r="K889" s="84"/>
      <c r="L889" s="85"/>
      <c r="M889" s="40"/>
      <c r="N889" s="86"/>
      <c r="O889" s="86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>
      <c r="A890" s="40"/>
      <c r="B890" s="40"/>
      <c r="C890" s="40"/>
      <c r="D890" s="82"/>
      <c r="E890" s="83"/>
      <c r="F890" s="40"/>
      <c r="G890" s="40"/>
      <c r="H890" s="82"/>
      <c r="I890" s="84"/>
      <c r="J890" s="84"/>
      <c r="K890" s="84"/>
      <c r="L890" s="85"/>
      <c r="M890" s="40"/>
      <c r="N890" s="86"/>
      <c r="O890" s="86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>
      <c r="A891" s="40"/>
      <c r="B891" s="40"/>
      <c r="C891" s="40"/>
      <c r="D891" s="82"/>
      <c r="E891" s="83"/>
      <c r="F891" s="40"/>
      <c r="G891" s="40"/>
      <c r="H891" s="82"/>
      <c r="I891" s="84"/>
      <c r="J891" s="84"/>
      <c r="K891" s="84"/>
      <c r="L891" s="85"/>
      <c r="M891" s="40"/>
      <c r="N891" s="86"/>
      <c r="O891" s="86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>
      <c r="A892" s="40"/>
      <c r="B892" s="40"/>
      <c r="C892" s="40"/>
      <c r="D892" s="82"/>
      <c r="E892" s="83"/>
      <c r="F892" s="40"/>
      <c r="G892" s="40"/>
      <c r="H892" s="82"/>
      <c r="I892" s="84"/>
      <c r="J892" s="84"/>
      <c r="K892" s="84"/>
      <c r="L892" s="85"/>
      <c r="M892" s="40"/>
      <c r="N892" s="86"/>
      <c r="O892" s="86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>
      <c r="A893" s="40"/>
      <c r="B893" s="40"/>
      <c r="C893" s="40"/>
      <c r="D893" s="82"/>
      <c r="E893" s="83"/>
      <c r="F893" s="40"/>
      <c r="G893" s="40"/>
      <c r="H893" s="82"/>
      <c r="I893" s="84"/>
      <c r="J893" s="84"/>
      <c r="K893" s="84"/>
      <c r="L893" s="85"/>
      <c r="M893" s="40"/>
      <c r="N893" s="86"/>
      <c r="O893" s="86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>
      <c r="A894" s="40"/>
      <c r="B894" s="40"/>
      <c r="C894" s="40"/>
      <c r="D894" s="82"/>
      <c r="E894" s="83"/>
      <c r="F894" s="40"/>
      <c r="G894" s="40"/>
      <c r="H894" s="82"/>
      <c r="I894" s="84"/>
      <c r="J894" s="84"/>
      <c r="K894" s="84"/>
      <c r="L894" s="85"/>
      <c r="M894" s="40"/>
      <c r="N894" s="86"/>
      <c r="O894" s="86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>
      <c r="A895" s="40"/>
      <c r="B895" s="40"/>
      <c r="C895" s="40"/>
      <c r="D895" s="82"/>
      <c r="E895" s="83"/>
      <c r="F895" s="40"/>
      <c r="G895" s="40"/>
      <c r="H895" s="82"/>
      <c r="I895" s="84"/>
      <c r="J895" s="84"/>
      <c r="K895" s="84"/>
      <c r="L895" s="85"/>
      <c r="M895" s="40"/>
      <c r="N895" s="86"/>
      <c r="O895" s="86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>
      <c r="A896" s="40"/>
      <c r="B896" s="40"/>
      <c r="C896" s="40"/>
      <c r="D896" s="82"/>
      <c r="E896" s="83"/>
      <c r="F896" s="40"/>
      <c r="G896" s="40"/>
      <c r="H896" s="82"/>
      <c r="I896" s="84"/>
      <c r="J896" s="84"/>
      <c r="K896" s="84"/>
      <c r="L896" s="85"/>
      <c r="M896" s="40"/>
      <c r="N896" s="86"/>
      <c r="O896" s="86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>
      <c r="A897" s="40"/>
      <c r="B897" s="40"/>
      <c r="C897" s="40"/>
      <c r="D897" s="82"/>
      <c r="E897" s="83"/>
      <c r="F897" s="40"/>
      <c r="G897" s="40"/>
      <c r="H897" s="82"/>
      <c r="I897" s="84"/>
      <c r="J897" s="84"/>
      <c r="K897" s="84"/>
      <c r="L897" s="85"/>
      <c r="M897" s="40"/>
      <c r="N897" s="86"/>
      <c r="O897" s="86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>
      <c r="A898" s="40"/>
      <c r="B898" s="40"/>
      <c r="C898" s="40"/>
      <c r="D898" s="82"/>
      <c r="E898" s="83"/>
      <c r="F898" s="40"/>
      <c r="G898" s="40"/>
      <c r="H898" s="82"/>
      <c r="I898" s="84"/>
      <c r="J898" s="84"/>
      <c r="K898" s="84"/>
      <c r="L898" s="85"/>
      <c r="M898" s="40"/>
      <c r="N898" s="86"/>
      <c r="O898" s="86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>
      <c r="A899" s="40"/>
      <c r="B899" s="40"/>
      <c r="C899" s="40"/>
      <c r="D899" s="82"/>
      <c r="E899" s="83"/>
      <c r="F899" s="40"/>
      <c r="G899" s="40"/>
      <c r="H899" s="82"/>
      <c r="I899" s="84"/>
      <c r="J899" s="84"/>
      <c r="K899" s="84"/>
      <c r="L899" s="85"/>
      <c r="M899" s="40"/>
      <c r="N899" s="86"/>
      <c r="O899" s="86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>
      <c r="A900" s="40"/>
      <c r="B900" s="40"/>
      <c r="C900" s="40"/>
      <c r="D900" s="82"/>
      <c r="E900" s="83"/>
      <c r="F900" s="40"/>
      <c r="G900" s="40"/>
      <c r="H900" s="82"/>
      <c r="I900" s="84"/>
      <c r="J900" s="84"/>
      <c r="K900" s="84"/>
      <c r="L900" s="85"/>
      <c r="M900" s="40"/>
      <c r="N900" s="86"/>
      <c r="O900" s="86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>
      <c r="A901" s="40"/>
      <c r="B901" s="40"/>
      <c r="C901" s="40"/>
      <c r="D901" s="82"/>
      <c r="E901" s="83"/>
      <c r="F901" s="40"/>
      <c r="G901" s="40"/>
      <c r="H901" s="82"/>
      <c r="I901" s="84"/>
      <c r="J901" s="84"/>
      <c r="K901" s="84"/>
      <c r="L901" s="85"/>
      <c r="M901" s="40"/>
      <c r="N901" s="86"/>
      <c r="O901" s="86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>
      <c r="A902" s="40"/>
      <c r="B902" s="40"/>
      <c r="C902" s="40"/>
      <c r="D902" s="82"/>
      <c r="E902" s="83"/>
      <c r="F902" s="40"/>
      <c r="G902" s="40"/>
      <c r="H902" s="82"/>
      <c r="I902" s="84"/>
      <c r="J902" s="84"/>
      <c r="K902" s="84"/>
      <c r="L902" s="85"/>
      <c r="M902" s="40"/>
      <c r="N902" s="86"/>
      <c r="O902" s="86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>
      <c r="A903" s="40"/>
      <c r="B903" s="40"/>
      <c r="C903" s="40"/>
      <c r="D903" s="82"/>
      <c r="E903" s="83"/>
      <c r="F903" s="40"/>
      <c r="G903" s="40"/>
      <c r="H903" s="82"/>
      <c r="I903" s="84"/>
      <c r="J903" s="84"/>
      <c r="K903" s="84"/>
      <c r="L903" s="85"/>
      <c r="M903" s="40"/>
      <c r="N903" s="86"/>
      <c r="O903" s="86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>
      <c r="A904" s="40"/>
      <c r="B904" s="40"/>
      <c r="C904" s="40"/>
      <c r="D904" s="82"/>
      <c r="E904" s="83"/>
      <c r="F904" s="40"/>
      <c r="G904" s="40"/>
      <c r="H904" s="82"/>
      <c r="I904" s="84"/>
      <c r="J904" s="84"/>
      <c r="K904" s="84"/>
      <c r="L904" s="85"/>
      <c r="M904" s="40"/>
      <c r="N904" s="86"/>
      <c r="O904" s="86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>
      <c r="A905" s="40"/>
      <c r="B905" s="40"/>
      <c r="C905" s="40"/>
      <c r="D905" s="82"/>
      <c r="E905" s="83"/>
      <c r="F905" s="40"/>
      <c r="G905" s="40"/>
      <c r="H905" s="82"/>
      <c r="I905" s="84"/>
      <c r="J905" s="84"/>
      <c r="K905" s="84"/>
      <c r="L905" s="85"/>
      <c r="M905" s="40"/>
      <c r="N905" s="86"/>
      <c r="O905" s="86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>
      <c r="A906" s="40"/>
      <c r="B906" s="40"/>
      <c r="C906" s="40"/>
      <c r="D906" s="82"/>
      <c r="E906" s="83"/>
      <c r="F906" s="40"/>
      <c r="G906" s="40"/>
      <c r="H906" s="82"/>
      <c r="I906" s="84"/>
      <c r="J906" s="84"/>
      <c r="K906" s="84"/>
      <c r="L906" s="85"/>
      <c r="M906" s="40"/>
      <c r="N906" s="86"/>
      <c r="O906" s="86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>
      <c r="A907" s="40"/>
      <c r="B907" s="40"/>
      <c r="C907" s="40"/>
      <c r="D907" s="82"/>
      <c r="E907" s="83"/>
      <c r="F907" s="40"/>
      <c r="G907" s="40"/>
      <c r="H907" s="82"/>
      <c r="I907" s="84"/>
      <c r="J907" s="84"/>
      <c r="K907" s="84"/>
      <c r="L907" s="85"/>
      <c r="M907" s="40"/>
      <c r="N907" s="86"/>
      <c r="O907" s="86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>
      <c r="A908" s="40"/>
      <c r="B908" s="40"/>
      <c r="C908" s="40"/>
      <c r="D908" s="82"/>
      <c r="E908" s="83"/>
      <c r="F908" s="40"/>
      <c r="G908" s="40"/>
      <c r="H908" s="82"/>
      <c r="I908" s="84"/>
      <c r="J908" s="84"/>
      <c r="K908" s="84"/>
      <c r="L908" s="85"/>
      <c r="M908" s="40"/>
      <c r="N908" s="86"/>
      <c r="O908" s="86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>
      <c r="A909" s="40"/>
      <c r="B909" s="40"/>
      <c r="C909" s="40"/>
      <c r="D909" s="82"/>
      <c r="E909" s="83"/>
      <c r="F909" s="40"/>
      <c r="G909" s="40"/>
      <c r="H909" s="82"/>
      <c r="I909" s="84"/>
      <c r="J909" s="84"/>
      <c r="K909" s="84"/>
      <c r="L909" s="85"/>
      <c r="M909" s="40"/>
      <c r="N909" s="86"/>
      <c r="O909" s="86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>
      <c r="A910" s="40"/>
      <c r="B910" s="40"/>
      <c r="C910" s="40"/>
      <c r="D910" s="82"/>
      <c r="E910" s="83"/>
      <c r="F910" s="40"/>
      <c r="G910" s="40"/>
      <c r="H910" s="82"/>
      <c r="I910" s="84"/>
      <c r="J910" s="84"/>
      <c r="K910" s="84"/>
      <c r="L910" s="85"/>
      <c r="M910" s="40"/>
      <c r="N910" s="86"/>
      <c r="O910" s="86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>
      <c r="A911" s="40"/>
      <c r="B911" s="40"/>
      <c r="C911" s="40"/>
      <c r="D911" s="82"/>
      <c r="E911" s="83"/>
      <c r="F911" s="40"/>
      <c r="G911" s="40"/>
      <c r="H911" s="82"/>
      <c r="I911" s="84"/>
      <c r="J911" s="84"/>
      <c r="K911" s="84"/>
      <c r="L911" s="85"/>
      <c r="M911" s="40"/>
      <c r="N911" s="86"/>
      <c r="O911" s="86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>
      <c r="A912" s="40"/>
      <c r="B912" s="40"/>
      <c r="C912" s="40"/>
      <c r="D912" s="82"/>
      <c r="E912" s="83"/>
      <c r="F912" s="40"/>
      <c r="G912" s="40"/>
      <c r="H912" s="82"/>
      <c r="I912" s="84"/>
      <c r="J912" s="84"/>
      <c r="K912" s="84"/>
      <c r="L912" s="85"/>
      <c r="M912" s="40"/>
      <c r="N912" s="86"/>
      <c r="O912" s="86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>
      <c r="A913" s="40"/>
      <c r="B913" s="40"/>
      <c r="C913" s="40"/>
      <c r="D913" s="82"/>
      <c r="E913" s="83"/>
      <c r="F913" s="40"/>
      <c r="G913" s="40"/>
      <c r="H913" s="82"/>
      <c r="I913" s="84"/>
      <c r="J913" s="84"/>
      <c r="K913" s="84"/>
      <c r="L913" s="85"/>
      <c r="M913" s="40"/>
      <c r="N913" s="86"/>
      <c r="O913" s="86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>
      <c r="A914" s="40"/>
      <c r="B914" s="40"/>
      <c r="C914" s="40"/>
      <c r="D914" s="82"/>
      <c r="E914" s="83"/>
      <c r="F914" s="40"/>
      <c r="G914" s="40"/>
      <c r="H914" s="82"/>
      <c r="I914" s="84"/>
      <c r="J914" s="84"/>
      <c r="K914" s="84"/>
      <c r="L914" s="85"/>
      <c r="M914" s="40"/>
      <c r="N914" s="86"/>
      <c r="O914" s="86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>
      <c r="A915" s="40"/>
      <c r="B915" s="40"/>
      <c r="C915" s="40"/>
      <c r="D915" s="82"/>
      <c r="E915" s="83"/>
      <c r="F915" s="40"/>
      <c r="G915" s="40"/>
      <c r="H915" s="82"/>
      <c r="I915" s="84"/>
      <c r="J915" s="84"/>
      <c r="K915" s="84"/>
      <c r="L915" s="85"/>
      <c r="M915" s="40"/>
      <c r="N915" s="86"/>
      <c r="O915" s="86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>
      <c r="A916" s="40"/>
      <c r="B916" s="40"/>
      <c r="C916" s="40"/>
      <c r="D916" s="82"/>
      <c r="E916" s="83"/>
      <c r="F916" s="40"/>
      <c r="G916" s="40"/>
      <c r="H916" s="82"/>
      <c r="I916" s="84"/>
      <c r="J916" s="84"/>
      <c r="K916" s="84"/>
      <c r="L916" s="85"/>
      <c r="M916" s="40"/>
      <c r="N916" s="86"/>
      <c r="O916" s="86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>
      <c r="A917" s="40"/>
      <c r="B917" s="40"/>
      <c r="C917" s="40"/>
      <c r="D917" s="82"/>
      <c r="E917" s="83"/>
      <c r="F917" s="40"/>
      <c r="G917" s="40"/>
      <c r="H917" s="82"/>
      <c r="I917" s="84"/>
      <c r="J917" s="84"/>
      <c r="K917" s="84"/>
      <c r="L917" s="85"/>
      <c r="M917" s="40"/>
      <c r="N917" s="86"/>
      <c r="O917" s="86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>
      <c r="A918" s="40"/>
      <c r="B918" s="40"/>
      <c r="C918" s="40"/>
      <c r="D918" s="82"/>
      <c r="E918" s="83"/>
      <c r="F918" s="40"/>
      <c r="G918" s="40"/>
      <c r="H918" s="82"/>
      <c r="I918" s="84"/>
      <c r="J918" s="84"/>
      <c r="K918" s="84"/>
      <c r="L918" s="85"/>
      <c r="M918" s="40"/>
      <c r="N918" s="86"/>
      <c r="O918" s="86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>
      <c r="A919" s="40"/>
      <c r="B919" s="40"/>
      <c r="C919" s="40"/>
      <c r="D919" s="82"/>
      <c r="E919" s="83"/>
      <c r="F919" s="40"/>
      <c r="G919" s="40"/>
      <c r="H919" s="82"/>
      <c r="I919" s="84"/>
      <c r="J919" s="84"/>
      <c r="K919" s="84"/>
      <c r="L919" s="85"/>
      <c r="M919" s="40"/>
      <c r="N919" s="86"/>
      <c r="O919" s="86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>
      <c r="A920" s="40"/>
      <c r="B920" s="40"/>
      <c r="C920" s="40"/>
      <c r="D920" s="82"/>
      <c r="E920" s="83"/>
      <c r="F920" s="40"/>
      <c r="G920" s="40"/>
      <c r="H920" s="82"/>
      <c r="I920" s="84"/>
      <c r="J920" s="84"/>
      <c r="K920" s="84"/>
      <c r="L920" s="85"/>
      <c r="M920" s="40"/>
      <c r="N920" s="86"/>
      <c r="O920" s="86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>
      <c r="A921" s="40"/>
      <c r="B921" s="40"/>
      <c r="C921" s="40"/>
      <c r="D921" s="82"/>
      <c r="E921" s="83"/>
      <c r="F921" s="40"/>
      <c r="G921" s="40"/>
      <c r="H921" s="82"/>
      <c r="I921" s="84"/>
      <c r="J921" s="84"/>
      <c r="K921" s="84"/>
      <c r="L921" s="85"/>
      <c r="M921" s="40"/>
      <c r="N921" s="86"/>
      <c r="O921" s="86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>
      <c r="A922" s="40"/>
      <c r="B922" s="40"/>
      <c r="C922" s="40"/>
      <c r="D922" s="82"/>
      <c r="E922" s="83"/>
      <c r="F922" s="40"/>
      <c r="G922" s="40"/>
      <c r="H922" s="82"/>
      <c r="I922" s="84"/>
      <c r="J922" s="84"/>
      <c r="K922" s="84"/>
      <c r="L922" s="85"/>
      <c r="M922" s="40"/>
      <c r="N922" s="86"/>
      <c r="O922" s="86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>
      <c r="A923" s="40"/>
      <c r="B923" s="40"/>
      <c r="C923" s="40"/>
      <c r="D923" s="82"/>
      <c r="E923" s="83"/>
      <c r="F923" s="40"/>
      <c r="G923" s="40"/>
      <c r="H923" s="82"/>
      <c r="I923" s="84"/>
      <c r="J923" s="84"/>
      <c r="K923" s="84"/>
      <c r="L923" s="85"/>
      <c r="M923" s="40"/>
      <c r="N923" s="86"/>
      <c r="O923" s="86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>
      <c r="A924" s="40"/>
      <c r="B924" s="40"/>
      <c r="C924" s="40"/>
      <c r="D924" s="82"/>
      <c r="E924" s="83"/>
      <c r="F924" s="40"/>
      <c r="G924" s="40"/>
      <c r="H924" s="82"/>
      <c r="I924" s="84"/>
      <c r="J924" s="84"/>
      <c r="K924" s="84"/>
      <c r="L924" s="85"/>
      <c r="M924" s="40"/>
      <c r="N924" s="86"/>
      <c r="O924" s="86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>
      <c r="A925" s="40"/>
      <c r="B925" s="40"/>
      <c r="C925" s="40"/>
      <c r="D925" s="82"/>
      <c r="E925" s="83"/>
      <c r="F925" s="40"/>
      <c r="G925" s="40"/>
      <c r="H925" s="82"/>
      <c r="I925" s="84"/>
      <c r="J925" s="84"/>
      <c r="K925" s="84"/>
      <c r="L925" s="85"/>
      <c r="M925" s="40"/>
      <c r="N925" s="86"/>
      <c r="O925" s="86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>
      <c r="A926" s="40"/>
      <c r="B926" s="40"/>
      <c r="C926" s="40"/>
      <c r="D926" s="82"/>
      <c r="E926" s="83"/>
      <c r="F926" s="40"/>
      <c r="G926" s="40"/>
      <c r="H926" s="82"/>
      <c r="I926" s="84"/>
      <c r="J926" s="84"/>
      <c r="K926" s="84"/>
      <c r="L926" s="85"/>
      <c r="M926" s="40"/>
      <c r="N926" s="86"/>
      <c r="O926" s="86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>
      <c r="A927" s="40"/>
      <c r="B927" s="40"/>
      <c r="C927" s="40"/>
      <c r="D927" s="82"/>
      <c r="E927" s="83"/>
      <c r="F927" s="40"/>
      <c r="G927" s="40"/>
      <c r="H927" s="82"/>
      <c r="I927" s="84"/>
      <c r="J927" s="84"/>
      <c r="K927" s="84"/>
      <c r="L927" s="85"/>
      <c r="M927" s="40"/>
      <c r="N927" s="86"/>
      <c r="O927" s="86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>
      <c r="A928" s="40"/>
      <c r="B928" s="40"/>
      <c r="C928" s="40"/>
      <c r="D928" s="82"/>
      <c r="E928" s="83"/>
      <c r="F928" s="40"/>
      <c r="G928" s="40"/>
      <c r="H928" s="82"/>
      <c r="I928" s="84"/>
      <c r="J928" s="84"/>
      <c r="K928" s="84"/>
      <c r="L928" s="85"/>
      <c r="M928" s="40"/>
      <c r="N928" s="86"/>
      <c r="O928" s="86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>
      <c r="A929" s="40"/>
      <c r="B929" s="40"/>
      <c r="C929" s="40"/>
      <c r="D929" s="82"/>
      <c r="E929" s="83"/>
      <c r="F929" s="40"/>
      <c r="G929" s="40"/>
      <c r="H929" s="82"/>
      <c r="I929" s="84"/>
      <c r="J929" s="84"/>
      <c r="K929" s="84"/>
      <c r="L929" s="85"/>
      <c r="M929" s="40"/>
      <c r="N929" s="86"/>
      <c r="O929" s="86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>
      <c r="A930" s="40"/>
      <c r="B930" s="40"/>
      <c r="C930" s="40"/>
      <c r="D930" s="82"/>
      <c r="E930" s="83"/>
      <c r="F930" s="40"/>
      <c r="G930" s="40"/>
      <c r="H930" s="82"/>
      <c r="I930" s="84"/>
      <c r="J930" s="84"/>
      <c r="K930" s="84"/>
      <c r="L930" s="85"/>
      <c r="M930" s="40"/>
      <c r="N930" s="86"/>
      <c r="O930" s="86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>
      <c r="A931" s="40"/>
      <c r="B931" s="40"/>
      <c r="C931" s="40"/>
      <c r="D931" s="82"/>
      <c r="E931" s="83"/>
      <c r="F931" s="40"/>
      <c r="G931" s="40"/>
      <c r="H931" s="82"/>
      <c r="I931" s="84"/>
      <c r="J931" s="84"/>
      <c r="K931" s="84"/>
      <c r="L931" s="85"/>
      <c r="M931" s="40"/>
      <c r="N931" s="86"/>
      <c r="O931" s="86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>
      <c r="A932" s="40"/>
      <c r="B932" s="40"/>
      <c r="C932" s="40"/>
      <c r="D932" s="82"/>
      <c r="E932" s="83"/>
      <c r="F932" s="40"/>
      <c r="G932" s="40"/>
      <c r="H932" s="82"/>
      <c r="I932" s="84"/>
      <c r="J932" s="84"/>
      <c r="K932" s="84"/>
      <c r="L932" s="85"/>
      <c r="M932" s="40"/>
      <c r="N932" s="86"/>
      <c r="O932" s="86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>
      <c r="A933" s="40"/>
      <c r="B933" s="40"/>
      <c r="C933" s="40"/>
      <c r="D933" s="82"/>
      <c r="E933" s="83"/>
      <c r="F933" s="40"/>
      <c r="G933" s="40"/>
      <c r="H933" s="82"/>
      <c r="I933" s="84"/>
      <c r="J933" s="84"/>
      <c r="K933" s="84"/>
      <c r="L933" s="85"/>
      <c r="M933" s="40"/>
      <c r="N933" s="86"/>
      <c r="O933" s="86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>
      <c r="A934" s="40"/>
      <c r="B934" s="40"/>
      <c r="C934" s="40"/>
      <c r="D934" s="82"/>
      <c r="E934" s="83"/>
      <c r="F934" s="40"/>
      <c r="G934" s="40"/>
      <c r="H934" s="82"/>
      <c r="I934" s="84"/>
      <c r="J934" s="84"/>
      <c r="K934" s="84"/>
      <c r="L934" s="85"/>
      <c r="M934" s="40"/>
      <c r="N934" s="86"/>
      <c r="O934" s="86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>
      <c r="A935" s="40"/>
      <c r="B935" s="40"/>
      <c r="C935" s="40"/>
      <c r="D935" s="82"/>
      <c r="E935" s="83"/>
      <c r="F935" s="40"/>
      <c r="G935" s="40"/>
      <c r="H935" s="82"/>
      <c r="I935" s="84"/>
      <c r="J935" s="84"/>
      <c r="K935" s="84"/>
      <c r="L935" s="85"/>
      <c r="M935" s="40"/>
      <c r="N935" s="86"/>
      <c r="O935" s="86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>
      <c r="A936" s="40"/>
      <c r="B936" s="40"/>
      <c r="C936" s="40"/>
      <c r="D936" s="82"/>
      <c r="E936" s="83"/>
      <c r="F936" s="40"/>
      <c r="G936" s="40"/>
      <c r="H936" s="82"/>
      <c r="I936" s="84"/>
      <c r="J936" s="84"/>
      <c r="K936" s="84"/>
      <c r="L936" s="85"/>
      <c r="M936" s="40"/>
      <c r="N936" s="86"/>
      <c r="O936" s="86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>
      <c r="A937" s="40"/>
      <c r="B937" s="40"/>
      <c r="C937" s="40"/>
      <c r="D937" s="82"/>
      <c r="E937" s="83"/>
      <c r="F937" s="40"/>
      <c r="G937" s="40"/>
      <c r="H937" s="82"/>
      <c r="I937" s="84"/>
      <c r="J937" s="84"/>
      <c r="K937" s="84"/>
      <c r="L937" s="85"/>
      <c r="M937" s="40"/>
      <c r="N937" s="86"/>
      <c r="O937" s="86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>
      <c r="A938" s="40"/>
      <c r="B938" s="40"/>
      <c r="C938" s="40"/>
      <c r="D938" s="82"/>
      <c r="E938" s="83"/>
      <c r="F938" s="40"/>
      <c r="G938" s="40"/>
      <c r="H938" s="82"/>
      <c r="I938" s="84"/>
      <c r="J938" s="84"/>
      <c r="K938" s="84"/>
      <c r="L938" s="85"/>
      <c r="M938" s="40"/>
      <c r="N938" s="86"/>
      <c r="O938" s="86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>
      <c r="A939" s="40"/>
      <c r="B939" s="40"/>
      <c r="C939" s="40"/>
      <c r="D939" s="82"/>
      <c r="E939" s="83"/>
      <c r="F939" s="40"/>
      <c r="G939" s="40"/>
      <c r="H939" s="82"/>
      <c r="I939" s="84"/>
      <c r="J939" s="84"/>
      <c r="K939" s="84"/>
      <c r="L939" s="85"/>
      <c r="M939" s="40"/>
      <c r="N939" s="86"/>
      <c r="O939" s="86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>
      <c r="A940" s="40"/>
      <c r="B940" s="40"/>
      <c r="C940" s="40"/>
      <c r="D940" s="82"/>
      <c r="E940" s="83"/>
      <c r="F940" s="40"/>
      <c r="G940" s="40"/>
      <c r="H940" s="82"/>
      <c r="I940" s="84"/>
      <c r="J940" s="84"/>
      <c r="K940" s="84"/>
      <c r="L940" s="85"/>
      <c r="M940" s="40"/>
      <c r="N940" s="86"/>
      <c r="O940" s="86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>
      <c r="A941" s="40"/>
      <c r="B941" s="40"/>
      <c r="C941" s="40"/>
      <c r="D941" s="82"/>
      <c r="E941" s="83"/>
      <c r="F941" s="40"/>
      <c r="G941" s="40"/>
      <c r="H941" s="82"/>
      <c r="I941" s="84"/>
      <c r="J941" s="84"/>
      <c r="K941" s="84"/>
      <c r="L941" s="85"/>
      <c r="M941" s="40"/>
      <c r="N941" s="86"/>
      <c r="O941" s="86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>
      <c r="A942" s="40"/>
      <c r="B942" s="40"/>
      <c r="C942" s="40"/>
      <c r="D942" s="82"/>
      <c r="E942" s="83"/>
      <c r="F942" s="40"/>
      <c r="G942" s="40"/>
      <c r="H942" s="82"/>
      <c r="I942" s="84"/>
      <c r="J942" s="84"/>
      <c r="K942" s="84"/>
      <c r="L942" s="85"/>
      <c r="M942" s="40"/>
      <c r="N942" s="86"/>
      <c r="O942" s="86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>
      <c r="A943" s="40"/>
      <c r="B943" s="40"/>
      <c r="C943" s="40"/>
      <c r="D943" s="82"/>
      <c r="E943" s="83"/>
      <c r="F943" s="40"/>
      <c r="G943" s="40"/>
      <c r="H943" s="82"/>
      <c r="I943" s="84"/>
      <c r="J943" s="84"/>
      <c r="K943" s="84"/>
      <c r="L943" s="85"/>
      <c r="M943" s="40"/>
      <c r="N943" s="86"/>
      <c r="O943" s="86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>
      <c r="A944" s="40"/>
      <c r="B944" s="40"/>
      <c r="C944" s="40"/>
      <c r="D944" s="82"/>
      <c r="E944" s="83"/>
      <c r="F944" s="40"/>
      <c r="G944" s="40"/>
      <c r="H944" s="82"/>
      <c r="I944" s="84"/>
      <c r="J944" s="84"/>
      <c r="K944" s="84"/>
      <c r="L944" s="85"/>
      <c r="M944" s="40"/>
      <c r="N944" s="86"/>
      <c r="O944" s="86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>
      <c r="A945" s="40"/>
      <c r="B945" s="40"/>
      <c r="C945" s="40"/>
      <c r="D945" s="82"/>
      <c r="E945" s="83"/>
      <c r="F945" s="40"/>
      <c r="G945" s="40"/>
      <c r="H945" s="82"/>
      <c r="I945" s="84"/>
      <c r="J945" s="84"/>
      <c r="K945" s="84"/>
      <c r="L945" s="85"/>
      <c r="M945" s="40"/>
      <c r="N945" s="86"/>
      <c r="O945" s="86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>
      <c r="A946" s="40"/>
      <c r="B946" s="40"/>
      <c r="C946" s="40"/>
      <c r="D946" s="82"/>
      <c r="E946" s="83"/>
      <c r="F946" s="40"/>
      <c r="G946" s="40"/>
      <c r="H946" s="82"/>
      <c r="I946" s="84"/>
      <c r="J946" s="84"/>
      <c r="K946" s="84"/>
      <c r="L946" s="85"/>
      <c r="M946" s="40"/>
      <c r="N946" s="86"/>
      <c r="O946" s="86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>
      <c r="A947" s="40"/>
      <c r="B947" s="40"/>
      <c r="C947" s="40"/>
      <c r="D947" s="82"/>
      <c r="E947" s="83"/>
      <c r="F947" s="40"/>
      <c r="G947" s="40"/>
      <c r="H947" s="82"/>
      <c r="I947" s="84"/>
      <c r="J947" s="84"/>
      <c r="K947" s="84"/>
      <c r="L947" s="85"/>
      <c r="M947" s="40"/>
      <c r="N947" s="86"/>
      <c r="O947" s="86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>
      <c r="A948" s="40"/>
      <c r="B948" s="40"/>
      <c r="C948" s="40"/>
      <c r="D948" s="82"/>
      <c r="E948" s="83"/>
      <c r="F948" s="40"/>
      <c r="G948" s="40"/>
      <c r="H948" s="82"/>
      <c r="I948" s="84"/>
      <c r="J948" s="84"/>
      <c r="K948" s="84"/>
      <c r="L948" s="85"/>
      <c r="M948" s="40"/>
      <c r="N948" s="86"/>
      <c r="O948" s="86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>
      <c r="A949" s="40"/>
      <c r="B949" s="40"/>
      <c r="C949" s="40"/>
      <c r="D949" s="82"/>
      <c r="E949" s="83"/>
      <c r="F949" s="40"/>
      <c r="G949" s="40"/>
      <c r="H949" s="82"/>
      <c r="I949" s="84"/>
      <c r="J949" s="84"/>
      <c r="K949" s="84"/>
      <c r="L949" s="85"/>
      <c r="M949" s="40"/>
      <c r="N949" s="86"/>
      <c r="O949" s="86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>
      <c r="A950" s="40"/>
      <c r="B950" s="40"/>
      <c r="C950" s="40"/>
      <c r="D950" s="82"/>
      <c r="E950" s="83"/>
      <c r="F950" s="40"/>
      <c r="G950" s="40"/>
      <c r="H950" s="82"/>
      <c r="I950" s="84"/>
      <c r="J950" s="84"/>
      <c r="K950" s="84"/>
      <c r="L950" s="85"/>
      <c r="M950" s="40"/>
      <c r="N950" s="86"/>
      <c r="O950" s="86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>
      <c r="A951" s="40"/>
      <c r="B951" s="40"/>
      <c r="C951" s="40"/>
      <c r="D951" s="82"/>
      <c r="E951" s="83"/>
      <c r="F951" s="40"/>
      <c r="G951" s="40"/>
      <c r="H951" s="82"/>
      <c r="I951" s="84"/>
      <c r="J951" s="84"/>
      <c r="K951" s="84"/>
      <c r="L951" s="85"/>
      <c r="M951" s="40"/>
      <c r="N951" s="86"/>
      <c r="O951" s="86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>
      <c r="A952" s="40"/>
      <c r="B952" s="40"/>
      <c r="C952" s="40"/>
      <c r="D952" s="82"/>
      <c r="E952" s="83"/>
      <c r="F952" s="40"/>
      <c r="G952" s="40"/>
      <c r="H952" s="82"/>
      <c r="I952" s="84"/>
      <c r="J952" s="84"/>
      <c r="K952" s="84"/>
      <c r="L952" s="85"/>
      <c r="M952" s="40"/>
      <c r="N952" s="86"/>
      <c r="O952" s="86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>
      <c r="A953" s="40"/>
      <c r="B953" s="40"/>
      <c r="C953" s="40"/>
      <c r="D953" s="82"/>
      <c r="E953" s="83"/>
      <c r="F953" s="40"/>
      <c r="G953" s="40"/>
      <c r="H953" s="82"/>
      <c r="I953" s="84"/>
      <c r="J953" s="84"/>
      <c r="K953" s="84"/>
      <c r="L953" s="85"/>
      <c r="M953" s="40"/>
      <c r="N953" s="86"/>
      <c r="O953" s="86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>
      <c r="A954" s="40"/>
      <c r="B954" s="40"/>
      <c r="C954" s="40"/>
      <c r="D954" s="82"/>
      <c r="E954" s="83"/>
      <c r="F954" s="40"/>
      <c r="G954" s="40"/>
      <c r="H954" s="82"/>
      <c r="I954" s="84"/>
      <c r="J954" s="84"/>
      <c r="K954" s="84"/>
      <c r="L954" s="85"/>
      <c r="M954" s="40"/>
      <c r="N954" s="86"/>
      <c r="O954" s="86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>
      <c r="A955" s="40"/>
      <c r="B955" s="40"/>
      <c r="C955" s="40"/>
      <c r="D955" s="82"/>
      <c r="E955" s="83"/>
      <c r="F955" s="40"/>
      <c r="G955" s="40"/>
      <c r="H955" s="82"/>
      <c r="I955" s="84"/>
      <c r="J955" s="84"/>
      <c r="K955" s="84"/>
      <c r="L955" s="85"/>
      <c r="M955" s="40"/>
      <c r="N955" s="86"/>
      <c r="O955" s="86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>
      <c r="A956" s="40"/>
      <c r="B956" s="40"/>
      <c r="C956" s="40"/>
      <c r="D956" s="82"/>
      <c r="E956" s="83"/>
      <c r="F956" s="40"/>
      <c r="G956" s="40"/>
      <c r="H956" s="82"/>
      <c r="I956" s="84"/>
      <c r="J956" s="84"/>
      <c r="K956" s="84"/>
      <c r="L956" s="85"/>
      <c r="M956" s="40"/>
      <c r="N956" s="86"/>
      <c r="O956" s="86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>
      <c r="A957" s="40"/>
      <c r="B957" s="40"/>
      <c r="C957" s="40"/>
      <c r="D957" s="82"/>
      <c r="E957" s="83"/>
      <c r="F957" s="40"/>
      <c r="G957" s="40"/>
      <c r="H957" s="82"/>
      <c r="I957" s="84"/>
      <c r="J957" s="84"/>
      <c r="K957" s="84"/>
      <c r="L957" s="85"/>
      <c r="M957" s="40"/>
      <c r="N957" s="86"/>
      <c r="O957" s="86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>
      <c r="A958" s="40"/>
      <c r="B958" s="40"/>
      <c r="C958" s="40"/>
      <c r="D958" s="82"/>
      <c r="E958" s="83"/>
      <c r="F958" s="40"/>
      <c r="G958" s="40"/>
      <c r="H958" s="82"/>
      <c r="I958" s="84"/>
      <c r="J958" s="84"/>
      <c r="K958" s="84"/>
      <c r="L958" s="85"/>
      <c r="M958" s="40"/>
      <c r="N958" s="86"/>
      <c r="O958" s="86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>
      <c r="A959" s="40"/>
      <c r="B959" s="40"/>
      <c r="C959" s="40"/>
      <c r="D959" s="82"/>
      <c r="E959" s="83"/>
      <c r="F959" s="40"/>
      <c r="G959" s="40"/>
      <c r="H959" s="82"/>
      <c r="I959" s="84"/>
      <c r="J959" s="84"/>
      <c r="K959" s="84"/>
      <c r="L959" s="85"/>
      <c r="M959" s="40"/>
      <c r="N959" s="86"/>
      <c r="O959" s="86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>
      <c r="A960" s="40"/>
      <c r="B960" s="40"/>
      <c r="C960" s="40"/>
      <c r="D960" s="82"/>
      <c r="E960" s="83"/>
      <c r="F960" s="40"/>
      <c r="G960" s="40"/>
      <c r="H960" s="82"/>
      <c r="I960" s="84"/>
      <c r="J960" s="84"/>
      <c r="K960" s="84"/>
      <c r="L960" s="85"/>
      <c r="M960" s="40"/>
      <c r="N960" s="86"/>
      <c r="O960" s="86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>
      <c r="A961" s="40"/>
      <c r="B961" s="40"/>
      <c r="C961" s="40"/>
      <c r="D961" s="82"/>
      <c r="E961" s="83"/>
      <c r="F961" s="40"/>
      <c r="G961" s="40"/>
      <c r="H961" s="82"/>
      <c r="I961" s="84"/>
      <c r="J961" s="84"/>
      <c r="K961" s="84"/>
      <c r="L961" s="85"/>
      <c r="M961" s="40"/>
      <c r="N961" s="86"/>
      <c r="O961" s="86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>
      <c r="A962" s="40"/>
      <c r="B962" s="40"/>
      <c r="C962" s="40"/>
      <c r="D962" s="82"/>
      <c r="E962" s="83"/>
      <c r="F962" s="40"/>
      <c r="G962" s="40"/>
      <c r="H962" s="82"/>
      <c r="I962" s="84"/>
      <c r="J962" s="84"/>
      <c r="K962" s="84"/>
      <c r="L962" s="85"/>
      <c r="M962" s="40"/>
      <c r="N962" s="86"/>
      <c r="O962" s="86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>
      <c r="A963" s="40"/>
      <c r="B963" s="40"/>
      <c r="C963" s="40"/>
      <c r="D963" s="82"/>
      <c r="E963" s="83"/>
      <c r="F963" s="40"/>
      <c r="G963" s="40"/>
      <c r="H963" s="82"/>
      <c r="I963" s="84"/>
      <c r="J963" s="84"/>
      <c r="K963" s="84"/>
      <c r="L963" s="85"/>
      <c r="M963" s="40"/>
      <c r="N963" s="86"/>
      <c r="O963" s="86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>
      <c r="A964" s="40"/>
      <c r="B964" s="40"/>
      <c r="C964" s="40"/>
      <c r="D964" s="82"/>
      <c r="E964" s="83"/>
      <c r="F964" s="40"/>
      <c r="G964" s="40"/>
      <c r="H964" s="82"/>
      <c r="I964" s="84"/>
      <c r="J964" s="84"/>
      <c r="K964" s="84"/>
      <c r="L964" s="85"/>
      <c r="M964" s="40"/>
      <c r="N964" s="86"/>
      <c r="O964" s="86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>
      <c r="A965" s="40"/>
      <c r="B965" s="40"/>
      <c r="C965" s="40"/>
      <c r="D965" s="82"/>
      <c r="E965" s="83"/>
      <c r="F965" s="40"/>
      <c r="G965" s="40"/>
      <c r="H965" s="82"/>
      <c r="I965" s="84"/>
      <c r="J965" s="84"/>
      <c r="K965" s="84"/>
      <c r="L965" s="85"/>
      <c r="M965" s="40"/>
      <c r="N965" s="86"/>
      <c r="O965" s="86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>
      <c r="A966" s="40"/>
      <c r="B966" s="40"/>
      <c r="C966" s="40"/>
      <c r="D966" s="82"/>
      <c r="E966" s="83"/>
      <c r="F966" s="40"/>
      <c r="G966" s="40"/>
      <c r="H966" s="82"/>
      <c r="I966" s="84"/>
      <c r="J966" s="84"/>
      <c r="K966" s="84"/>
      <c r="L966" s="85"/>
      <c r="M966" s="40"/>
      <c r="N966" s="86"/>
      <c r="O966" s="86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>
      <c r="A967" s="40"/>
      <c r="B967" s="40"/>
      <c r="C967" s="40"/>
      <c r="D967" s="82"/>
      <c r="E967" s="83"/>
      <c r="F967" s="40"/>
      <c r="G967" s="40"/>
      <c r="H967" s="82"/>
      <c r="I967" s="84"/>
      <c r="J967" s="84"/>
      <c r="K967" s="84"/>
      <c r="L967" s="85"/>
      <c r="M967" s="40"/>
      <c r="N967" s="86"/>
      <c r="O967" s="86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>
      <c r="A968" s="40"/>
      <c r="B968" s="40"/>
      <c r="C968" s="40"/>
      <c r="D968" s="82"/>
      <c r="E968" s="83"/>
      <c r="F968" s="40"/>
      <c r="G968" s="40"/>
      <c r="H968" s="82"/>
      <c r="I968" s="84"/>
      <c r="J968" s="84"/>
      <c r="K968" s="84"/>
      <c r="L968" s="85"/>
      <c r="M968" s="40"/>
      <c r="N968" s="86"/>
      <c r="O968" s="86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>
      <c r="A969" s="40"/>
      <c r="B969" s="40"/>
      <c r="C969" s="40"/>
      <c r="D969" s="82"/>
      <c r="E969" s="83"/>
      <c r="F969" s="40"/>
      <c r="G969" s="40"/>
      <c r="H969" s="82"/>
      <c r="I969" s="84"/>
      <c r="J969" s="84"/>
      <c r="K969" s="84"/>
      <c r="L969" s="85"/>
      <c r="M969" s="40"/>
      <c r="N969" s="86"/>
      <c r="O969" s="86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>
      <c r="A970" s="40"/>
      <c r="B970" s="40"/>
      <c r="C970" s="40"/>
      <c r="D970" s="82"/>
      <c r="E970" s="83"/>
      <c r="F970" s="40"/>
      <c r="G970" s="40"/>
      <c r="H970" s="82"/>
      <c r="I970" s="84"/>
      <c r="J970" s="84"/>
      <c r="K970" s="84"/>
      <c r="L970" s="85"/>
      <c r="M970" s="40"/>
      <c r="N970" s="86"/>
      <c r="O970" s="86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>
      <c r="A971" s="40"/>
      <c r="B971" s="40"/>
      <c r="C971" s="40"/>
      <c r="D971" s="82"/>
      <c r="E971" s="83"/>
      <c r="F971" s="40"/>
      <c r="G971" s="40"/>
      <c r="H971" s="82"/>
      <c r="I971" s="84"/>
      <c r="J971" s="84"/>
      <c r="K971" s="84"/>
      <c r="L971" s="85"/>
      <c r="M971" s="40"/>
      <c r="N971" s="86"/>
      <c r="O971" s="86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>
      <c r="A972" s="40"/>
      <c r="B972" s="40"/>
      <c r="C972" s="40"/>
      <c r="D972" s="82"/>
      <c r="E972" s="83"/>
      <c r="F972" s="40"/>
      <c r="G972" s="40"/>
      <c r="H972" s="82"/>
      <c r="I972" s="84"/>
      <c r="J972" s="84"/>
      <c r="K972" s="84"/>
      <c r="L972" s="85"/>
      <c r="M972" s="40"/>
      <c r="N972" s="86"/>
      <c r="O972" s="86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>
      <c r="A973" s="40"/>
      <c r="B973" s="40"/>
      <c r="C973" s="40"/>
      <c r="D973" s="82"/>
      <c r="E973" s="83"/>
      <c r="F973" s="40"/>
      <c r="G973" s="40"/>
      <c r="H973" s="82"/>
      <c r="I973" s="84"/>
      <c r="J973" s="84"/>
      <c r="K973" s="84"/>
      <c r="L973" s="85"/>
      <c r="M973" s="40"/>
      <c r="N973" s="86"/>
      <c r="O973" s="86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>
      <c r="A974" s="40"/>
      <c r="B974" s="40"/>
      <c r="C974" s="40"/>
      <c r="D974" s="82"/>
      <c r="E974" s="83"/>
      <c r="F974" s="40"/>
      <c r="G974" s="40"/>
      <c r="H974" s="82"/>
      <c r="I974" s="84"/>
      <c r="J974" s="84"/>
      <c r="K974" s="84"/>
      <c r="L974" s="85"/>
      <c r="M974" s="40"/>
      <c r="N974" s="86"/>
      <c r="O974" s="86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>
      <c r="A975" s="40"/>
      <c r="B975" s="40"/>
      <c r="C975" s="40"/>
      <c r="D975" s="82"/>
      <c r="E975" s="83"/>
      <c r="F975" s="40"/>
      <c r="G975" s="40"/>
      <c r="H975" s="82"/>
      <c r="I975" s="84"/>
      <c r="J975" s="84"/>
      <c r="K975" s="84"/>
      <c r="L975" s="85"/>
      <c r="M975" s="40"/>
      <c r="N975" s="86"/>
      <c r="O975" s="86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>
      <c r="A976" s="40"/>
      <c r="B976" s="40"/>
      <c r="C976" s="40"/>
      <c r="D976" s="82"/>
      <c r="E976" s="83"/>
      <c r="F976" s="40"/>
      <c r="G976" s="40"/>
      <c r="H976" s="82"/>
      <c r="I976" s="84"/>
      <c r="J976" s="84"/>
      <c r="K976" s="84"/>
      <c r="L976" s="85"/>
      <c r="M976" s="40"/>
      <c r="N976" s="86"/>
      <c r="O976" s="86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>
      <c r="A977" s="40"/>
      <c r="B977" s="40"/>
      <c r="C977" s="40"/>
      <c r="D977" s="82"/>
      <c r="E977" s="83"/>
      <c r="F977" s="40"/>
      <c r="G977" s="40"/>
      <c r="H977" s="82"/>
      <c r="I977" s="84"/>
      <c r="J977" s="84"/>
      <c r="K977" s="84"/>
      <c r="L977" s="85"/>
      <c r="M977" s="40"/>
      <c r="N977" s="86"/>
      <c r="O977" s="86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>
      <c r="A978" s="40"/>
      <c r="B978" s="40"/>
      <c r="C978" s="40"/>
      <c r="D978" s="82"/>
      <c r="E978" s="83"/>
      <c r="F978" s="40"/>
      <c r="G978" s="40"/>
      <c r="H978" s="82"/>
      <c r="I978" s="84"/>
      <c r="J978" s="84"/>
      <c r="K978" s="84"/>
      <c r="L978" s="85"/>
      <c r="M978" s="40"/>
      <c r="N978" s="86"/>
      <c r="O978" s="86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>
      <c r="A979" s="40"/>
      <c r="B979" s="40"/>
      <c r="C979" s="40"/>
      <c r="D979" s="82"/>
      <c r="E979" s="83"/>
      <c r="F979" s="40"/>
      <c r="G979" s="40"/>
      <c r="H979" s="82"/>
      <c r="I979" s="84"/>
      <c r="J979" s="84"/>
      <c r="K979" s="84"/>
      <c r="L979" s="85"/>
      <c r="M979" s="40"/>
      <c r="N979" s="86"/>
      <c r="O979" s="86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>
      <c r="A980" s="40"/>
      <c r="B980" s="40"/>
      <c r="C980" s="40"/>
      <c r="D980" s="82"/>
      <c r="E980" s="83"/>
      <c r="F980" s="40"/>
      <c r="G980" s="40"/>
      <c r="H980" s="82"/>
      <c r="I980" s="84"/>
      <c r="J980" s="84"/>
      <c r="K980" s="84"/>
      <c r="L980" s="85"/>
      <c r="M980" s="40"/>
      <c r="N980" s="86"/>
      <c r="O980" s="86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>
      <c r="A981" s="40"/>
      <c r="B981" s="40"/>
      <c r="C981" s="40"/>
      <c r="D981" s="82"/>
      <c r="E981" s="83"/>
      <c r="F981" s="40"/>
      <c r="G981" s="40"/>
      <c r="H981" s="82"/>
      <c r="I981" s="84"/>
      <c r="J981" s="84"/>
      <c r="K981" s="84"/>
      <c r="L981" s="85"/>
      <c r="M981" s="40"/>
      <c r="N981" s="86"/>
      <c r="O981" s="86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>
      <c r="A982" s="40"/>
      <c r="B982" s="40"/>
      <c r="C982" s="40"/>
      <c r="D982" s="82"/>
      <c r="E982" s="83"/>
      <c r="F982" s="40"/>
      <c r="G982" s="40"/>
      <c r="H982" s="82"/>
      <c r="I982" s="84"/>
      <c r="J982" s="84"/>
      <c r="K982" s="84"/>
      <c r="L982" s="85"/>
      <c r="M982" s="40"/>
      <c r="N982" s="86"/>
      <c r="O982" s="86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>
      <c r="A983" s="40"/>
      <c r="B983" s="40"/>
      <c r="C983" s="40"/>
      <c r="D983" s="82"/>
      <c r="E983" s="83"/>
      <c r="F983" s="40"/>
      <c r="G983" s="40"/>
      <c r="H983" s="82"/>
      <c r="I983" s="84"/>
      <c r="J983" s="84"/>
      <c r="K983" s="84"/>
      <c r="L983" s="85"/>
      <c r="M983" s="40"/>
      <c r="N983" s="86"/>
      <c r="O983" s="86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>
      <c r="A984" s="40"/>
      <c r="B984" s="40"/>
      <c r="C984" s="40"/>
      <c r="D984" s="82"/>
      <c r="E984" s="83"/>
      <c r="F984" s="40"/>
      <c r="G984" s="40"/>
      <c r="H984" s="82"/>
      <c r="I984" s="84"/>
      <c r="J984" s="84"/>
      <c r="K984" s="84"/>
      <c r="L984" s="85"/>
      <c r="M984" s="40"/>
      <c r="N984" s="86"/>
      <c r="O984" s="86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>
      <c r="A985" s="40"/>
      <c r="B985" s="40"/>
      <c r="C985" s="40"/>
      <c r="D985" s="82"/>
      <c r="E985" s="83"/>
      <c r="F985" s="40"/>
      <c r="G985" s="40"/>
      <c r="H985" s="82"/>
      <c r="I985" s="84"/>
      <c r="J985" s="84"/>
      <c r="K985" s="84"/>
      <c r="L985" s="85"/>
      <c r="M985" s="40"/>
      <c r="N985" s="86"/>
      <c r="O985" s="86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>
      <c r="A986" s="40"/>
      <c r="B986" s="40"/>
      <c r="C986" s="40"/>
      <c r="D986" s="82"/>
      <c r="E986" s="83"/>
      <c r="F986" s="40"/>
      <c r="G986" s="40"/>
      <c r="H986" s="82"/>
      <c r="I986" s="84"/>
      <c r="J986" s="84"/>
      <c r="K986" s="84"/>
      <c r="L986" s="85"/>
      <c r="M986" s="40"/>
      <c r="N986" s="86"/>
      <c r="O986" s="86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>
      <c r="A987" s="40"/>
      <c r="B987" s="40"/>
      <c r="C987" s="40"/>
      <c r="D987" s="82"/>
      <c r="E987" s="83"/>
      <c r="F987" s="40"/>
      <c r="G987" s="40"/>
      <c r="H987" s="82"/>
      <c r="I987" s="84"/>
      <c r="J987" s="84"/>
      <c r="K987" s="84"/>
      <c r="L987" s="85"/>
      <c r="M987" s="40"/>
      <c r="N987" s="86"/>
      <c r="O987" s="86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>
      <c r="A988" s="40"/>
      <c r="B988" s="40"/>
      <c r="C988" s="40"/>
      <c r="D988" s="82"/>
      <c r="E988" s="83"/>
      <c r="F988" s="40"/>
      <c r="G988" s="40"/>
      <c r="H988" s="82"/>
      <c r="I988" s="84"/>
      <c r="J988" s="84"/>
      <c r="K988" s="84"/>
      <c r="L988" s="85"/>
      <c r="M988" s="40"/>
      <c r="N988" s="86"/>
      <c r="O988" s="86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>
      <c r="A989" s="40"/>
      <c r="B989" s="40"/>
      <c r="C989" s="40"/>
      <c r="D989" s="82"/>
      <c r="E989" s="83"/>
      <c r="F989" s="40"/>
      <c r="G989" s="40"/>
      <c r="H989" s="82"/>
      <c r="I989" s="84"/>
      <c r="J989" s="84"/>
      <c r="K989" s="84"/>
      <c r="L989" s="85"/>
      <c r="M989" s="40"/>
      <c r="N989" s="86"/>
      <c r="O989" s="86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>
      <c r="A990" s="40"/>
      <c r="B990" s="40"/>
      <c r="C990" s="40"/>
      <c r="D990" s="82"/>
      <c r="E990" s="83"/>
      <c r="F990" s="40"/>
      <c r="G990" s="40"/>
      <c r="H990" s="82"/>
      <c r="I990" s="84"/>
      <c r="J990" s="84"/>
      <c r="K990" s="84"/>
      <c r="L990" s="85"/>
      <c r="M990" s="40"/>
      <c r="N990" s="86"/>
      <c r="O990" s="86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>
      <c r="A991" s="40"/>
      <c r="B991" s="40"/>
      <c r="C991" s="40"/>
      <c r="D991" s="82"/>
      <c r="E991" s="83"/>
      <c r="F991" s="40"/>
      <c r="G991" s="40"/>
      <c r="H991" s="82"/>
      <c r="I991" s="84"/>
      <c r="J991" s="84"/>
      <c r="K991" s="84"/>
      <c r="L991" s="85"/>
      <c r="M991" s="40"/>
      <c r="N991" s="86"/>
      <c r="O991" s="86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>
      <c r="A992" s="40"/>
      <c r="B992" s="40"/>
      <c r="C992" s="40"/>
      <c r="D992" s="82"/>
      <c r="E992" s="83"/>
      <c r="F992" s="40"/>
      <c r="G992" s="40"/>
      <c r="H992" s="82"/>
      <c r="I992" s="84"/>
      <c r="J992" s="84"/>
      <c r="K992" s="84"/>
      <c r="L992" s="85"/>
      <c r="M992" s="40"/>
      <c r="N992" s="86"/>
      <c r="O992" s="86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>
      <c r="A993" s="40"/>
      <c r="B993" s="40"/>
      <c r="C993" s="40"/>
      <c r="D993" s="82"/>
      <c r="E993" s="83"/>
      <c r="F993" s="40"/>
      <c r="G993" s="40"/>
      <c r="H993" s="82"/>
      <c r="I993" s="84"/>
      <c r="J993" s="84"/>
      <c r="K993" s="84"/>
      <c r="L993" s="85"/>
      <c r="M993" s="40"/>
      <c r="N993" s="86"/>
      <c r="O993" s="86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>
      <c r="A994" s="40"/>
      <c r="B994" s="40"/>
      <c r="C994" s="40"/>
      <c r="D994" s="82"/>
      <c r="E994" s="83"/>
      <c r="F994" s="40"/>
      <c r="G994" s="40"/>
      <c r="H994" s="82"/>
      <c r="I994" s="84"/>
      <c r="J994" s="84"/>
      <c r="K994" s="84"/>
      <c r="L994" s="85"/>
      <c r="M994" s="40"/>
      <c r="N994" s="86"/>
      <c r="O994" s="86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>
      <c r="A995" s="87"/>
      <c r="B995" s="87"/>
      <c r="C995" s="87"/>
      <c r="D995" s="88"/>
      <c r="E995" s="89"/>
      <c r="F995" s="87"/>
      <c r="G995" s="87"/>
      <c r="H995" s="87"/>
      <c r="I995" s="84"/>
      <c r="J995" s="84"/>
      <c r="K995" s="84"/>
      <c r="L995" s="85"/>
      <c r="M995" s="40"/>
      <c r="N995" s="86"/>
      <c r="O995" s="86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>
      <c r="A996" s="90"/>
      <c r="B996" s="90"/>
      <c r="C996" s="90"/>
      <c r="D996" s="91"/>
      <c r="E996" s="92"/>
      <c r="F996" s="90"/>
      <c r="G996" s="90"/>
      <c r="H996" s="90"/>
      <c r="I996" s="93"/>
      <c r="J996" s="93"/>
      <c r="K996" s="93"/>
      <c r="L996" s="94"/>
      <c r="M996" s="90"/>
      <c r="S996" s="40"/>
      <c r="T996" s="40"/>
      <c r="U996" s="40"/>
      <c r="V996" s="40"/>
      <c r="W996" s="40"/>
      <c r="X996" s="40"/>
      <c r="Y996" s="40"/>
      <c r="Z996" s="40"/>
      <c r="AA996" s="40"/>
    </row>
    <row r="997">
      <c r="A997" s="90"/>
      <c r="B997" s="90"/>
      <c r="C997" s="90"/>
      <c r="D997" s="91"/>
      <c r="E997" s="92"/>
      <c r="F997" s="90"/>
      <c r="G997" s="90"/>
      <c r="H997" s="90"/>
      <c r="I997" s="93"/>
      <c r="J997" s="93"/>
      <c r="K997" s="93"/>
      <c r="L997" s="94"/>
      <c r="M997" s="90"/>
      <c r="S997" s="40"/>
      <c r="T997" s="40"/>
      <c r="U997" s="40"/>
      <c r="V997" s="40"/>
      <c r="W997" s="40"/>
      <c r="X997" s="40"/>
      <c r="Y997" s="40"/>
      <c r="Z997" s="40"/>
      <c r="AA997" s="40"/>
    </row>
    <row r="998">
      <c r="E998" s="95"/>
      <c r="L998" s="94"/>
      <c r="S998" s="40"/>
      <c r="T998" s="40"/>
      <c r="U998" s="40"/>
      <c r="V998" s="40"/>
      <c r="W998" s="40"/>
      <c r="X998" s="40"/>
      <c r="Y998" s="40"/>
      <c r="Z998" s="40"/>
      <c r="AA998" s="40"/>
    </row>
    <row r="999">
      <c r="S999" s="40"/>
      <c r="T999" s="40"/>
      <c r="U999" s="40"/>
      <c r="V999" s="40"/>
      <c r="W999" s="40"/>
      <c r="X999" s="40"/>
      <c r="Y999" s="40"/>
      <c r="Z999" s="40"/>
      <c r="AA999" s="40"/>
    </row>
  </sheetData>
  <dataValidations>
    <dataValidation type="list" allowBlank="1" sqref="P2:P258">
      <formula1>"Terminado,En proceso,Pendiente"</formula1>
    </dataValidation>
    <dataValidation type="list" allowBlank="1" sqref="C2:C258">
      <formula1>#REF!</formula1>
    </dataValidation>
    <dataValidation type="custom" allowBlank="1" showDropDown="1" sqref="J2:L258 O2:O258">
      <formula1>AND(ISNUMBER(J2),(NOT(OR(NOT(ISERROR(DATEVALUE(J2))), AND(ISNUMBER(J2), LEFT(CELL("format", J2))="D")))))</formula1>
    </dataValidation>
    <dataValidation type="list" allowBlank="1" sqref="A2:B258 F2:G258">
      <formula1>#REF!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20.5"/>
    <col customWidth="1" min="4" max="4" width="29.38"/>
    <col customWidth="1" min="5" max="5" width="22.0"/>
    <col customWidth="1" min="6" max="6" width="15.13"/>
    <col customWidth="1" min="7" max="7" width="27.63"/>
    <col customWidth="1" min="8" max="8" width="10.13"/>
    <col customWidth="1" min="9" max="9" width="8.13"/>
    <col customWidth="1" min="10" max="10" width="14.25"/>
    <col customWidth="1" min="11" max="11" width="11.63"/>
    <col customWidth="1" min="12" max="12" width="67.5"/>
    <col customWidth="1" min="13" max="13" width="51.25"/>
  </cols>
  <sheetData>
    <row r="1">
      <c r="A1" s="96" t="s">
        <v>196</v>
      </c>
      <c r="B1" s="97" t="s">
        <v>197</v>
      </c>
      <c r="C1" s="96" t="s">
        <v>198</v>
      </c>
      <c r="D1" s="96" t="s">
        <v>0</v>
      </c>
      <c r="E1" s="96" t="s">
        <v>2</v>
      </c>
      <c r="F1" s="96" t="s">
        <v>4</v>
      </c>
      <c r="G1" s="96" t="s">
        <v>5</v>
      </c>
      <c r="H1" s="96" t="s">
        <v>199</v>
      </c>
      <c r="I1" s="96" t="s">
        <v>200</v>
      </c>
      <c r="J1" s="98" t="s">
        <v>201</v>
      </c>
      <c r="K1" s="96" t="s">
        <v>202</v>
      </c>
      <c r="L1" s="96" t="s">
        <v>203</v>
      </c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99"/>
      <c r="B2" s="100">
        <v>46009.0</v>
      </c>
      <c r="C2" s="101" t="s">
        <v>18</v>
      </c>
      <c r="D2" s="101" t="s">
        <v>44</v>
      </c>
      <c r="E2" s="101" t="s">
        <v>62</v>
      </c>
      <c r="F2" s="101" t="s">
        <v>20</v>
      </c>
      <c r="G2" s="101" t="s">
        <v>22</v>
      </c>
      <c r="H2" s="101"/>
      <c r="I2" s="101"/>
      <c r="J2" s="102">
        <v>4.0</v>
      </c>
      <c r="K2" s="102"/>
      <c r="L2" s="101"/>
      <c r="M2" s="101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99"/>
      <c r="B3" s="103">
        <v>46009.0</v>
      </c>
      <c r="C3" s="104" t="s">
        <v>27</v>
      </c>
      <c r="D3" s="104" t="s">
        <v>44</v>
      </c>
      <c r="E3" s="104" t="s">
        <v>62</v>
      </c>
      <c r="F3" s="104" t="s">
        <v>20</v>
      </c>
      <c r="G3" s="104" t="s">
        <v>22</v>
      </c>
      <c r="H3" s="104"/>
      <c r="I3" s="104"/>
      <c r="J3" s="105">
        <v>4.0</v>
      </c>
      <c r="K3" s="105"/>
      <c r="L3" s="104"/>
      <c r="M3" s="104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9"/>
      <c r="B4" s="106">
        <v>46009.0</v>
      </c>
      <c r="C4" s="101" t="s">
        <v>33</v>
      </c>
      <c r="D4" s="101" t="s">
        <v>44</v>
      </c>
      <c r="E4" s="101" t="s">
        <v>62</v>
      </c>
      <c r="F4" s="101" t="s">
        <v>20</v>
      </c>
      <c r="G4" s="101" t="s">
        <v>22</v>
      </c>
      <c r="H4" s="101"/>
      <c r="I4" s="101"/>
      <c r="J4" s="102">
        <v>4.0</v>
      </c>
      <c r="K4" s="102"/>
      <c r="L4" s="101"/>
      <c r="M4" s="101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99"/>
      <c r="B5" s="103">
        <v>46010.0</v>
      </c>
      <c r="C5" s="104" t="s">
        <v>18</v>
      </c>
      <c r="D5" s="104" t="s">
        <v>40</v>
      </c>
      <c r="E5" s="104" t="s">
        <v>19</v>
      </c>
      <c r="F5" s="104" t="s">
        <v>20</v>
      </c>
      <c r="G5" s="107" t="s">
        <v>35</v>
      </c>
      <c r="H5" s="104"/>
      <c r="I5" s="104"/>
      <c r="J5" s="105">
        <v>8.0</v>
      </c>
      <c r="K5" s="105"/>
      <c r="L5" s="104"/>
      <c r="M5" s="104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9"/>
      <c r="B6" s="100">
        <v>46010.0</v>
      </c>
      <c r="C6" s="108" t="s">
        <v>38</v>
      </c>
      <c r="D6" s="108" t="s">
        <v>40</v>
      </c>
      <c r="E6" s="108" t="s">
        <v>39</v>
      </c>
      <c r="F6" s="108" t="s">
        <v>13</v>
      </c>
      <c r="G6" s="101" t="s">
        <v>13</v>
      </c>
      <c r="H6" s="101"/>
      <c r="I6" s="101"/>
      <c r="J6" s="109">
        <v>1.8</v>
      </c>
      <c r="K6" s="109"/>
      <c r="L6" s="108" t="s">
        <v>204</v>
      </c>
      <c r="M6" s="108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9"/>
      <c r="B7" s="110">
        <v>46010.0</v>
      </c>
      <c r="C7" s="111" t="s">
        <v>38</v>
      </c>
      <c r="D7" s="111" t="s">
        <v>40</v>
      </c>
      <c r="E7" s="111" t="s">
        <v>39</v>
      </c>
      <c r="F7" s="111" t="s">
        <v>13</v>
      </c>
      <c r="G7" s="104" t="s">
        <v>13</v>
      </c>
      <c r="H7" s="104"/>
      <c r="I7" s="104"/>
      <c r="J7" s="112">
        <v>0.9</v>
      </c>
      <c r="K7" s="112"/>
      <c r="L7" s="111" t="s">
        <v>204</v>
      </c>
      <c r="M7" s="111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99"/>
      <c r="B8" s="106">
        <v>46010.0</v>
      </c>
      <c r="C8" s="101" t="s">
        <v>27</v>
      </c>
      <c r="D8" s="101" t="s">
        <v>44</v>
      </c>
      <c r="E8" s="101" t="s">
        <v>62</v>
      </c>
      <c r="F8" s="101" t="s">
        <v>20</v>
      </c>
      <c r="G8" s="101" t="s">
        <v>22</v>
      </c>
      <c r="H8" s="101"/>
      <c r="I8" s="101"/>
      <c r="J8" s="102">
        <v>8.0</v>
      </c>
      <c r="K8" s="102"/>
      <c r="L8" s="101"/>
      <c r="M8" s="101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9"/>
      <c r="B9" s="103">
        <v>46010.0</v>
      </c>
      <c r="C9" s="104" t="s">
        <v>33</v>
      </c>
      <c r="D9" s="104" t="s">
        <v>44</v>
      </c>
      <c r="E9" s="104" t="s">
        <v>62</v>
      </c>
      <c r="F9" s="104" t="s">
        <v>20</v>
      </c>
      <c r="G9" s="104" t="s">
        <v>22</v>
      </c>
      <c r="H9" s="104"/>
      <c r="I9" s="104"/>
      <c r="J9" s="105">
        <v>8.0</v>
      </c>
      <c r="K9" s="105"/>
      <c r="L9" s="104"/>
      <c r="M9" s="104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99"/>
      <c r="B10" s="106">
        <v>46013.0</v>
      </c>
      <c r="C10" s="101" t="s">
        <v>18</v>
      </c>
      <c r="D10" s="101" t="s">
        <v>40</v>
      </c>
      <c r="E10" s="101" t="s">
        <v>11</v>
      </c>
      <c r="F10" s="101" t="s">
        <v>20</v>
      </c>
      <c r="G10" s="101" t="s">
        <v>22</v>
      </c>
      <c r="H10" s="101"/>
      <c r="I10" s="101"/>
      <c r="J10" s="102">
        <v>8.0</v>
      </c>
      <c r="K10" s="102"/>
      <c r="L10" s="101"/>
      <c r="M10" s="101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9"/>
      <c r="B11" s="103">
        <v>46013.0</v>
      </c>
      <c r="C11" s="104" t="s">
        <v>27</v>
      </c>
      <c r="D11" s="104" t="s">
        <v>44</v>
      </c>
      <c r="E11" s="104" t="s">
        <v>62</v>
      </c>
      <c r="F11" s="104" t="s">
        <v>20</v>
      </c>
      <c r="G11" s="107" t="s">
        <v>35</v>
      </c>
      <c r="H11" s="113"/>
      <c r="I11" s="113"/>
      <c r="J11" s="105">
        <v>4.0</v>
      </c>
      <c r="K11" s="105"/>
      <c r="L11" s="104" t="s">
        <v>205</v>
      </c>
      <c r="M11" s="104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99"/>
      <c r="B12" s="106">
        <v>46013.0</v>
      </c>
      <c r="C12" s="101" t="s">
        <v>27</v>
      </c>
      <c r="D12" s="101" t="s">
        <v>44</v>
      </c>
      <c r="E12" s="101" t="s">
        <v>62</v>
      </c>
      <c r="F12" s="101" t="s">
        <v>20</v>
      </c>
      <c r="G12" s="101" t="s">
        <v>22</v>
      </c>
      <c r="H12" s="101"/>
      <c r="I12" s="101"/>
      <c r="J12" s="102">
        <v>4.0</v>
      </c>
      <c r="K12" s="102"/>
      <c r="L12" s="101"/>
      <c r="M12" s="101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9"/>
      <c r="B13" s="103">
        <v>46013.0</v>
      </c>
      <c r="C13" s="104" t="s">
        <v>33</v>
      </c>
      <c r="D13" s="104" t="s">
        <v>44</v>
      </c>
      <c r="E13" s="104" t="s">
        <v>62</v>
      </c>
      <c r="F13" s="104" t="s">
        <v>20</v>
      </c>
      <c r="G13" s="107" t="s">
        <v>35</v>
      </c>
      <c r="H13" s="113"/>
      <c r="I13" s="113"/>
      <c r="J13" s="105">
        <v>4.0</v>
      </c>
      <c r="K13" s="105"/>
      <c r="L13" s="104" t="s">
        <v>205</v>
      </c>
      <c r="M13" s="104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9"/>
      <c r="B14" s="106">
        <v>46013.0</v>
      </c>
      <c r="C14" s="101" t="s">
        <v>33</v>
      </c>
      <c r="D14" s="101" t="s">
        <v>44</v>
      </c>
      <c r="E14" s="101" t="s">
        <v>62</v>
      </c>
      <c r="F14" s="101" t="s">
        <v>20</v>
      </c>
      <c r="G14" s="101" t="s">
        <v>22</v>
      </c>
      <c r="H14" s="101"/>
      <c r="I14" s="101"/>
      <c r="J14" s="102">
        <v>4.0</v>
      </c>
      <c r="K14" s="102"/>
      <c r="L14" s="101"/>
      <c r="M14" s="101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9"/>
      <c r="B15" s="110">
        <v>46029.0</v>
      </c>
      <c r="C15" s="111" t="s">
        <v>10</v>
      </c>
      <c r="D15" s="111" t="s">
        <v>40</v>
      </c>
      <c r="E15" s="111" t="s">
        <v>19</v>
      </c>
      <c r="F15" s="111" t="s">
        <v>24</v>
      </c>
      <c r="G15" s="111" t="s">
        <v>31</v>
      </c>
      <c r="H15" s="113"/>
      <c r="I15" s="113"/>
      <c r="J15" s="112">
        <v>4.0</v>
      </c>
      <c r="K15" s="105"/>
      <c r="L15" s="111" t="s">
        <v>206</v>
      </c>
      <c r="M15" s="104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9"/>
      <c r="B16" s="100">
        <v>46029.0</v>
      </c>
      <c r="C16" s="108" t="s">
        <v>10</v>
      </c>
      <c r="D16" s="108" t="s">
        <v>40</v>
      </c>
      <c r="E16" s="108" t="s">
        <v>39</v>
      </c>
      <c r="F16" s="108" t="s">
        <v>24</v>
      </c>
      <c r="G16" s="108" t="s">
        <v>31</v>
      </c>
      <c r="H16" s="114"/>
      <c r="I16" s="114"/>
      <c r="J16" s="109">
        <v>1.5</v>
      </c>
      <c r="K16" s="102"/>
      <c r="L16" s="108" t="s">
        <v>206</v>
      </c>
      <c r="M16" s="101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9"/>
      <c r="B17" s="110">
        <v>46030.0</v>
      </c>
      <c r="C17" s="111" t="s">
        <v>10</v>
      </c>
      <c r="D17" s="111" t="s">
        <v>40</v>
      </c>
      <c r="E17" s="111" t="s">
        <v>19</v>
      </c>
      <c r="F17" s="111" t="s">
        <v>24</v>
      </c>
      <c r="G17" s="111" t="s">
        <v>31</v>
      </c>
      <c r="H17" s="113"/>
      <c r="I17" s="113"/>
      <c r="J17" s="112">
        <v>5.0</v>
      </c>
      <c r="K17" s="105"/>
      <c r="L17" s="111" t="s">
        <v>24</v>
      </c>
      <c r="M17" s="104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9"/>
      <c r="B18" s="106">
        <v>46034.0</v>
      </c>
      <c r="C18" s="101" t="s">
        <v>10</v>
      </c>
      <c r="D18" s="101" t="s">
        <v>17</v>
      </c>
      <c r="E18" s="101" t="s">
        <v>96</v>
      </c>
      <c r="F18" s="101" t="s">
        <v>54</v>
      </c>
      <c r="G18" s="101" t="s">
        <v>54</v>
      </c>
      <c r="H18" s="101"/>
      <c r="I18" s="101"/>
      <c r="J18" s="102">
        <v>8.0</v>
      </c>
      <c r="K18" s="102"/>
      <c r="L18" s="101"/>
      <c r="M18" s="101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9"/>
      <c r="B19" s="103">
        <v>46034.0</v>
      </c>
      <c r="C19" s="104" t="s">
        <v>18</v>
      </c>
      <c r="D19" s="104" t="s">
        <v>40</v>
      </c>
      <c r="E19" s="104" t="s">
        <v>19</v>
      </c>
      <c r="F19" s="104" t="s">
        <v>20</v>
      </c>
      <c r="G19" s="107" t="s">
        <v>35</v>
      </c>
      <c r="H19" s="113"/>
      <c r="I19" s="113"/>
      <c r="J19" s="105">
        <v>0.25</v>
      </c>
      <c r="K19" s="105"/>
      <c r="L19" s="104"/>
      <c r="M19" s="104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99"/>
      <c r="B20" s="106">
        <v>46034.0</v>
      </c>
      <c r="C20" s="101" t="s">
        <v>18</v>
      </c>
      <c r="D20" s="101" t="s">
        <v>40</v>
      </c>
      <c r="E20" s="101" t="s">
        <v>11</v>
      </c>
      <c r="F20" s="101" t="s">
        <v>20</v>
      </c>
      <c r="G20" s="115" t="s">
        <v>35</v>
      </c>
      <c r="H20" s="114"/>
      <c r="I20" s="114"/>
      <c r="J20" s="102">
        <v>0.25</v>
      </c>
      <c r="K20" s="102"/>
      <c r="L20" s="101"/>
      <c r="M20" s="101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99"/>
      <c r="B21" s="103">
        <v>46034.0</v>
      </c>
      <c r="C21" s="104" t="s">
        <v>18</v>
      </c>
      <c r="D21" s="104" t="s">
        <v>40</v>
      </c>
      <c r="E21" s="104" t="s">
        <v>19</v>
      </c>
      <c r="F21" s="104" t="s">
        <v>207</v>
      </c>
      <c r="G21" s="107" t="s">
        <v>35</v>
      </c>
      <c r="H21" s="113"/>
      <c r="I21" s="113"/>
      <c r="J21" s="105">
        <v>0.5</v>
      </c>
      <c r="K21" s="105"/>
      <c r="L21" s="104" t="s">
        <v>63</v>
      </c>
      <c r="M21" s="104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9"/>
      <c r="B22" s="106">
        <v>46034.0</v>
      </c>
      <c r="C22" s="101" t="s">
        <v>18</v>
      </c>
      <c r="D22" s="101" t="s">
        <v>40</v>
      </c>
      <c r="E22" s="101" t="s">
        <v>11</v>
      </c>
      <c r="F22" s="101" t="s">
        <v>207</v>
      </c>
      <c r="G22" s="115" t="s">
        <v>35</v>
      </c>
      <c r="H22" s="114"/>
      <c r="I22" s="114"/>
      <c r="J22" s="102">
        <v>0.5</v>
      </c>
      <c r="K22" s="102"/>
      <c r="L22" s="101" t="s">
        <v>63</v>
      </c>
      <c r="M22" s="101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99"/>
      <c r="B23" s="103">
        <v>46034.0</v>
      </c>
      <c r="C23" s="104" t="s">
        <v>18</v>
      </c>
      <c r="D23" s="104" t="s">
        <v>17</v>
      </c>
      <c r="E23" s="104" t="s">
        <v>96</v>
      </c>
      <c r="F23" s="104" t="s">
        <v>54</v>
      </c>
      <c r="G23" s="104" t="s">
        <v>54</v>
      </c>
      <c r="H23" s="104"/>
      <c r="I23" s="104"/>
      <c r="J23" s="105">
        <v>6.5</v>
      </c>
      <c r="K23" s="105"/>
      <c r="L23" s="104"/>
      <c r="M23" s="104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99"/>
      <c r="B24" s="106">
        <v>46034.0</v>
      </c>
      <c r="C24" s="101" t="s">
        <v>27</v>
      </c>
      <c r="D24" s="101" t="s">
        <v>40</v>
      </c>
      <c r="E24" s="101" t="s">
        <v>19</v>
      </c>
      <c r="F24" s="101" t="s">
        <v>20</v>
      </c>
      <c r="G24" s="115" t="s">
        <v>35</v>
      </c>
      <c r="H24" s="114"/>
      <c r="I24" s="114"/>
      <c r="J24" s="102">
        <v>0.25</v>
      </c>
      <c r="K24" s="102"/>
      <c r="L24" s="101"/>
      <c r="M24" s="101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99"/>
      <c r="B25" s="103">
        <v>46034.0</v>
      </c>
      <c r="C25" s="104" t="s">
        <v>27</v>
      </c>
      <c r="D25" s="104" t="s">
        <v>40</v>
      </c>
      <c r="E25" s="104" t="s">
        <v>11</v>
      </c>
      <c r="F25" s="104" t="s">
        <v>20</v>
      </c>
      <c r="G25" s="107" t="s">
        <v>35</v>
      </c>
      <c r="H25" s="113"/>
      <c r="I25" s="113"/>
      <c r="J25" s="105">
        <v>0.25</v>
      </c>
      <c r="K25" s="105"/>
      <c r="L25" s="104"/>
      <c r="M25" s="104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99"/>
      <c r="B26" s="106">
        <v>46034.0</v>
      </c>
      <c r="C26" s="101" t="s">
        <v>27</v>
      </c>
      <c r="D26" s="101" t="s">
        <v>40</v>
      </c>
      <c r="E26" s="101" t="s">
        <v>19</v>
      </c>
      <c r="F26" s="101" t="s">
        <v>207</v>
      </c>
      <c r="G26" s="115" t="s">
        <v>35</v>
      </c>
      <c r="H26" s="114"/>
      <c r="I26" s="114"/>
      <c r="J26" s="102">
        <v>0.5</v>
      </c>
      <c r="K26" s="102"/>
      <c r="L26" s="101" t="s">
        <v>63</v>
      </c>
      <c r="M26" s="101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99"/>
      <c r="B27" s="103">
        <v>46034.0</v>
      </c>
      <c r="C27" s="104" t="s">
        <v>27</v>
      </c>
      <c r="D27" s="104" t="s">
        <v>40</v>
      </c>
      <c r="E27" s="104" t="s">
        <v>11</v>
      </c>
      <c r="F27" s="104" t="s">
        <v>207</v>
      </c>
      <c r="G27" s="107" t="s">
        <v>35</v>
      </c>
      <c r="H27" s="113"/>
      <c r="I27" s="113"/>
      <c r="J27" s="105">
        <v>0.5</v>
      </c>
      <c r="K27" s="105"/>
      <c r="L27" s="104" t="s">
        <v>63</v>
      </c>
      <c r="M27" s="104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99"/>
      <c r="B28" s="106">
        <v>46034.0</v>
      </c>
      <c r="C28" s="101" t="s">
        <v>27</v>
      </c>
      <c r="D28" s="101" t="s">
        <v>17</v>
      </c>
      <c r="E28" s="101" t="s">
        <v>96</v>
      </c>
      <c r="F28" s="101" t="s">
        <v>54</v>
      </c>
      <c r="G28" s="101" t="s">
        <v>54</v>
      </c>
      <c r="H28" s="101"/>
      <c r="I28" s="101"/>
      <c r="J28" s="102">
        <v>6.5</v>
      </c>
      <c r="K28" s="102"/>
      <c r="L28" s="101"/>
      <c r="M28" s="101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99"/>
      <c r="B29" s="103">
        <v>46034.0</v>
      </c>
      <c r="C29" s="104" t="s">
        <v>33</v>
      </c>
      <c r="D29" s="104" t="s">
        <v>40</v>
      </c>
      <c r="E29" s="104" t="s">
        <v>39</v>
      </c>
      <c r="F29" s="104" t="s">
        <v>20</v>
      </c>
      <c r="G29" s="107" t="s">
        <v>35</v>
      </c>
      <c r="H29" s="113"/>
      <c r="I29" s="113"/>
      <c r="J29" s="105">
        <v>1.5</v>
      </c>
      <c r="K29" s="105"/>
      <c r="L29" s="104"/>
      <c r="M29" s="104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99"/>
      <c r="B30" s="106">
        <v>46034.0</v>
      </c>
      <c r="C30" s="101" t="s">
        <v>33</v>
      </c>
      <c r="D30" s="101" t="s">
        <v>17</v>
      </c>
      <c r="E30" s="101" t="s">
        <v>96</v>
      </c>
      <c r="F30" s="101" t="s">
        <v>54</v>
      </c>
      <c r="G30" s="101" t="s">
        <v>54</v>
      </c>
      <c r="H30" s="101"/>
      <c r="I30" s="101"/>
      <c r="J30" s="102">
        <v>6.5</v>
      </c>
      <c r="K30" s="102"/>
      <c r="L30" s="101"/>
      <c r="M30" s="101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99"/>
      <c r="B31" s="103">
        <v>46035.0</v>
      </c>
      <c r="C31" s="104" t="s">
        <v>10</v>
      </c>
      <c r="D31" s="104" t="s">
        <v>17</v>
      </c>
      <c r="E31" s="104" t="s">
        <v>96</v>
      </c>
      <c r="F31" s="104" t="s">
        <v>54</v>
      </c>
      <c r="G31" s="104" t="s">
        <v>54</v>
      </c>
      <c r="H31" s="104"/>
      <c r="I31" s="104"/>
      <c r="J31" s="105">
        <v>8.0</v>
      </c>
      <c r="K31" s="105"/>
      <c r="L31" s="104"/>
      <c r="M31" s="10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99"/>
      <c r="B32" s="106">
        <v>46035.0</v>
      </c>
      <c r="C32" s="101" t="s">
        <v>18</v>
      </c>
      <c r="D32" s="101" t="s">
        <v>17</v>
      </c>
      <c r="E32" s="101" t="s">
        <v>96</v>
      </c>
      <c r="F32" s="101" t="s">
        <v>54</v>
      </c>
      <c r="G32" s="101" t="s">
        <v>54</v>
      </c>
      <c r="H32" s="101"/>
      <c r="I32" s="101"/>
      <c r="J32" s="102">
        <v>8.0</v>
      </c>
      <c r="K32" s="102"/>
      <c r="L32" s="101"/>
      <c r="M32" s="101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99"/>
      <c r="B33" s="110">
        <v>46035.0</v>
      </c>
      <c r="C33" s="111" t="s">
        <v>38</v>
      </c>
      <c r="D33" s="111" t="s">
        <v>49</v>
      </c>
      <c r="E33" s="111" t="s">
        <v>11</v>
      </c>
      <c r="F33" s="111" t="s">
        <v>13</v>
      </c>
      <c r="G33" s="104" t="s">
        <v>13</v>
      </c>
      <c r="H33" s="104"/>
      <c r="I33" s="104"/>
      <c r="J33" s="112">
        <v>1.5</v>
      </c>
      <c r="K33" s="112"/>
      <c r="L33" s="111" t="s">
        <v>204</v>
      </c>
      <c r="M33" s="111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99"/>
      <c r="B34" s="106">
        <v>46035.0</v>
      </c>
      <c r="C34" s="101" t="s">
        <v>27</v>
      </c>
      <c r="D34" s="101" t="s">
        <v>17</v>
      </c>
      <c r="E34" s="101" t="s">
        <v>96</v>
      </c>
      <c r="F34" s="101" t="s">
        <v>54</v>
      </c>
      <c r="G34" s="101" t="s">
        <v>54</v>
      </c>
      <c r="H34" s="101"/>
      <c r="I34" s="101"/>
      <c r="J34" s="102">
        <v>8.0</v>
      </c>
      <c r="K34" s="102"/>
      <c r="L34" s="101"/>
      <c r="M34" s="101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99"/>
      <c r="B35" s="103">
        <v>46035.0</v>
      </c>
      <c r="C35" s="104" t="s">
        <v>33</v>
      </c>
      <c r="D35" s="104" t="s">
        <v>17</v>
      </c>
      <c r="E35" s="104" t="s">
        <v>96</v>
      </c>
      <c r="F35" s="104" t="s">
        <v>54</v>
      </c>
      <c r="G35" s="104" t="s">
        <v>54</v>
      </c>
      <c r="H35" s="104"/>
      <c r="I35" s="104"/>
      <c r="J35" s="105">
        <v>8.0</v>
      </c>
      <c r="K35" s="105"/>
      <c r="L35" s="104"/>
      <c r="M35" s="10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9"/>
      <c r="B36" s="106">
        <v>46036.0</v>
      </c>
      <c r="C36" s="101" t="s">
        <v>10</v>
      </c>
      <c r="D36" s="101" t="s">
        <v>17</v>
      </c>
      <c r="E36" s="101" t="s">
        <v>96</v>
      </c>
      <c r="F36" s="101" t="s">
        <v>54</v>
      </c>
      <c r="G36" s="101" t="s">
        <v>54</v>
      </c>
      <c r="H36" s="101"/>
      <c r="I36" s="101"/>
      <c r="J36" s="102">
        <v>8.0</v>
      </c>
      <c r="K36" s="102"/>
      <c r="L36" s="101"/>
      <c r="M36" s="101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99"/>
      <c r="B37" s="103">
        <v>46036.0</v>
      </c>
      <c r="C37" s="104" t="s">
        <v>18</v>
      </c>
      <c r="D37" s="104" t="s">
        <v>17</v>
      </c>
      <c r="E37" s="104" t="s">
        <v>96</v>
      </c>
      <c r="F37" s="104" t="s">
        <v>54</v>
      </c>
      <c r="G37" s="104" t="s">
        <v>54</v>
      </c>
      <c r="H37" s="104"/>
      <c r="I37" s="104"/>
      <c r="J37" s="105">
        <v>8.0</v>
      </c>
      <c r="K37" s="105"/>
      <c r="L37" s="104"/>
      <c r="M37" s="10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99"/>
      <c r="B38" s="100">
        <v>46036.0</v>
      </c>
      <c r="C38" s="108" t="s">
        <v>38</v>
      </c>
      <c r="D38" s="108" t="s">
        <v>40</v>
      </c>
      <c r="E38" s="108" t="s">
        <v>39</v>
      </c>
      <c r="F38" s="108" t="s">
        <v>13</v>
      </c>
      <c r="G38" s="101" t="s">
        <v>13</v>
      </c>
      <c r="H38" s="101"/>
      <c r="I38" s="101"/>
      <c r="J38" s="109">
        <v>0.5</v>
      </c>
      <c r="K38" s="109"/>
      <c r="L38" s="108" t="s">
        <v>204</v>
      </c>
      <c r="M38" s="108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99"/>
      <c r="B39" s="103">
        <v>46036.0</v>
      </c>
      <c r="C39" s="104" t="s">
        <v>27</v>
      </c>
      <c r="D39" s="104" t="s">
        <v>17</v>
      </c>
      <c r="E39" s="104" t="s">
        <v>96</v>
      </c>
      <c r="F39" s="104" t="s">
        <v>54</v>
      </c>
      <c r="G39" s="104" t="s">
        <v>54</v>
      </c>
      <c r="H39" s="104"/>
      <c r="I39" s="104"/>
      <c r="J39" s="105">
        <v>8.0</v>
      </c>
      <c r="K39" s="105"/>
      <c r="L39" s="104"/>
      <c r="M39" s="10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99"/>
      <c r="B40" s="106">
        <v>46036.0</v>
      </c>
      <c r="C40" s="101" t="s">
        <v>33</v>
      </c>
      <c r="D40" s="101" t="s">
        <v>17</v>
      </c>
      <c r="E40" s="101" t="s">
        <v>96</v>
      </c>
      <c r="F40" s="101" t="s">
        <v>54</v>
      </c>
      <c r="G40" s="101" t="s">
        <v>54</v>
      </c>
      <c r="H40" s="101"/>
      <c r="I40" s="101"/>
      <c r="J40" s="102">
        <v>8.0</v>
      </c>
      <c r="K40" s="102"/>
      <c r="L40" s="101"/>
      <c r="M40" s="101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99"/>
      <c r="B41" s="103">
        <v>46037.0</v>
      </c>
      <c r="C41" s="104" t="s">
        <v>10</v>
      </c>
      <c r="D41" s="104" t="s">
        <v>17</v>
      </c>
      <c r="E41" s="104" t="s">
        <v>96</v>
      </c>
      <c r="F41" s="104" t="s">
        <v>54</v>
      </c>
      <c r="G41" s="104" t="s">
        <v>54</v>
      </c>
      <c r="H41" s="104"/>
      <c r="I41" s="104"/>
      <c r="J41" s="105">
        <v>7.0</v>
      </c>
      <c r="K41" s="105"/>
      <c r="L41" s="104" t="s">
        <v>208</v>
      </c>
      <c r="M41" s="10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99"/>
      <c r="B42" s="106">
        <v>46037.0</v>
      </c>
      <c r="C42" s="101" t="s">
        <v>10</v>
      </c>
      <c r="D42" s="101" t="s">
        <v>40</v>
      </c>
      <c r="E42" s="101" t="s">
        <v>106</v>
      </c>
      <c r="F42" s="108" t="s">
        <v>20</v>
      </c>
      <c r="G42" s="115" t="s">
        <v>35</v>
      </c>
      <c r="H42" s="114"/>
      <c r="I42" s="114"/>
      <c r="J42" s="102">
        <v>0.75</v>
      </c>
      <c r="K42" s="102"/>
      <c r="L42" s="101" t="s">
        <v>209</v>
      </c>
      <c r="M42" s="101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99"/>
      <c r="B43" s="103">
        <v>46037.0</v>
      </c>
      <c r="C43" s="104" t="s">
        <v>10</v>
      </c>
      <c r="D43" s="104" t="s">
        <v>44</v>
      </c>
      <c r="E43" s="104" t="s">
        <v>106</v>
      </c>
      <c r="F43" s="111" t="s">
        <v>20</v>
      </c>
      <c r="G43" s="107" t="s">
        <v>35</v>
      </c>
      <c r="H43" s="113"/>
      <c r="I43" s="113"/>
      <c r="J43" s="105">
        <v>0.75</v>
      </c>
      <c r="K43" s="105"/>
      <c r="L43" s="104" t="s">
        <v>210</v>
      </c>
      <c r="M43" s="10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99"/>
      <c r="B44" s="106">
        <v>46037.0</v>
      </c>
      <c r="C44" s="101" t="s">
        <v>18</v>
      </c>
      <c r="D44" s="101" t="s">
        <v>17</v>
      </c>
      <c r="E44" s="101" t="s">
        <v>96</v>
      </c>
      <c r="F44" s="101" t="s">
        <v>54</v>
      </c>
      <c r="G44" s="101" t="s">
        <v>54</v>
      </c>
      <c r="H44" s="101"/>
      <c r="I44" s="101"/>
      <c r="J44" s="102">
        <v>7.0</v>
      </c>
      <c r="K44" s="102"/>
      <c r="L44" s="101" t="s">
        <v>208</v>
      </c>
      <c r="M44" s="101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99"/>
      <c r="B45" s="103">
        <v>46037.0</v>
      </c>
      <c r="C45" s="104" t="s">
        <v>18</v>
      </c>
      <c r="D45" s="104" t="s">
        <v>40</v>
      </c>
      <c r="E45" s="104" t="s">
        <v>106</v>
      </c>
      <c r="F45" s="111" t="s">
        <v>20</v>
      </c>
      <c r="G45" s="107" t="s">
        <v>35</v>
      </c>
      <c r="H45" s="113"/>
      <c r="I45" s="113"/>
      <c r="J45" s="105">
        <v>0.75</v>
      </c>
      <c r="K45" s="105"/>
      <c r="L45" s="104" t="s">
        <v>209</v>
      </c>
      <c r="M45" s="10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99"/>
      <c r="B46" s="106">
        <v>46037.0</v>
      </c>
      <c r="C46" s="101" t="s">
        <v>18</v>
      </c>
      <c r="D46" s="101" t="s">
        <v>44</v>
      </c>
      <c r="E46" s="101" t="s">
        <v>106</v>
      </c>
      <c r="F46" s="108" t="s">
        <v>20</v>
      </c>
      <c r="G46" s="115" t="s">
        <v>35</v>
      </c>
      <c r="H46" s="114"/>
      <c r="I46" s="114"/>
      <c r="J46" s="102">
        <v>0.75</v>
      </c>
      <c r="K46" s="102"/>
      <c r="L46" s="101" t="s">
        <v>210</v>
      </c>
      <c r="M46" s="101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99"/>
      <c r="B47" s="103">
        <v>46037.0</v>
      </c>
      <c r="C47" s="104" t="s">
        <v>27</v>
      </c>
      <c r="D47" s="104" t="s">
        <v>17</v>
      </c>
      <c r="E47" s="104" t="s">
        <v>96</v>
      </c>
      <c r="F47" s="104" t="s">
        <v>54</v>
      </c>
      <c r="G47" s="104" t="s">
        <v>54</v>
      </c>
      <c r="H47" s="104"/>
      <c r="I47" s="104"/>
      <c r="J47" s="105">
        <v>7.0</v>
      </c>
      <c r="K47" s="105"/>
      <c r="L47" s="104" t="s">
        <v>208</v>
      </c>
      <c r="M47" s="10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99"/>
      <c r="B48" s="106">
        <v>46037.0</v>
      </c>
      <c r="C48" s="101" t="s">
        <v>27</v>
      </c>
      <c r="D48" s="101" t="s">
        <v>40</v>
      </c>
      <c r="E48" s="101" t="s">
        <v>106</v>
      </c>
      <c r="F48" s="108" t="s">
        <v>20</v>
      </c>
      <c r="G48" s="115" t="s">
        <v>35</v>
      </c>
      <c r="H48" s="114"/>
      <c r="I48" s="114"/>
      <c r="J48" s="102">
        <v>0.75</v>
      </c>
      <c r="K48" s="102"/>
      <c r="L48" s="101" t="s">
        <v>209</v>
      </c>
      <c r="M48" s="101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99"/>
      <c r="B49" s="103">
        <v>46037.0</v>
      </c>
      <c r="C49" s="104" t="s">
        <v>27</v>
      </c>
      <c r="D49" s="104" t="s">
        <v>44</v>
      </c>
      <c r="E49" s="104" t="s">
        <v>106</v>
      </c>
      <c r="F49" s="111" t="s">
        <v>20</v>
      </c>
      <c r="G49" s="107" t="s">
        <v>35</v>
      </c>
      <c r="H49" s="113"/>
      <c r="I49" s="113"/>
      <c r="J49" s="105">
        <v>0.75</v>
      </c>
      <c r="K49" s="105"/>
      <c r="L49" s="104" t="s">
        <v>210</v>
      </c>
      <c r="M49" s="10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99"/>
      <c r="B50" s="106">
        <v>46037.0</v>
      </c>
      <c r="C50" s="101" t="s">
        <v>33</v>
      </c>
      <c r="D50" s="101" t="s">
        <v>17</v>
      </c>
      <c r="E50" s="101" t="s">
        <v>96</v>
      </c>
      <c r="F50" s="101" t="s">
        <v>54</v>
      </c>
      <c r="G50" s="101" t="s">
        <v>54</v>
      </c>
      <c r="H50" s="101"/>
      <c r="I50" s="101"/>
      <c r="J50" s="102">
        <v>7.0</v>
      </c>
      <c r="K50" s="102"/>
      <c r="L50" s="101" t="s">
        <v>208</v>
      </c>
      <c r="M50" s="101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99"/>
      <c r="B51" s="103">
        <v>46037.0</v>
      </c>
      <c r="C51" s="104" t="s">
        <v>33</v>
      </c>
      <c r="D51" s="104" t="s">
        <v>40</v>
      </c>
      <c r="E51" s="104" t="s">
        <v>106</v>
      </c>
      <c r="F51" s="111" t="s">
        <v>20</v>
      </c>
      <c r="G51" s="107" t="s">
        <v>35</v>
      </c>
      <c r="H51" s="113"/>
      <c r="I51" s="113"/>
      <c r="J51" s="105">
        <v>0.75</v>
      </c>
      <c r="K51" s="105"/>
      <c r="L51" s="104" t="s">
        <v>209</v>
      </c>
      <c r="M51" s="10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99"/>
      <c r="B52" s="106">
        <v>46037.0</v>
      </c>
      <c r="C52" s="101" t="s">
        <v>33</v>
      </c>
      <c r="D52" s="101" t="s">
        <v>44</v>
      </c>
      <c r="E52" s="101" t="s">
        <v>106</v>
      </c>
      <c r="F52" s="108" t="s">
        <v>20</v>
      </c>
      <c r="G52" s="115" t="s">
        <v>35</v>
      </c>
      <c r="H52" s="114"/>
      <c r="I52" s="114"/>
      <c r="J52" s="102">
        <v>0.75</v>
      </c>
      <c r="K52" s="102"/>
      <c r="L52" s="101" t="s">
        <v>210</v>
      </c>
      <c r="M52" s="101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99"/>
      <c r="B53" s="103">
        <v>46038.0</v>
      </c>
      <c r="C53" s="104" t="s">
        <v>10</v>
      </c>
      <c r="D53" s="104" t="s">
        <v>17</v>
      </c>
      <c r="E53" s="104" t="s">
        <v>96</v>
      </c>
      <c r="F53" s="104" t="s">
        <v>54</v>
      </c>
      <c r="G53" s="104" t="s">
        <v>54</v>
      </c>
      <c r="H53" s="104"/>
      <c r="I53" s="104"/>
      <c r="J53" s="105">
        <v>8.0</v>
      </c>
      <c r="K53" s="105"/>
      <c r="L53" s="104" t="s">
        <v>208</v>
      </c>
      <c r="M53" s="10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9"/>
      <c r="B54" s="106">
        <v>46038.0</v>
      </c>
      <c r="C54" s="101" t="s">
        <v>18</v>
      </c>
      <c r="D54" s="101" t="s">
        <v>17</v>
      </c>
      <c r="E54" s="101" t="s">
        <v>96</v>
      </c>
      <c r="F54" s="101" t="s">
        <v>54</v>
      </c>
      <c r="G54" s="101" t="s">
        <v>54</v>
      </c>
      <c r="H54" s="101"/>
      <c r="I54" s="101"/>
      <c r="J54" s="102">
        <v>8.0</v>
      </c>
      <c r="K54" s="102"/>
      <c r="L54" s="101" t="s">
        <v>208</v>
      </c>
      <c r="M54" s="101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9"/>
      <c r="B55" s="103">
        <v>46038.0</v>
      </c>
      <c r="C55" s="104" t="s">
        <v>27</v>
      </c>
      <c r="D55" s="104" t="s">
        <v>17</v>
      </c>
      <c r="E55" s="104" t="s">
        <v>96</v>
      </c>
      <c r="F55" s="104" t="s">
        <v>54</v>
      </c>
      <c r="G55" s="104" t="s">
        <v>54</v>
      </c>
      <c r="H55" s="104"/>
      <c r="I55" s="104"/>
      <c r="J55" s="105">
        <v>8.0</v>
      </c>
      <c r="K55" s="105"/>
      <c r="L55" s="104" t="s">
        <v>208</v>
      </c>
      <c r="M55" s="10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9"/>
      <c r="B56" s="106">
        <v>46038.0</v>
      </c>
      <c r="C56" s="101" t="s">
        <v>33</v>
      </c>
      <c r="D56" s="101" t="s">
        <v>17</v>
      </c>
      <c r="E56" s="101" t="s">
        <v>96</v>
      </c>
      <c r="F56" s="101" t="s">
        <v>54</v>
      </c>
      <c r="G56" s="101" t="s">
        <v>54</v>
      </c>
      <c r="H56" s="101"/>
      <c r="I56" s="101"/>
      <c r="J56" s="102">
        <v>8.0</v>
      </c>
      <c r="K56" s="102"/>
      <c r="L56" s="101" t="s">
        <v>208</v>
      </c>
      <c r="M56" s="101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9"/>
      <c r="B57" s="103">
        <v>46041.0</v>
      </c>
      <c r="C57" s="104" t="s">
        <v>10</v>
      </c>
      <c r="D57" s="104" t="s">
        <v>17</v>
      </c>
      <c r="E57" s="104" t="s">
        <v>96</v>
      </c>
      <c r="F57" s="104" t="s">
        <v>54</v>
      </c>
      <c r="G57" s="104" t="s">
        <v>54</v>
      </c>
      <c r="H57" s="104"/>
      <c r="I57" s="104"/>
      <c r="J57" s="105">
        <v>8.0</v>
      </c>
      <c r="K57" s="105"/>
      <c r="L57" s="104" t="s">
        <v>208</v>
      </c>
      <c r="M57" s="10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99"/>
      <c r="B58" s="106">
        <v>46041.0</v>
      </c>
      <c r="C58" s="101" t="s">
        <v>18</v>
      </c>
      <c r="D58" s="101" t="s">
        <v>17</v>
      </c>
      <c r="E58" s="101" t="s">
        <v>96</v>
      </c>
      <c r="F58" s="101" t="s">
        <v>54</v>
      </c>
      <c r="G58" s="101" t="s">
        <v>54</v>
      </c>
      <c r="H58" s="101"/>
      <c r="I58" s="101"/>
      <c r="J58" s="102">
        <v>8.0</v>
      </c>
      <c r="K58" s="102"/>
      <c r="L58" s="101" t="s">
        <v>208</v>
      </c>
      <c r="M58" s="101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99"/>
      <c r="B59" s="103">
        <v>46041.0</v>
      </c>
      <c r="C59" s="104" t="s">
        <v>27</v>
      </c>
      <c r="D59" s="104" t="s">
        <v>17</v>
      </c>
      <c r="E59" s="104" t="s">
        <v>96</v>
      </c>
      <c r="F59" s="104" t="s">
        <v>54</v>
      </c>
      <c r="G59" s="104" t="s">
        <v>54</v>
      </c>
      <c r="H59" s="104"/>
      <c r="I59" s="104"/>
      <c r="J59" s="105">
        <v>5.0</v>
      </c>
      <c r="K59" s="105"/>
      <c r="L59" s="104" t="s">
        <v>208</v>
      </c>
      <c r="M59" s="10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99"/>
      <c r="B60" s="106">
        <v>46041.0</v>
      </c>
      <c r="C60" s="101" t="s">
        <v>27</v>
      </c>
      <c r="D60" s="101" t="s">
        <v>17</v>
      </c>
      <c r="E60" s="101" t="s">
        <v>56</v>
      </c>
      <c r="F60" s="101" t="s">
        <v>20</v>
      </c>
      <c r="G60" s="108" t="s">
        <v>47</v>
      </c>
      <c r="H60" s="101"/>
      <c r="I60" s="101"/>
      <c r="J60" s="102">
        <v>3.0</v>
      </c>
      <c r="K60" s="102"/>
      <c r="L60" s="101" t="s">
        <v>211</v>
      </c>
      <c r="M60" s="101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9"/>
      <c r="B61" s="103">
        <v>46041.0</v>
      </c>
      <c r="C61" s="104" t="s">
        <v>33</v>
      </c>
      <c r="D61" s="104" t="s">
        <v>17</v>
      </c>
      <c r="E61" s="104" t="s">
        <v>96</v>
      </c>
      <c r="F61" s="104" t="s">
        <v>54</v>
      </c>
      <c r="G61" s="104" t="s">
        <v>54</v>
      </c>
      <c r="H61" s="104"/>
      <c r="I61" s="104"/>
      <c r="J61" s="105">
        <v>5.0</v>
      </c>
      <c r="K61" s="105"/>
      <c r="L61" s="104" t="s">
        <v>208</v>
      </c>
      <c r="M61" s="10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9"/>
      <c r="B62" s="106">
        <v>46041.0</v>
      </c>
      <c r="C62" s="101" t="s">
        <v>33</v>
      </c>
      <c r="D62" s="101" t="s">
        <v>17</v>
      </c>
      <c r="E62" s="101" t="s">
        <v>56</v>
      </c>
      <c r="F62" s="101" t="s">
        <v>20</v>
      </c>
      <c r="G62" s="108" t="s">
        <v>47</v>
      </c>
      <c r="H62" s="101"/>
      <c r="I62" s="101"/>
      <c r="J62" s="102">
        <v>3.0</v>
      </c>
      <c r="K62" s="102"/>
      <c r="L62" s="101" t="s">
        <v>211</v>
      </c>
      <c r="M62" s="101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9"/>
      <c r="B63" s="103">
        <v>46042.0</v>
      </c>
      <c r="C63" s="104" t="s">
        <v>10</v>
      </c>
      <c r="D63" s="104" t="s">
        <v>17</v>
      </c>
      <c r="E63" s="104" t="s">
        <v>96</v>
      </c>
      <c r="F63" s="104" t="s">
        <v>54</v>
      </c>
      <c r="G63" s="104" t="s">
        <v>54</v>
      </c>
      <c r="H63" s="104"/>
      <c r="I63" s="104"/>
      <c r="J63" s="105">
        <v>6.0</v>
      </c>
      <c r="K63" s="105"/>
      <c r="L63" s="104" t="s">
        <v>208</v>
      </c>
      <c r="M63" s="10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9"/>
      <c r="B64" s="106">
        <v>46042.0</v>
      </c>
      <c r="C64" s="101" t="s">
        <v>10</v>
      </c>
      <c r="D64" s="101" t="s">
        <v>17</v>
      </c>
      <c r="E64" s="108" t="s">
        <v>96</v>
      </c>
      <c r="F64" s="101" t="s">
        <v>59</v>
      </c>
      <c r="G64" s="101" t="s">
        <v>60</v>
      </c>
      <c r="H64" s="101"/>
      <c r="I64" s="101"/>
      <c r="J64" s="102">
        <v>2.0</v>
      </c>
      <c r="K64" s="102"/>
      <c r="L64" s="101" t="s">
        <v>212</v>
      </c>
      <c r="M64" s="101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9"/>
      <c r="B65" s="103">
        <v>46042.0</v>
      </c>
      <c r="C65" s="104" t="s">
        <v>18</v>
      </c>
      <c r="D65" s="104" t="s">
        <v>17</v>
      </c>
      <c r="E65" s="104" t="s">
        <v>96</v>
      </c>
      <c r="F65" s="104" t="s">
        <v>54</v>
      </c>
      <c r="G65" s="104" t="s">
        <v>54</v>
      </c>
      <c r="H65" s="104"/>
      <c r="I65" s="104"/>
      <c r="J65" s="105">
        <v>6.0</v>
      </c>
      <c r="K65" s="105"/>
      <c r="L65" s="104" t="s">
        <v>208</v>
      </c>
      <c r="M65" s="10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9"/>
      <c r="B66" s="106">
        <v>46042.0</v>
      </c>
      <c r="C66" s="101" t="s">
        <v>18</v>
      </c>
      <c r="D66" s="101" t="s">
        <v>17</v>
      </c>
      <c r="E66" s="108" t="s">
        <v>96</v>
      </c>
      <c r="F66" s="101" t="s">
        <v>59</v>
      </c>
      <c r="G66" s="101" t="s">
        <v>60</v>
      </c>
      <c r="H66" s="101"/>
      <c r="I66" s="101"/>
      <c r="J66" s="102">
        <v>2.0</v>
      </c>
      <c r="K66" s="102"/>
      <c r="L66" s="101" t="s">
        <v>212</v>
      </c>
      <c r="M66" s="101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9"/>
      <c r="B67" s="103">
        <v>46042.0</v>
      </c>
      <c r="C67" s="104" t="s">
        <v>27</v>
      </c>
      <c r="D67" s="104" t="s">
        <v>17</v>
      </c>
      <c r="E67" s="104" t="s">
        <v>96</v>
      </c>
      <c r="F67" s="104" t="s">
        <v>54</v>
      </c>
      <c r="G67" s="104" t="s">
        <v>54</v>
      </c>
      <c r="H67" s="104"/>
      <c r="I67" s="104"/>
      <c r="J67" s="105">
        <v>6.0</v>
      </c>
      <c r="K67" s="105"/>
      <c r="L67" s="104" t="s">
        <v>208</v>
      </c>
      <c r="M67" s="10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9"/>
      <c r="B68" s="106">
        <v>46042.0</v>
      </c>
      <c r="C68" s="101" t="s">
        <v>27</v>
      </c>
      <c r="D68" s="101" t="s">
        <v>17</v>
      </c>
      <c r="E68" s="108" t="s">
        <v>96</v>
      </c>
      <c r="F68" s="101" t="s">
        <v>59</v>
      </c>
      <c r="G68" s="101" t="s">
        <v>60</v>
      </c>
      <c r="H68" s="101"/>
      <c r="I68" s="101"/>
      <c r="J68" s="102">
        <v>2.0</v>
      </c>
      <c r="K68" s="102"/>
      <c r="L68" s="101" t="s">
        <v>212</v>
      </c>
      <c r="M68" s="101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9"/>
      <c r="B69" s="103">
        <v>46042.0</v>
      </c>
      <c r="C69" s="104" t="s">
        <v>33</v>
      </c>
      <c r="D69" s="104" t="s">
        <v>17</v>
      </c>
      <c r="E69" s="104" t="s">
        <v>96</v>
      </c>
      <c r="F69" s="104" t="s">
        <v>54</v>
      </c>
      <c r="G69" s="104" t="s">
        <v>54</v>
      </c>
      <c r="H69" s="104"/>
      <c r="I69" s="104"/>
      <c r="J69" s="105">
        <v>6.0</v>
      </c>
      <c r="K69" s="105"/>
      <c r="L69" s="104" t="s">
        <v>208</v>
      </c>
      <c r="M69" s="10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9"/>
      <c r="B70" s="106">
        <v>46042.0</v>
      </c>
      <c r="C70" s="101" t="s">
        <v>33</v>
      </c>
      <c r="D70" s="101" t="s">
        <v>17</v>
      </c>
      <c r="E70" s="108" t="s">
        <v>96</v>
      </c>
      <c r="F70" s="101" t="s">
        <v>59</v>
      </c>
      <c r="G70" s="101" t="s">
        <v>60</v>
      </c>
      <c r="H70" s="101"/>
      <c r="I70" s="101"/>
      <c r="J70" s="102">
        <v>2.0</v>
      </c>
      <c r="K70" s="102"/>
      <c r="L70" s="101" t="s">
        <v>212</v>
      </c>
      <c r="M70" s="101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9"/>
      <c r="B71" s="103">
        <v>46043.0</v>
      </c>
      <c r="C71" s="104" t="s">
        <v>10</v>
      </c>
      <c r="D71" s="104" t="s">
        <v>17</v>
      </c>
      <c r="E71" s="104" t="s">
        <v>96</v>
      </c>
      <c r="F71" s="104" t="s">
        <v>59</v>
      </c>
      <c r="G71" s="104" t="s">
        <v>60</v>
      </c>
      <c r="H71" s="104"/>
      <c r="I71" s="104"/>
      <c r="J71" s="105">
        <v>6.0</v>
      </c>
      <c r="K71" s="105"/>
      <c r="L71" s="104" t="s">
        <v>212</v>
      </c>
      <c r="M71" s="10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9"/>
      <c r="B72" s="106">
        <v>46043.0</v>
      </c>
      <c r="C72" s="101" t="s">
        <v>10</v>
      </c>
      <c r="D72" s="101" t="s">
        <v>17</v>
      </c>
      <c r="E72" s="101" t="s">
        <v>96</v>
      </c>
      <c r="F72" s="101" t="s">
        <v>54</v>
      </c>
      <c r="G72" s="101" t="s">
        <v>54</v>
      </c>
      <c r="H72" s="101"/>
      <c r="I72" s="101"/>
      <c r="J72" s="102">
        <v>2.0</v>
      </c>
      <c r="K72" s="102"/>
      <c r="L72" s="101" t="s">
        <v>213</v>
      </c>
      <c r="M72" s="101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9"/>
      <c r="B73" s="103">
        <v>46043.0</v>
      </c>
      <c r="C73" s="104" t="s">
        <v>18</v>
      </c>
      <c r="D73" s="104" t="s">
        <v>17</v>
      </c>
      <c r="E73" s="104" t="s">
        <v>96</v>
      </c>
      <c r="F73" s="104" t="s">
        <v>59</v>
      </c>
      <c r="G73" s="104" t="s">
        <v>60</v>
      </c>
      <c r="H73" s="104"/>
      <c r="I73" s="104"/>
      <c r="J73" s="105">
        <v>2.0</v>
      </c>
      <c r="K73" s="105"/>
      <c r="L73" s="104" t="s">
        <v>212</v>
      </c>
      <c r="M73" s="10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9"/>
      <c r="B74" s="106">
        <v>46043.0</v>
      </c>
      <c r="C74" s="101" t="s">
        <v>18</v>
      </c>
      <c r="D74" s="101" t="s">
        <v>17</v>
      </c>
      <c r="E74" s="101" t="s">
        <v>96</v>
      </c>
      <c r="F74" s="101" t="s">
        <v>54</v>
      </c>
      <c r="G74" s="101" t="s">
        <v>54</v>
      </c>
      <c r="H74" s="101"/>
      <c r="I74" s="101"/>
      <c r="J74" s="102">
        <v>6.0</v>
      </c>
      <c r="K74" s="102"/>
      <c r="L74" s="101" t="s">
        <v>213</v>
      </c>
      <c r="M74" s="101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9"/>
      <c r="B75" s="103">
        <v>46043.0</v>
      </c>
      <c r="C75" s="104" t="s">
        <v>27</v>
      </c>
      <c r="D75" s="104" t="s">
        <v>17</v>
      </c>
      <c r="E75" s="104" t="s">
        <v>96</v>
      </c>
      <c r="F75" s="104" t="s">
        <v>54</v>
      </c>
      <c r="G75" s="104" t="s">
        <v>54</v>
      </c>
      <c r="H75" s="104"/>
      <c r="I75" s="104"/>
      <c r="J75" s="105">
        <v>2.0</v>
      </c>
      <c r="K75" s="105"/>
      <c r="L75" s="104" t="s">
        <v>208</v>
      </c>
      <c r="M75" s="10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9"/>
      <c r="B76" s="106">
        <v>46043.0</v>
      </c>
      <c r="C76" s="101" t="s">
        <v>27</v>
      </c>
      <c r="D76" s="101" t="s">
        <v>17</v>
      </c>
      <c r="E76" s="101" t="s">
        <v>96</v>
      </c>
      <c r="F76" s="101" t="s">
        <v>54</v>
      </c>
      <c r="G76" s="101" t="s">
        <v>54</v>
      </c>
      <c r="H76" s="101"/>
      <c r="I76" s="101"/>
      <c r="J76" s="102">
        <v>6.0</v>
      </c>
      <c r="K76" s="102"/>
      <c r="L76" s="101" t="s">
        <v>213</v>
      </c>
      <c r="M76" s="101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9"/>
      <c r="B77" s="103">
        <v>46043.0</v>
      </c>
      <c r="C77" s="104" t="s">
        <v>33</v>
      </c>
      <c r="D77" s="104" t="s">
        <v>9</v>
      </c>
      <c r="E77" s="104" t="s">
        <v>96</v>
      </c>
      <c r="F77" s="104" t="s">
        <v>20</v>
      </c>
      <c r="G77" s="104" t="s">
        <v>22</v>
      </c>
      <c r="H77" s="104"/>
      <c r="I77" s="104"/>
      <c r="J77" s="105">
        <v>6.0</v>
      </c>
      <c r="K77" s="105"/>
      <c r="L77" s="104" t="s">
        <v>214</v>
      </c>
      <c r="M77" s="10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9"/>
      <c r="B78" s="106">
        <v>46043.0</v>
      </c>
      <c r="C78" s="101" t="s">
        <v>33</v>
      </c>
      <c r="D78" s="101" t="s">
        <v>17</v>
      </c>
      <c r="E78" s="101" t="s">
        <v>96</v>
      </c>
      <c r="F78" s="101" t="s">
        <v>59</v>
      </c>
      <c r="G78" s="101" t="s">
        <v>60</v>
      </c>
      <c r="H78" s="101"/>
      <c r="I78" s="101"/>
      <c r="J78" s="102">
        <v>2.0</v>
      </c>
      <c r="K78" s="102"/>
      <c r="L78" s="101" t="s">
        <v>212</v>
      </c>
      <c r="M78" s="101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9"/>
      <c r="B79" s="103">
        <v>46044.0</v>
      </c>
      <c r="C79" s="104" t="s">
        <v>10</v>
      </c>
      <c r="D79" s="104" t="s">
        <v>17</v>
      </c>
      <c r="E79" s="104" t="s">
        <v>96</v>
      </c>
      <c r="F79" s="104" t="s">
        <v>54</v>
      </c>
      <c r="G79" s="104" t="s">
        <v>54</v>
      </c>
      <c r="H79" s="104"/>
      <c r="I79" s="104"/>
      <c r="J79" s="105">
        <v>8.0</v>
      </c>
      <c r="K79" s="105"/>
      <c r="L79" s="104" t="s">
        <v>215</v>
      </c>
      <c r="M79" s="10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9"/>
      <c r="B80" s="106">
        <v>46044.0</v>
      </c>
      <c r="C80" s="101" t="s">
        <v>18</v>
      </c>
      <c r="D80" s="101" t="s">
        <v>32</v>
      </c>
      <c r="E80" s="101" t="s">
        <v>99</v>
      </c>
      <c r="F80" s="101" t="s">
        <v>207</v>
      </c>
      <c r="G80" s="101" t="s">
        <v>63</v>
      </c>
      <c r="H80" s="101"/>
      <c r="I80" s="101"/>
      <c r="J80" s="102">
        <v>5.0</v>
      </c>
      <c r="K80" s="102"/>
      <c r="L80" s="101" t="s">
        <v>216</v>
      </c>
      <c r="M80" s="101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9"/>
      <c r="B81" s="103">
        <v>46044.0</v>
      </c>
      <c r="C81" s="104" t="s">
        <v>18</v>
      </c>
      <c r="D81" s="104" t="s">
        <v>17</v>
      </c>
      <c r="E81" s="104" t="s">
        <v>96</v>
      </c>
      <c r="F81" s="104" t="s">
        <v>54</v>
      </c>
      <c r="G81" s="104" t="s">
        <v>54</v>
      </c>
      <c r="H81" s="104"/>
      <c r="I81" s="104"/>
      <c r="J81" s="105">
        <v>3.0</v>
      </c>
      <c r="K81" s="105"/>
      <c r="L81" s="104" t="s">
        <v>215</v>
      </c>
      <c r="M81" s="10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9"/>
      <c r="B82" s="106">
        <v>46044.0</v>
      </c>
      <c r="C82" s="101" t="s">
        <v>27</v>
      </c>
      <c r="D82" s="101" t="s">
        <v>17</v>
      </c>
      <c r="E82" s="101" t="s">
        <v>96</v>
      </c>
      <c r="F82" s="101" t="s">
        <v>54</v>
      </c>
      <c r="G82" s="101" t="s">
        <v>54</v>
      </c>
      <c r="H82" s="101"/>
      <c r="I82" s="101"/>
      <c r="J82" s="102">
        <v>8.0</v>
      </c>
      <c r="K82" s="102"/>
      <c r="L82" s="101" t="s">
        <v>215</v>
      </c>
      <c r="M82" s="101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9"/>
      <c r="B83" s="103">
        <v>46044.0</v>
      </c>
      <c r="C83" s="104" t="s">
        <v>33</v>
      </c>
      <c r="D83" s="104" t="s">
        <v>9</v>
      </c>
      <c r="E83" s="104" t="s">
        <v>59</v>
      </c>
      <c r="F83" s="104" t="s">
        <v>59</v>
      </c>
      <c r="G83" s="111" t="s">
        <v>81</v>
      </c>
      <c r="H83" s="104"/>
      <c r="I83" s="104"/>
      <c r="J83" s="105">
        <v>8.0</v>
      </c>
      <c r="K83" s="105"/>
      <c r="L83" s="104" t="s">
        <v>217</v>
      </c>
      <c r="M83" s="10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9"/>
      <c r="B84" s="106">
        <v>46045.0</v>
      </c>
      <c r="C84" s="101" t="s">
        <v>10</v>
      </c>
      <c r="D84" s="101" t="s">
        <v>17</v>
      </c>
      <c r="E84" s="101" t="s">
        <v>96</v>
      </c>
      <c r="F84" s="101" t="s">
        <v>59</v>
      </c>
      <c r="G84" s="101" t="s">
        <v>60</v>
      </c>
      <c r="H84" s="101"/>
      <c r="I84" s="101"/>
      <c r="J84" s="102">
        <v>8.0</v>
      </c>
      <c r="K84" s="102"/>
      <c r="L84" s="101" t="s">
        <v>212</v>
      </c>
      <c r="M84" s="101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9"/>
      <c r="B85" s="103">
        <v>46045.0</v>
      </c>
      <c r="C85" s="104" t="s">
        <v>18</v>
      </c>
      <c r="D85" s="104" t="s">
        <v>37</v>
      </c>
      <c r="E85" s="111" t="s">
        <v>96</v>
      </c>
      <c r="F85" s="104" t="s">
        <v>54</v>
      </c>
      <c r="G85" s="104" t="s">
        <v>54</v>
      </c>
      <c r="H85" s="104"/>
      <c r="I85" s="104"/>
      <c r="J85" s="105">
        <v>8.0</v>
      </c>
      <c r="K85" s="105"/>
      <c r="L85" s="104" t="s">
        <v>54</v>
      </c>
      <c r="M85" s="10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9"/>
      <c r="B86" s="106">
        <v>46045.0</v>
      </c>
      <c r="C86" s="101" t="s">
        <v>27</v>
      </c>
      <c r="D86" s="101" t="s">
        <v>37</v>
      </c>
      <c r="E86" s="108" t="s">
        <v>96</v>
      </c>
      <c r="F86" s="101" t="s">
        <v>54</v>
      </c>
      <c r="G86" s="101" t="s">
        <v>54</v>
      </c>
      <c r="H86" s="101"/>
      <c r="I86" s="101"/>
      <c r="J86" s="102">
        <v>8.0</v>
      </c>
      <c r="K86" s="102"/>
      <c r="L86" s="101" t="s">
        <v>54</v>
      </c>
      <c r="M86" s="101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9"/>
      <c r="B87" s="103">
        <v>46045.0</v>
      </c>
      <c r="C87" s="104" t="s">
        <v>33</v>
      </c>
      <c r="D87" s="104" t="s">
        <v>9</v>
      </c>
      <c r="E87" s="104" t="s">
        <v>59</v>
      </c>
      <c r="F87" s="104" t="s">
        <v>59</v>
      </c>
      <c r="G87" s="111" t="s">
        <v>81</v>
      </c>
      <c r="H87" s="104"/>
      <c r="I87" s="104"/>
      <c r="J87" s="105">
        <v>8.0</v>
      </c>
      <c r="K87" s="105"/>
      <c r="L87" s="104" t="s">
        <v>218</v>
      </c>
      <c r="M87" s="10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9"/>
      <c r="B88" s="106">
        <v>46048.0</v>
      </c>
      <c r="C88" s="101" t="s">
        <v>10</v>
      </c>
      <c r="D88" s="101" t="s">
        <v>17</v>
      </c>
      <c r="E88" s="101" t="s">
        <v>96</v>
      </c>
      <c r="F88" s="101" t="s">
        <v>59</v>
      </c>
      <c r="G88" s="101" t="s">
        <v>54</v>
      </c>
      <c r="H88" s="101"/>
      <c r="I88" s="101"/>
      <c r="J88" s="102">
        <v>1.5</v>
      </c>
      <c r="K88" s="102"/>
      <c r="L88" s="101" t="s">
        <v>70</v>
      </c>
      <c r="M88" s="101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9"/>
      <c r="B89" s="103">
        <v>46048.0</v>
      </c>
      <c r="C89" s="104" t="s">
        <v>10</v>
      </c>
      <c r="D89" s="104" t="s">
        <v>17</v>
      </c>
      <c r="E89" s="111" t="s">
        <v>96</v>
      </c>
      <c r="F89" s="104" t="s">
        <v>59</v>
      </c>
      <c r="G89" s="104" t="s">
        <v>60</v>
      </c>
      <c r="H89" s="104"/>
      <c r="I89" s="104"/>
      <c r="J89" s="105">
        <v>2.5</v>
      </c>
      <c r="K89" s="105"/>
      <c r="L89" s="104" t="s">
        <v>219</v>
      </c>
      <c r="M89" s="10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9"/>
      <c r="B90" s="106">
        <v>46048.0</v>
      </c>
      <c r="C90" s="101" t="s">
        <v>10</v>
      </c>
      <c r="D90" s="101" t="s">
        <v>56</v>
      </c>
      <c r="E90" s="101" t="s">
        <v>108</v>
      </c>
      <c r="F90" s="101" t="s">
        <v>20</v>
      </c>
      <c r="G90" s="108" t="s">
        <v>21</v>
      </c>
      <c r="H90" s="101"/>
      <c r="I90" s="101"/>
      <c r="J90" s="102">
        <v>4.0</v>
      </c>
      <c r="K90" s="102"/>
      <c r="L90" s="101" t="s">
        <v>220</v>
      </c>
      <c r="M90" s="101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9"/>
      <c r="B91" s="103">
        <v>46048.0</v>
      </c>
      <c r="C91" s="104" t="s">
        <v>18</v>
      </c>
      <c r="D91" s="104" t="s">
        <v>49</v>
      </c>
      <c r="E91" s="104" t="s">
        <v>156</v>
      </c>
      <c r="F91" s="104" t="s">
        <v>20</v>
      </c>
      <c r="G91" s="104" t="s">
        <v>21</v>
      </c>
      <c r="H91" s="104"/>
      <c r="I91" s="104"/>
      <c r="J91" s="105">
        <v>6.0</v>
      </c>
      <c r="K91" s="105"/>
      <c r="L91" s="104" t="s">
        <v>221</v>
      </c>
      <c r="M91" s="10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9"/>
      <c r="B92" s="106">
        <v>46048.0</v>
      </c>
      <c r="C92" s="101" t="s">
        <v>27</v>
      </c>
      <c r="D92" s="101" t="s">
        <v>9</v>
      </c>
      <c r="E92" s="101" t="s">
        <v>59</v>
      </c>
      <c r="F92" s="101" t="s">
        <v>59</v>
      </c>
      <c r="G92" s="108" t="s">
        <v>81</v>
      </c>
      <c r="H92" s="101"/>
      <c r="I92" s="101"/>
      <c r="J92" s="102">
        <v>8.0</v>
      </c>
      <c r="K92" s="102"/>
      <c r="L92" s="101" t="s">
        <v>218</v>
      </c>
      <c r="M92" s="101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9"/>
      <c r="B93" s="103">
        <v>46048.0</v>
      </c>
      <c r="C93" s="104" t="s">
        <v>33</v>
      </c>
      <c r="D93" s="104" t="s">
        <v>9</v>
      </c>
      <c r="E93" s="104" t="s">
        <v>59</v>
      </c>
      <c r="F93" s="104" t="s">
        <v>59</v>
      </c>
      <c r="G93" s="111" t="s">
        <v>81</v>
      </c>
      <c r="H93" s="104"/>
      <c r="I93" s="104"/>
      <c r="J93" s="105">
        <v>8.0</v>
      </c>
      <c r="K93" s="105"/>
      <c r="L93" s="104" t="s">
        <v>218</v>
      </c>
      <c r="M93" s="10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9"/>
      <c r="B94" s="106">
        <v>46049.0</v>
      </c>
      <c r="C94" s="101" t="s">
        <v>10</v>
      </c>
      <c r="D94" s="101" t="s">
        <v>17</v>
      </c>
      <c r="E94" s="108" t="s">
        <v>96</v>
      </c>
      <c r="F94" s="101" t="s">
        <v>59</v>
      </c>
      <c r="G94" s="101" t="s">
        <v>60</v>
      </c>
      <c r="H94" s="101"/>
      <c r="I94" s="101"/>
      <c r="J94" s="102">
        <v>6.5</v>
      </c>
      <c r="K94" s="102"/>
      <c r="L94" s="101" t="s">
        <v>222</v>
      </c>
      <c r="M94" s="101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9"/>
      <c r="B95" s="103">
        <v>46049.0</v>
      </c>
      <c r="C95" s="104" t="s">
        <v>18</v>
      </c>
      <c r="D95" s="104" t="s">
        <v>49</v>
      </c>
      <c r="E95" s="104" t="s">
        <v>156</v>
      </c>
      <c r="F95" s="104" t="s">
        <v>20</v>
      </c>
      <c r="G95" s="104" t="s">
        <v>21</v>
      </c>
      <c r="H95" s="104"/>
      <c r="I95" s="104"/>
      <c r="J95" s="105">
        <v>4.0</v>
      </c>
      <c r="K95" s="105"/>
      <c r="L95" s="104" t="s">
        <v>223</v>
      </c>
      <c r="M95" s="10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9"/>
      <c r="B96" s="106">
        <v>46049.0</v>
      </c>
      <c r="C96" s="101" t="s">
        <v>18</v>
      </c>
      <c r="D96" s="101" t="s">
        <v>49</v>
      </c>
      <c r="E96" s="101" t="s">
        <v>11</v>
      </c>
      <c r="F96" s="101" t="s">
        <v>20</v>
      </c>
      <c r="G96" s="101" t="s">
        <v>22</v>
      </c>
      <c r="H96" s="101"/>
      <c r="I96" s="101"/>
      <c r="J96" s="102">
        <v>4.0</v>
      </c>
      <c r="K96" s="102"/>
      <c r="L96" s="101" t="s">
        <v>224</v>
      </c>
      <c r="M96" s="101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9"/>
      <c r="B97" s="103">
        <v>46049.0</v>
      </c>
      <c r="C97" s="104" t="s">
        <v>27</v>
      </c>
      <c r="D97" s="104" t="s">
        <v>9</v>
      </c>
      <c r="E97" s="104" t="s">
        <v>96</v>
      </c>
      <c r="F97" s="104" t="s">
        <v>20</v>
      </c>
      <c r="G97" s="111" t="s">
        <v>81</v>
      </c>
      <c r="H97" s="104"/>
      <c r="I97" s="104"/>
      <c r="J97" s="105">
        <v>8.0</v>
      </c>
      <c r="K97" s="105"/>
      <c r="L97" s="104" t="s">
        <v>218</v>
      </c>
      <c r="M97" s="10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9"/>
      <c r="B98" s="106">
        <v>46049.0</v>
      </c>
      <c r="C98" s="101" t="s">
        <v>33</v>
      </c>
      <c r="D98" s="101" t="s">
        <v>9</v>
      </c>
      <c r="E98" s="101" t="s">
        <v>96</v>
      </c>
      <c r="F98" s="101" t="s">
        <v>20</v>
      </c>
      <c r="G98" s="108" t="s">
        <v>81</v>
      </c>
      <c r="H98" s="101"/>
      <c r="I98" s="101"/>
      <c r="J98" s="102">
        <v>8.0</v>
      </c>
      <c r="K98" s="102"/>
      <c r="L98" s="101" t="s">
        <v>218</v>
      </c>
      <c r="M98" s="101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9"/>
      <c r="B99" s="103">
        <v>46050.0</v>
      </c>
      <c r="C99" s="104" t="s">
        <v>10</v>
      </c>
      <c r="D99" s="104" t="s">
        <v>17</v>
      </c>
      <c r="E99" s="111" t="s">
        <v>96</v>
      </c>
      <c r="F99" s="104" t="s">
        <v>59</v>
      </c>
      <c r="G99" s="104" t="s">
        <v>60</v>
      </c>
      <c r="H99" s="104"/>
      <c r="I99" s="104"/>
      <c r="J99" s="105">
        <v>0.5</v>
      </c>
      <c r="K99" s="105"/>
      <c r="L99" s="104" t="s">
        <v>222</v>
      </c>
      <c r="M99" s="10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9"/>
      <c r="B100" s="106">
        <v>46050.0</v>
      </c>
      <c r="C100" s="101" t="s">
        <v>10</v>
      </c>
      <c r="D100" s="101" t="s">
        <v>49</v>
      </c>
      <c r="E100" s="101" t="s">
        <v>156</v>
      </c>
      <c r="F100" s="101" t="s">
        <v>20</v>
      </c>
      <c r="G100" s="101" t="s">
        <v>21</v>
      </c>
      <c r="H100" s="101"/>
      <c r="I100" s="101"/>
      <c r="J100" s="102">
        <v>5.5</v>
      </c>
      <c r="K100" s="102"/>
      <c r="L100" s="101" t="s">
        <v>225</v>
      </c>
      <c r="M100" s="101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9"/>
      <c r="B101" s="103">
        <v>46050.0</v>
      </c>
      <c r="C101" s="104" t="s">
        <v>10</v>
      </c>
      <c r="D101" s="104" t="s">
        <v>17</v>
      </c>
      <c r="E101" s="111" t="s">
        <v>96</v>
      </c>
      <c r="F101" s="104" t="s">
        <v>59</v>
      </c>
      <c r="G101" s="104" t="s">
        <v>60</v>
      </c>
      <c r="H101" s="104"/>
      <c r="I101" s="104"/>
      <c r="J101" s="105">
        <v>0.5</v>
      </c>
      <c r="K101" s="105"/>
      <c r="L101" s="104" t="s">
        <v>226</v>
      </c>
      <c r="M101" s="10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9"/>
      <c r="B102" s="106">
        <v>46051.0</v>
      </c>
      <c r="C102" s="101" t="s">
        <v>10</v>
      </c>
      <c r="D102" s="101" t="s">
        <v>37</v>
      </c>
      <c r="E102" s="108" t="s">
        <v>96</v>
      </c>
      <c r="F102" s="101" t="s">
        <v>54</v>
      </c>
      <c r="G102" s="101" t="s">
        <v>54</v>
      </c>
      <c r="H102" s="101"/>
      <c r="I102" s="101"/>
      <c r="J102" s="102">
        <v>6.0</v>
      </c>
      <c r="K102" s="102"/>
      <c r="L102" s="101" t="s">
        <v>227</v>
      </c>
      <c r="M102" s="101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9"/>
      <c r="B103" s="103">
        <v>46051.0</v>
      </c>
      <c r="C103" s="104" t="s">
        <v>10</v>
      </c>
      <c r="D103" s="104" t="s">
        <v>49</v>
      </c>
      <c r="E103" s="104" t="s">
        <v>156</v>
      </c>
      <c r="F103" s="104" t="s">
        <v>20</v>
      </c>
      <c r="G103" s="104" t="s">
        <v>22</v>
      </c>
      <c r="H103" s="104"/>
      <c r="I103" s="104"/>
      <c r="J103" s="105">
        <v>2.0</v>
      </c>
      <c r="K103" s="105"/>
      <c r="L103" s="104" t="s">
        <v>224</v>
      </c>
      <c r="M103" s="10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9"/>
      <c r="B104" s="106">
        <v>46051.0</v>
      </c>
      <c r="C104" s="101" t="s">
        <v>18</v>
      </c>
      <c r="D104" s="101" t="s">
        <v>49</v>
      </c>
      <c r="E104" s="101" t="s">
        <v>11</v>
      </c>
      <c r="F104" s="101" t="s">
        <v>20</v>
      </c>
      <c r="G104" s="101" t="s">
        <v>22</v>
      </c>
      <c r="H104" s="101"/>
      <c r="I104" s="101"/>
      <c r="J104" s="102">
        <v>2.0</v>
      </c>
      <c r="K104" s="102"/>
      <c r="L104" s="101" t="s">
        <v>228</v>
      </c>
      <c r="M104" s="101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9"/>
      <c r="B105" s="103">
        <v>46051.0</v>
      </c>
      <c r="C105" s="104" t="s">
        <v>18</v>
      </c>
      <c r="D105" s="104" t="s">
        <v>37</v>
      </c>
      <c r="E105" s="111" t="s">
        <v>96</v>
      </c>
      <c r="F105" s="104" t="s">
        <v>54</v>
      </c>
      <c r="G105" s="104" t="s">
        <v>54</v>
      </c>
      <c r="H105" s="104"/>
      <c r="I105" s="104"/>
      <c r="J105" s="105">
        <v>6.0</v>
      </c>
      <c r="K105" s="105"/>
      <c r="L105" s="104" t="s">
        <v>227</v>
      </c>
      <c r="M105" s="10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9"/>
      <c r="B106" s="106">
        <v>46052.0</v>
      </c>
      <c r="C106" s="101" t="s">
        <v>10</v>
      </c>
      <c r="D106" s="101" t="s">
        <v>49</v>
      </c>
      <c r="E106" s="101" t="s">
        <v>156</v>
      </c>
      <c r="F106" s="101" t="s">
        <v>20</v>
      </c>
      <c r="G106" s="101" t="s">
        <v>22</v>
      </c>
      <c r="H106" s="101"/>
      <c r="I106" s="101"/>
      <c r="J106" s="102">
        <v>5.0</v>
      </c>
      <c r="K106" s="102"/>
      <c r="L106" s="101" t="s">
        <v>224</v>
      </c>
      <c r="M106" s="101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9"/>
      <c r="B107" s="103">
        <v>46052.0</v>
      </c>
      <c r="C107" s="104" t="s">
        <v>10</v>
      </c>
      <c r="D107" s="104" t="s">
        <v>61</v>
      </c>
      <c r="E107" s="104" t="s">
        <v>155</v>
      </c>
      <c r="F107" s="104" t="s">
        <v>20</v>
      </c>
      <c r="G107" s="104" t="s">
        <v>21</v>
      </c>
      <c r="H107" s="104"/>
      <c r="I107" s="104"/>
      <c r="J107" s="105">
        <v>1.0</v>
      </c>
      <c r="K107" s="105"/>
      <c r="L107" s="104" t="s">
        <v>221</v>
      </c>
      <c r="M107" s="10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9"/>
      <c r="B108" s="106">
        <v>46052.0</v>
      </c>
      <c r="C108" s="101" t="s">
        <v>10</v>
      </c>
      <c r="D108" s="101" t="s">
        <v>17</v>
      </c>
      <c r="E108" s="108" t="s">
        <v>96</v>
      </c>
      <c r="F108" s="101" t="s">
        <v>20</v>
      </c>
      <c r="G108" s="108" t="s">
        <v>57</v>
      </c>
      <c r="H108" s="101"/>
      <c r="I108" s="101"/>
      <c r="J108" s="102">
        <v>2.0</v>
      </c>
      <c r="K108" s="102"/>
      <c r="L108" s="101" t="s">
        <v>229</v>
      </c>
      <c r="M108" s="101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9"/>
      <c r="B109" s="103">
        <v>46052.0</v>
      </c>
      <c r="C109" s="104" t="s">
        <v>18</v>
      </c>
      <c r="D109" s="104" t="s">
        <v>49</v>
      </c>
      <c r="E109" s="104" t="s">
        <v>11</v>
      </c>
      <c r="F109" s="104" t="s">
        <v>20</v>
      </c>
      <c r="G109" s="104" t="s">
        <v>22</v>
      </c>
      <c r="H109" s="104"/>
      <c r="I109" s="104"/>
      <c r="J109" s="105">
        <v>6.0</v>
      </c>
      <c r="K109" s="105"/>
      <c r="L109" s="104" t="s">
        <v>228</v>
      </c>
      <c r="M109" s="10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9"/>
      <c r="B110" s="106">
        <v>46052.0</v>
      </c>
      <c r="C110" s="101" t="s">
        <v>18</v>
      </c>
      <c r="D110" s="101" t="s">
        <v>61</v>
      </c>
      <c r="E110" s="101" t="s">
        <v>155</v>
      </c>
      <c r="F110" s="101" t="s">
        <v>20</v>
      </c>
      <c r="G110" s="101" t="s">
        <v>63</v>
      </c>
      <c r="H110" s="101"/>
      <c r="I110" s="101"/>
      <c r="J110" s="102">
        <v>2.0</v>
      </c>
      <c r="K110" s="102"/>
      <c r="L110" s="101" t="s">
        <v>230</v>
      </c>
      <c r="M110" s="101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9"/>
      <c r="B111" s="103">
        <v>46055.0</v>
      </c>
      <c r="C111" s="104" t="s">
        <v>10</v>
      </c>
      <c r="D111" s="104" t="s">
        <v>61</v>
      </c>
      <c r="E111" s="104" t="s">
        <v>155</v>
      </c>
      <c r="F111" s="104" t="s">
        <v>20</v>
      </c>
      <c r="G111" s="104" t="s">
        <v>21</v>
      </c>
      <c r="H111" s="104"/>
      <c r="I111" s="104"/>
      <c r="J111" s="105">
        <v>2.0</v>
      </c>
      <c r="K111" s="105"/>
      <c r="L111" s="104" t="s">
        <v>221</v>
      </c>
      <c r="M111" s="10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9"/>
      <c r="B112" s="106">
        <v>46055.0</v>
      </c>
      <c r="C112" s="101" t="s">
        <v>10</v>
      </c>
      <c r="D112" s="101" t="s">
        <v>49</v>
      </c>
      <c r="E112" s="101" t="s">
        <v>156</v>
      </c>
      <c r="F112" s="101" t="s">
        <v>20</v>
      </c>
      <c r="G112" s="101" t="s">
        <v>22</v>
      </c>
      <c r="H112" s="101"/>
      <c r="I112" s="101"/>
      <c r="J112" s="102">
        <v>6.0</v>
      </c>
      <c r="K112" s="102"/>
      <c r="L112" s="101" t="s">
        <v>224</v>
      </c>
      <c r="M112" s="101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9"/>
      <c r="B113" s="103">
        <v>46055.0</v>
      </c>
      <c r="C113" s="104" t="s">
        <v>18</v>
      </c>
      <c r="D113" s="104" t="s">
        <v>49</v>
      </c>
      <c r="E113" s="104" t="s">
        <v>11</v>
      </c>
      <c r="F113" s="104" t="s">
        <v>20</v>
      </c>
      <c r="G113" s="104" t="s">
        <v>22</v>
      </c>
      <c r="H113" s="104"/>
      <c r="I113" s="104"/>
      <c r="J113" s="105">
        <v>4.0</v>
      </c>
      <c r="K113" s="105"/>
      <c r="L113" s="104" t="s">
        <v>228</v>
      </c>
      <c r="M113" s="10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9"/>
      <c r="B114" s="106">
        <v>46055.0</v>
      </c>
      <c r="C114" s="101" t="s">
        <v>18</v>
      </c>
      <c r="D114" s="101" t="s">
        <v>61</v>
      </c>
      <c r="E114" s="101" t="s">
        <v>155</v>
      </c>
      <c r="F114" s="101" t="s">
        <v>20</v>
      </c>
      <c r="G114" s="101" t="s">
        <v>63</v>
      </c>
      <c r="H114" s="101"/>
      <c r="I114" s="101"/>
      <c r="J114" s="102">
        <v>2.0</v>
      </c>
      <c r="K114" s="102"/>
      <c r="L114" s="101" t="s">
        <v>230</v>
      </c>
      <c r="M114" s="101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9"/>
      <c r="B115" s="103">
        <v>46055.0</v>
      </c>
      <c r="C115" s="104" t="s">
        <v>18</v>
      </c>
      <c r="D115" s="104" t="s">
        <v>9</v>
      </c>
      <c r="E115" s="104" t="s">
        <v>96</v>
      </c>
      <c r="F115" s="104" t="s">
        <v>207</v>
      </c>
      <c r="G115" s="111" t="s">
        <v>63</v>
      </c>
      <c r="H115" s="113"/>
      <c r="I115" s="113"/>
      <c r="J115" s="105">
        <v>2.0</v>
      </c>
      <c r="K115" s="105"/>
      <c r="L115" s="104" t="s">
        <v>231</v>
      </c>
      <c r="M115" s="10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9"/>
      <c r="B116" s="106">
        <v>46056.0</v>
      </c>
      <c r="C116" s="101" t="s">
        <v>10</v>
      </c>
      <c r="D116" s="101" t="s">
        <v>138</v>
      </c>
      <c r="E116" s="101" t="s">
        <v>115</v>
      </c>
      <c r="F116" s="101" t="s">
        <v>20</v>
      </c>
      <c r="G116" s="108" t="s">
        <v>47</v>
      </c>
      <c r="H116" s="101"/>
      <c r="I116" s="101"/>
      <c r="J116" s="102">
        <v>2.0</v>
      </c>
      <c r="K116" s="102"/>
      <c r="L116" s="101" t="s">
        <v>232</v>
      </c>
      <c r="M116" s="101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9"/>
      <c r="B117" s="103">
        <v>46056.0</v>
      </c>
      <c r="C117" s="104" t="s">
        <v>10</v>
      </c>
      <c r="D117" s="104" t="s">
        <v>49</v>
      </c>
      <c r="E117" s="104" t="s">
        <v>156</v>
      </c>
      <c r="F117" s="111" t="s">
        <v>24</v>
      </c>
      <c r="G117" s="111" t="s">
        <v>25</v>
      </c>
      <c r="H117" s="113"/>
      <c r="I117" s="113"/>
      <c r="J117" s="105">
        <v>5.0</v>
      </c>
      <c r="K117" s="105"/>
      <c r="L117" s="104" t="s">
        <v>233</v>
      </c>
      <c r="M117" s="10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9"/>
      <c r="B118" s="106">
        <v>46056.0</v>
      </c>
      <c r="C118" s="101" t="s">
        <v>10</v>
      </c>
      <c r="D118" s="101" t="s">
        <v>138</v>
      </c>
      <c r="E118" s="101" t="s">
        <v>117</v>
      </c>
      <c r="F118" s="101" t="s">
        <v>20</v>
      </c>
      <c r="G118" s="101" t="s">
        <v>21</v>
      </c>
      <c r="H118" s="101"/>
      <c r="I118" s="101"/>
      <c r="J118" s="102">
        <v>1.0</v>
      </c>
      <c r="K118" s="102"/>
      <c r="L118" s="101" t="s">
        <v>234</v>
      </c>
      <c r="M118" s="101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9"/>
      <c r="B119" s="103">
        <v>46056.0</v>
      </c>
      <c r="C119" s="104" t="s">
        <v>10</v>
      </c>
      <c r="D119" s="104" t="s">
        <v>138</v>
      </c>
      <c r="E119" s="104" t="s">
        <v>117</v>
      </c>
      <c r="F119" s="104" t="s">
        <v>20</v>
      </c>
      <c r="G119" s="104" t="s">
        <v>21</v>
      </c>
      <c r="H119" s="104"/>
      <c r="I119" s="104"/>
      <c r="J119" s="105">
        <v>1.5</v>
      </c>
      <c r="K119" s="105"/>
      <c r="L119" s="104" t="s">
        <v>234</v>
      </c>
      <c r="M119" s="10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9"/>
      <c r="B120" s="106">
        <v>46056.0</v>
      </c>
      <c r="C120" s="101" t="s">
        <v>18</v>
      </c>
      <c r="D120" s="101" t="s">
        <v>17</v>
      </c>
      <c r="E120" s="108" t="s">
        <v>96</v>
      </c>
      <c r="F120" s="101" t="s">
        <v>54</v>
      </c>
      <c r="G120" s="101" t="s">
        <v>54</v>
      </c>
      <c r="H120" s="101"/>
      <c r="I120" s="101"/>
      <c r="J120" s="102">
        <v>3.0</v>
      </c>
      <c r="K120" s="102"/>
      <c r="L120" s="101" t="s">
        <v>54</v>
      </c>
      <c r="M120" s="101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9"/>
      <c r="B121" s="103">
        <v>46056.0</v>
      </c>
      <c r="C121" s="104" t="s">
        <v>18</v>
      </c>
      <c r="D121" s="104" t="s">
        <v>138</v>
      </c>
      <c r="E121" s="104" t="s">
        <v>115</v>
      </c>
      <c r="F121" s="104" t="s">
        <v>20</v>
      </c>
      <c r="G121" s="111" t="s">
        <v>47</v>
      </c>
      <c r="H121" s="104"/>
      <c r="I121" s="104"/>
      <c r="J121" s="105">
        <v>2.0</v>
      </c>
      <c r="K121" s="105"/>
      <c r="L121" s="104" t="s">
        <v>232</v>
      </c>
      <c r="M121" s="10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9"/>
      <c r="B122" s="106">
        <v>46056.0</v>
      </c>
      <c r="C122" s="101" t="s">
        <v>18</v>
      </c>
      <c r="D122" s="101" t="s">
        <v>17</v>
      </c>
      <c r="E122" s="108" t="s">
        <v>96</v>
      </c>
      <c r="F122" s="101" t="s">
        <v>54</v>
      </c>
      <c r="G122" s="101" t="s">
        <v>54</v>
      </c>
      <c r="H122" s="101"/>
      <c r="I122" s="101"/>
      <c r="J122" s="102">
        <v>1.5</v>
      </c>
      <c r="K122" s="102"/>
      <c r="L122" s="101" t="s">
        <v>54</v>
      </c>
      <c r="M122" s="101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9"/>
      <c r="B123" s="103">
        <v>46057.0</v>
      </c>
      <c r="C123" s="104" t="s">
        <v>10</v>
      </c>
      <c r="D123" s="104" t="s">
        <v>49</v>
      </c>
      <c r="E123" s="104" t="s">
        <v>11</v>
      </c>
      <c r="F123" s="104" t="s">
        <v>24</v>
      </c>
      <c r="G123" s="104" t="s">
        <v>25</v>
      </c>
      <c r="H123" s="104"/>
      <c r="I123" s="104"/>
      <c r="J123" s="105">
        <v>6.5</v>
      </c>
      <c r="K123" s="105"/>
      <c r="L123" s="104" t="s">
        <v>235</v>
      </c>
      <c r="M123" s="10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9"/>
      <c r="B124" s="106">
        <v>46057.0</v>
      </c>
      <c r="C124" s="101" t="s">
        <v>10</v>
      </c>
      <c r="D124" s="101" t="s">
        <v>17</v>
      </c>
      <c r="E124" s="108" t="s">
        <v>96</v>
      </c>
      <c r="F124" s="101" t="s">
        <v>20</v>
      </c>
      <c r="G124" s="108" t="s">
        <v>57</v>
      </c>
      <c r="H124" s="101"/>
      <c r="I124" s="101"/>
      <c r="J124" s="102">
        <v>1.5</v>
      </c>
      <c r="K124" s="102"/>
      <c r="L124" s="101" t="s">
        <v>236</v>
      </c>
      <c r="M124" s="101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9"/>
      <c r="B125" s="103">
        <v>46057.0</v>
      </c>
      <c r="C125" s="104" t="s">
        <v>18</v>
      </c>
      <c r="D125" s="104" t="s">
        <v>49</v>
      </c>
      <c r="E125" s="104" t="s">
        <v>156</v>
      </c>
      <c r="F125" s="104" t="s">
        <v>20</v>
      </c>
      <c r="G125" s="107" t="s">
        <v>35</v>
      </c>
      <c r="H125" s="113"/>
      <c r="I125" s="113"/>
      <c r="J125" s="105">
        <v>6.0</v>
      </c>
      <c r="K125" s="105"/>
      <c r="L125" s="104" t="s">
        <v>237</v>
      </c>
      <c r="M125" s="104" t="s">
        <v>238</v>
      </c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9"/>
      <c r="B126" s="106">
        <v>46057.0</v>
      </c>
      <c r="C126" s="101" t="s">
        <v>18</v>
      </c>
      <c r="D126" s="101" t="s">
        <v>56</v>
      </c>
      <c r="E126" s="101" t="s">
        <v>56</v>
      </c>
      <c r="F126" s="101" t="s">
        <v>20</v>
      </c>
      <c r="G126" s="101" t="s">
        <v>22</v>
      </c>
      <c r="H126" s="101"/>
      <c r="I126" s="101"/>
      <c r="J126" s="102">
        <v>1.5</v>
      </c>
      <c r="K126" s="102"/>
      <c r="L126" s="101" t="s">
        <v>239</v>
      </c>
      <c r="M126" s="101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9"/>
      <c r="B127" s="103">
        <v>46057.0</v>
      </c>
      <c r="C127" s="104" t="s">
        <v>18</v>
      </c>
      <c r="D127" s="104" t="s">
        <v>17</v>
      </c>
      <c r="E127" s="111" t="s">
        <v>96</v>
      </c>
      <c r="F127" s="104" t="s">
        <v>54</v>
      </c>
      <c r="G127" s="104" t="s">
        <v>54</v>
      </c>
      <c r="H127" s="104"/>
      <c r="I127" s="104"/>
      <c r="J127" s="105">
        <v>0.5</v>
      </c>
      <c r="K127" s="105"/>
      <c r="L127" s="104" t="s">
        <v>54</v>
      </c>
      <c r="M127" s="10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9"/>
      <c r="B128" s="106">
        <v>46058.0</v>
      </c>
      <c r="C128" s="101" t="s">
        <v>10</v>
      </c>
      <c r="D128" s="101" t="s">
        <v>49</v>
      </c>
      <c r="E128" s="101" t="s">
        <v>11</v>
      </c>
      <c r="F128" s="101" t="s">
        <v>24</v>
      </c>
      <c r="G128" s="108" t="s">
        <v>31</v>
      </c>
      <c r="H128" s="114"/>
      <c r="I128" s="114"/>
      <c r="J128" s="102">
        <v>3.5</v>
      </c>
      <c r="K128" s="102"/>
      <c r="L128" s="108" t="s">
        <v>206</v>
      </c>
      <c r="M128" s="101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9"/>
      <c r="B129" s="103">
        <v>46058.0</v>
      </c>
      <c r="C129" s="104" t="s">
        <v>10</v>
      </c>
      <c r="D129" s="104" t="s">
        <v>64</v>
      </c>
      <c r="E129" s="104" t="s">
        <v>65</v>
      </c>
      <c r="F129" s="104" t="s">
        <v>24</v>
      </c>
      <c r="G129" s="111" t="s">
        <v>31</v>
      </c>
      <c r="H129" s="113"/>
      <c r="I129" s="113"/>
      <c r="J129" s="105">
        <v>2.5</v>
      </c>
      <c r="K129" s="105"/>
      <c r="L129" s="111" t="s">
        <v>24</v>
      </c>
      <c r="M129" s="10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9"/>
      <c r="B130" s="106">
        <v>46058.0</v>
      </c>
      <c r="C130" s="101" t="s">
        <v>10</v>
      </c>
      <c r="D130" s="101" t="s">
        <v>138</v>
      </c>
      <c r="E130" s="101" t="s">
        <v>115</v>
      </c>
      <c r="F130" s="101" t="s">
        <v>20</v>
      </c>
      <c r="G130" s="101" t="s">
        <v>21</v>
      </c>
      <c r="H130" s="101"/>
      <c r="I130" s="101"/>
      <c r="J130" s="102">
        <v>1.0</v>
      </c>
      <c r="K130" s="102"/>
      <c r="L130" s="101" t="s">
        <v>240</v>
      </c>
      <c r="M130" s="101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9"/>
      <c r="B131" s="103">
        <v>46058.0</v>
      </c>
      <c r="C131" s="104" t="s">
        <v>10</v>
      </c>
      <c r="D131" s="104" t="s">
        <v>68</v>
      </c>
      <c r="E131" s="104" t="s">
        <v>80</v>
      </c>
      <c r="F131" s="104" t="s">
        <v>20</v>
      </c>
      <c r="G131" s="104" t="s">
        <v>21</v>
      </c>
      <c r="H131" s="104"/>
      <c r="I131" s="104"/>
      <c r="J131" s="105">
        <v>0.5</v>
      </c>
      <c r="K131" s="105"/>
      <c r="L131" s="104" t="s">
        <v>241</v>
      </c>
      <c r="M131" s="10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9"/>
      <c r="B132" s="106">
        <v>46058.0</v>
      </c>
      <c r="C132" s="101" t="s">
        <v>10</v>
      </c>
      <c r="D132" s="101" t="s">
        <v>17</v>
      </c>
      <c r="E132" s="108" t="s">
        <v>96</v>
      </c>
      <c r="F132" s="101" t="s">
        <v>20</v>
      </c>
      <c r="G132" s="108" t="s">
        <v>57</v>
      </c>
      <c r="H132" s="101"/>
      <c r="I132" s="101"/>
      <c r="J132" s="102">
        <v>0.5</v>
      </c>
      <c r="K132" s="102"/>
      <c r="L132" s="101" t="s">
        <v>236</v>
      </c>
      <c r="M132" s="101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9"/>
      <c r="B133" s="103">
        <v>46058.0</v>
      </c>
      <c r="C133" s="104" t="s">
        <v>18</v>
      </c>
      <c r="D133" s="104" t="s">
        <v>9</v>
      </c>
      <c r="E133" s="104" t="s">
        <v>99</v>
      </c>
      <c r="F133" s="104" t="s">
        <v>207</v>
      </c>
      <c r="G133" s="111" t="s">
        <v>63</v>
      </c>
      <c r="H133" s="113"/>
      <c r="I133" s="113"/>
      <c r="J133" s="105">
        <v>2.0</v>
      </c>
      <c r="K133" s="105"/>
      <c r="L133" s="104" t="s">
        <v>242</v>
      </c>
      <c r="M133" s="10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9"/>
      <c r="B134" s="106">
        <v>46058.0</v>
      </c>
      <c r="C134" s="101" t="s">
        <v>18</v>
      </c>
      <c r="D134" s="101" t="s">
        <v>138</v>
      </c>
      <c r="E134" s="101" t="s">
        <v>115</v>
      </c>
      <c r="F134" s="101" t="s">
        <v>20</v>
      </c>
      <c r="G134" s="101" t="s">
        <v>22</v>
      </c>
      <c r="H134" s="101"/>
      <c r="I134" s="101"/>
      <c r="J134" s="102">
        <v>2.0</v>
      </c>
      <c r="K134" s="102"/>
      <c r="L134" s="101" t="s">
        <v>243</v>
      </c>
      <c r="M134" s="101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9"/>
      <c r="B135" s="103">
        <v>46058.0</v>
      </c>
      <c r="C135" s="104" t="s">
        <v>18</v>
      </c>
      <c r="D135" s="104" t="s">
        <v>49</v>
      </c>
      <c r="E135" s="104" t="s">
        <v>156</v>
      </c>
      <c r="F135" s="104" t="s">
        <v>207</v>
      </c>
      <c r="G135" s="107" t="s">
        <v>35</v>
      </c>
      <c r="H135" s="113"/>
      <c r="I135" s="113"/>
      <c r="J135" s="105">
        <v>0.5</v>
      </c>
      <c r="K135" s="105"/>
      <c r="L135" s="104" t="s">
        <v>244</v>
      </c>
      <c r="M135" s="10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9"/>
      <c r="B136" s="106">
        <v>46058.0</v>
      </c>
      <c r="C136" s="101" t="s">
        <v>18</v>
      </c>
      <c r="D136" s="101" t="s">
        <v>17</v>
      </c>
      <c r="E136" s="108" t="s">
        <v>96</v>
      </c>
      <c r="F136" s="101" t="s">
        <v>54</v>
      </c>
      <c r="G136" s="101" t="s">
        <v>54</v>
      </c>
      <c r="H136" s="101"/>
      <c r="I136" s="101"/>
      <c r="J136" s="102">
        <v>3.5</v>
      </c>
      <c r="K136" s="102"/>
      <c r="L136" s="101" t="s">
        <v>245</v>
      </c>
      <c r="M136" s="101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9"/>
      <c r="B137" s="110">
        <v>46058.0</v>
      </c>
      <c r="C137" s="111" t="s">
        <v>38</v>
      </c>
      <c r="D137" s="111" t="s">
        <v>133</v>
      </c>
      <c r="E137" s="111" t="s">
        <v>11</v>
      </c>
      <c r="F137" s="111" t="s">
        <v>13</v>
      </c>
      <c r="G137" s="104" t="s">
        <v>13</v>
      </c>
      <c r="H137" s="104"/>
      <c r="I137" s="104"/>
      <c r="J137" s="112">
        <v>1.5</v>
      </c>
      <c r="K137" s="112"/>
      <c r="L137" s="111" t="s">
        <v>204</v>
      </c>
      <c r="M137" s="111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9"/>
      <c r="B138" s="100">
        <v>46058.0</v>
      </c>
      <c r="C138" s="108" t="s">
        <v>38</v>
      </c>
      <c r="D138" s="101" t="s">
        <v>138</v>
      </c>
      <c r="E138" s="101" t="s">
        <v>115</v>
      </c>
      <c r="F138" s="108" t="s">
        <v>13</v>
      </c>
      <c r="G138" s="101" t="s">
        <v>13</v>
      </c>
      <c r="H138" s="101"/>
      <c r="I138" s="101"/>
      <c r="J138" s="109">
        <v>1.0</v>
      </c>
      <c r="K138" s="109"/>
      <c r="L138" s="108" t="s">
        <v>204</v>
      </c>
      <c r="M138" s="108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9"/>
      <c r="B139" s="110">
        <v>46058.0</v>
      </c>
      <c r="C139" s="111" t="s">
        <v>38</v>
      </c>
      <c r="D139" s="104" t="s">
        <v>138</v>
      </c>
      <c r="E139" s="104" t="s">
        <v>115</v>
      </c>
      <c r="F139" s="111" t="s">
        <v>13</v>
      </c>
      <c r="G139" s="104" t="s">
        <v>13</v>
      </c>
      <c r="H139" s="104"/>
      <c r="I139" s="104"/>
      <c r="J139" s="112">
        <v>0.7</v>
      </c>
      <c r="K139" s="112"/>
      <c r="L139" s="111" t="s">
        <v>204</v>
      </c>
      <c r="M139" s="111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9"/>
      <c r="B140" s="106">
        <v>46059.0</v>
      </c>
      <c r="C140" s="101" t="s">
        <v>10</v>
      </c>
      <c r="D140" s="101" t="s">
        <v>49</v>
      </c>
      <c r="E140" s="101" t="s">
        <v>11</v>
      </c>
      <c r="F140" s="101" t="s">
        <v>24</v>
      </c>
      <c r="G140" s="101" t="s">
        <v>25</v>
      </c>
      <c r="H140" s="101"/>
      <c r="I140" s="101"/>
      <c r="J140" s="102">
        <v>5.0</v>
      </c>
      <c r="K140" s="102"/>
      <c r="L140" s="101" t="s">
        <v>246</v>
      </c>
      <c r="M140" s="101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9"/>
      <c r="B141" s="103">
        <v>46059.0</v>
      </c>
      <c r="C141" s="104" t="s">
        <v>10</v>
      </c>
      <c r="D141" s="104" t="s">
        <v>64</v>
      </c>
      <c r="E141" s="104" t="s">
        <v>65</v>
      </c>
      <c r="F141" s="104" t="s">
        <v>24</v>
      </c>
      <c r="G141" s="111" t="s">
        <v>31</v>
      </c>
      <c r="H141" s="113"/>
      <c r="I141" s="113"/>
      <c r="J141" s="105">
        <v>2.0</v>
      </c>
      <c r="K141" s="105"/>
      <c r="L141" s="111" t="s">
        <v>24</v>
      </c>
      <c r="M141" s="104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9"/>
      <c r="B142" s="106">
        <v>46059.0</v>
      </c>
      <c r="C142" s="101" t="s">
        <v>10</v>
      </c>
      <c r="D142" s="101" t="s">
        <v>61</v>
      </c>
      <c r="E142" s="101" t="s">
        <v>155</v>
      </c>
      <c r="F142" s="101" t="s">
        <v>20</v>
      </c>
      <c r="G142" s="115" t="s">
        <v>35</v>
      </c>
      <c r="H142" s="114"/>
      <c r="I142" s="114"/>
      <c r="J142" s="102">
        <v>0.33</v>
      </c>
      <c r="K142" s="102"/>
      <c r="L142" s="101" t="s">
        <v>247</v>
      </c>
      <c r="M142" s="101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9"/>
      <c r="B143" s="103">
        <v>46059.0</v>
      </c>
      <c r="C143" s="104" t="s">
        <v>10</v>
      </c>
      <c r="D143" s="104" t="s">
        <v>68</v>
      </c>
      <c r="E143" s="104" t="s">
        <v>80</v>
      </c>
      <c r="F143" s="104" t="s">
        <v>20</v>
      </c>
      <c r="G143" s="104" t="s">
        <v>21</v>
      </c>
      <c r="H143" s="104"/>
      <c r="I143" s="104"/>
      <c r="J143" s="105">
        <v>0.33</v>
      </c>
      <c r="K143" s="105"/>
      <c r="L143" s="104" t="s">
        <v>241</v>
      </c>
      <c r="M143" s="104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9"/>
      <c r="B144" s="106">
        <v>46059.0</v>
      </c>
      <c r="C144" s="101" t="s">
        <v>10</v>
      </c>
      <c r="D144" s="101" t="s">
        <v>64</v>
      </c>
      <c r="E144" s="101" t="s">
        <v>155</v>
      </c>
      <c r="F144" s="101" t="s">
        <v>20</v>
      </c>
      <c r="G144" s="108" t="s">
        <v>47</v>
      </c>
      <c r="H144" s="101"/>
      <c r="I144" s="101"/>
      <c r="J144" s="102">
        <v>0.34</v>
      </c>
      <c r="K144" s="102"/>
      <c r="L144" s="101" t="s">
        <v>248</v>
      </c>
      <c r="M144" s="101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9"/>
      <c r="B145" s="103">
        <v>46059.0</v>
      </c>
      <c r="C145" s="104" t="s">
        <v>18</v>
      </c>
      <c r="D145" s="104" t="s">
        <v>61</v>
      </c>
      <c r="E145" s="104" t="s">
        <v>155</v>
      </c>
      <c r="F145" s="104" t="s">
        <v>207</v>
      </c>
      <c r="G145" s="104" t="s">
        <v>63</v>
      </c>
      <c r="H145" s="104"/>
      <c r="I145" s="104"/>
      <c r="J145" s="105">
        <v>3.5</v>
      </c>
      <c r="K145" s="105"/>
      <c r="L145" s="104" t="s">
        <v>249</v>
      </c>
      <c r="M145" s="104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9"/>
      <c r="B146" s="106">
        <v>46059.0</v>
      </c>
      <c r="C146" s="101" t="s">
        <v>18</v>
      </c>
      <c r="D146" s="101" t="s">
        <v>133</v>
      </c>
      <c r="E146" s="101" t="s">
        <v>11</v>
      </c>
      <c r="F146" s="101" t="s">
        <v>20</v>
      </c>
      <c r="G146" s="101" t="s">
        <v>22</v>
      </c>
      <c r="H146" s="101"/>
      <c r="I146" s="101"/>
      <c r="J146" s="102">
        <f>2.5+1.75</f>
        <v>4.25</v>
      </c>
      <c r="K146" s="102"/>
      <c r="L146" s="101" t="s">
        <v>22</v>
      </c>
      <c r="M146" s="101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9"/>
      <c r="B147" s="103">
        <v>46059.0</v>
      </c>
      <c r="C147" s="104" t="s">
        <v>18</v>
      </c>
      <c r="D147" s="104" t="s">
        <v>17</v>
      </c>
      <c r="E147" s="111" t="s">
        <v>96</v>
      </c>
      <c r="F147" s="104" t="s">
        <v>54</v>
      </c>
      <c r="G147" s="104" t="s">
        <v>54</v>
      </c>
      <c r="H147" s="104"/>
      <c r="I147" s="104"/>
      <c r="J147" s="105">
        <v>0.25</v>
      </c>
      <c r="K147" s="105"/>
      <c r="L147" s="104" t="s">
        <v>54</v>
      </c>
      <c r="M147" s="104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9"/>
      <c r="B148" s="106">
        <v>46062.0</v>
      </c>
      <c r="C148" s="101" t="s">
        <v>10</v>
      </c>
      <c r="D148" s="101" t="s">
        <v>49</v>
      </c>
      <c r="E148" s="101" t="s">
        <v>11</v>
      </c>
      <c r="F148" s="101" t="s">
        <v>24</v>
      </c>
      <c r="G148" s="108" t="s">
        <v>31</v>
      </c>
      <c r="H148" s="114"/>
      <c r="I148" s="114"/>
      <c r="J148" s="102">
        <v>2.5</v>
      </c>
      <c r="K148" s="102"/>
      <c r="L148" s="108" t="s">
        <v>24</v>
      </c>
      <c r="M148" s="101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9"/>
      <c r="B149" s="103">
        <v>46062.0</v>
      </c>
      <c r="C149" s="104" t="s">
        <v>10</v>
      </c>
      <c r="D149" s="104" t="s">
        <v>17</v>
      </c>
      <c r="E149" s="111" t="s">
        <v>96</v>
      </c>
      <c r="F149" s="104" t="s">
        <v>54</v>
      </c>
      <c r="G149" s="104" t="s">
        <v>54</v>
      </c>
      <c r="H149" s="104"/>
      <c r="I149" s="104"/>
      <c r="J149" s="105">
        <v>4.5</v>
      </c>
      <c r="K149" s="105"/>
      <c r="L149" s="104" t="s">
        <v>250</v>
      </c>
      <c r="M149" s="104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9"/>
      <c r="B150" s="106">
        <v>46062.0</v>
      </c>
      <c r="C150" s="101" t="s">
        <v>10</v>
      </c>
      <c r="D150" s="101" t="s">
        <v>133</v>
      </c>
      <c r="E150" s="101" t="s">
        <v>83</v>
      </c>
      <c r="F150" s="101" t="s">
        <v>24</v>
      </c>
      <c r="G150" s="108" t="s">
        <v>31</v>
      </c>
      <c r="H150" s="114"/>
      <c r="I150" s="114"/>
      <c r="J150" s="102">
        <v>1.0</v>
      </c>
      <c r="K150" s="102"/>
      <c r="L150" s="108" t="s">
        <v>24</v>
      </c>
      <c r="M150" s="101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9"/>
      <c r="B151" s="103">
        <v>46062.0</v>
      </c>
      <c r="C151" s="104" t="s">
        <v>18</v>
      </c>
      <c r="D151" s="104" t="s">
        <v>133</v>
      </c>
      <c r="E151" s="104" t="s">
        <v>11</v>
      </c>
      <c r="F151" s="104" t="s">
        <v>20</v>
      </c>
      <c r="G151" s="104" t="s">
        <v>22</v>
      </c>
      <c r="H151" s="104"/>
      <c r="I151" s="104"/>
      <c r="J151" s="105">
        <v>7.5</v>
      </c>
      <c r="K151" s="105"/>
      <c r="L151" s="104" t="s">
        <v>251</v>
      </c>
      <c r="M151" s="104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9"/>
      <c r="B152" s="106">
        <v>46062.0</v>
      </c>
      <c r="C152" s="101" t="s">
        <v>18</v>
      </c>
      <c r="D152" s="101" t="s">
        <v>17</v>
      </c>
      <c r="E152" s="108" t="s">
        <v>96</v>
      </c>
      <c r="F152" s="101" t="s">
        <v>54</v>
      </c>
      <c r="G152" s="101" t="s">
        <v>54</v>
      </c>
      <c r="H152" s="101"/>
      <c r="I152" s="101"/>
      <c r="J152" s="102">
        <v>0.5</v>
      </c>
      <c r="K152" s="102"/>
      <c r="L152" s="101" t="s">
        <v>54</v>
      </c>
      <c r="M152" s="101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9"/>
      <c r="B153" s="110">
        <v>46062.0</v>
      </c>
      <c r="C153" s="111" t="s">
        <v>38</v>
      </c>
      <c r="D153" s="111" t="s">
        <v>133</v>
      </c>
      <c r="E153" s="111" t="s">
        <v>83</v>
      </c>
      <c r="F153" s="111" t="s">
        <v>13</v>
      </c>
      <c r="G153" s="104" t="s">
        <v>13</v>
      </c>
      <c r="H153" s="104"/>
      <c r="I153" s="104"/>
      <c r="J153" s="112">
        <v>0.5</v>
      </c>
      <c r="K153" s="112"/>
      <c r="L153" s="111" t="s">
        <v>204</v>
      </c>
      <c r="M153" s="111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9"/>
      <c r="B154" s="106">
        <v>46063.0</v>
      </c>
      <c r="C154" s="101" t="s">
        <v>10</v>
      </c>
      <c r="D154" s="101" t="s">
        <v>26</v>
      </c>
      <c r="E154" s="101" t="s">
        <v>77</v>
      </c>
      <c r="F154" s="101" t="s">
        <v>207</v>
      </c>
      <c r="G154" s="115" t="s">
        <v>35</v>
      </c>
      <c r="H154" s="114"/>
      <c r="I154" s="114"/>
      <c r="J154" s="102">
        <v>0.5</v>
      </c>
      <c r="K154" s="102"/>
      <c r="L154" s="101" t="s">
        <v>252</v>
      </c>
      <c r="M154" s="101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9"/>
      <c r="B155" s="103">
        <v>46063.0</v>
      </c>
      <c r="C155" s="104" t="s">
        <v>10</v>
      </c>
      <c r="D155" s="104" t="s">
        <v>133</v>
      </c>
      <c r="E155" s="104" t="s">
        <v>11</v>
      </c>
      <c r="F155" s="104" t="s">
        <v>24</v>
      </c>
      <c r="G155" s="104" t="s">
        <v>25</v>
      </c>
      <c r="H155" s="104"/>
      <c r="I155" s="104"/>
      <c r="J155" s="105">
        <v>2.0</v>
      </c>
      <c r="K155" s="105"/>
      <c r="L155" s="104" t="s">
        <v>253</v>
      </c>
      <c r="M155" s="104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9"/>
      <c r="B156" s="106">
        <v>46063.0</v>
      </c>
      <c r="C156" s="101" t="s">
        <v>10</v>
      </c>
      <c r="D156" s="101" t="s">
        <v>140</v>
      </c>
      <c r="E156" s="101" t="s">
        <v>155</v>
      </c>
      <c r="F156" s="101" t="s">
        <v>20</v>
      </c>
      <c r="G156" s="101" t="s">
        <v>22</v>
      </c>
      <c r="H156" s="101"/>
      <c r="I156" s="101"/>
      <c r="J156" s="102">
        <v>0.5</v>
      </c>
      <c r="K156" s="102"/>
      <c r="L156" s="101" t="s">
        <v>243</v>
      </c>
      <c r="M156" s="101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9"/>
      <c r="B157" s="103">
        <v>46063.0</v>
      </c>
      <c r="C157" s="104" t="s">
        <v>10</v>
      </c>
      <c r="D157" s="104" t="s">
        <v>140</v>
      </c>
      <c r="E157" s="104" t="s">
        <v>155</v>
      </c>
      <c r="F157" s="104" t="s">
        <v>24</v>
      </c>
      <c r="G157" s="111" t="s">
        <v>31</v>
      </c>
      <c r="H157" s="113"/>
      <c r="I157" s="113"/>
      <c r="J157" s="105">
        <v>1.0</v>
      </c>
      <c r="K157" s="105"/>
      <c r="L157" s="111" t="s">
        <v>206</v>
      </c>
      <c r="M157" s="104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9"/>
      <c r="B158" s="106">
        <v>46063.0</v>
      </c>
      <c r="C158" s="101" t="s">
        <v>10</v>
      </c>
      <c r="D158" s="101" t="s">
        <v>17</v>
      </c>
      <c r="E158" s="108" t="s">
        <v>96</v>
      </c>
      <c r="F158" s="101" t="s">
        <v>54</v>
      </c>
      <c r="G158" s="101" t="s">
        <v>54</v>
      </c>
      <c r="H158" s="101"/>
      <c r="I158" s="101"/>
      <c r="J158" s="102">
        <v>3.0</v>
      </c>
      <c r="K158" s="102"/>
      <c r="L158" s="101" t="s">
        <v>254</v>
      </c>
      <c r="M158" s="101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9"/>
      <c r="B159" s="103">
        <v>46063.0</v>
      </c>
      <c r="C159" s="104" t="s">
        <v>10</v>
      </c>
      <c r="D159" s="104" t="s">
        <v>140</v>
      </c>
      <c r="E159" s="104" t="s">
        <v>119</v>
      </c>
      <c r="F159" s="104" t="s">
        <v>20</v>
      </c>
      <c r="G159" s="111" t="s">
        <v>22</v>
      </c>
      <c r="H159" s="113"/>
      <c r="I159" s="113"/>
      <c r="J159" s="105">
        <v>1.0</v>
      </c>
      <c r="K159" s="105"/>
      <c r="L159" s="111" t="s">
        <v>255</v>
      </c>
      <c r="M159" s="104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9"/>
      <c r="B160" s="106">
        <v>46063.0</v>
      </c>
      <c r="C160" s="101" t="s">
        <v>18</v>
      </c>
      <c r="D160" s="101" t="s">
        <v>133</v>
      </c>
      <c r="E160" s="101" t="s">
        <v>11</v>
      </c>
      <c r="F160" s="101" t="s">
        <v>24</v>
      </c>
      <c r="G160" s="101" t="s">
        <v>25</v>
      </c>
      <c r="H160" s="101"/>
      <c r="I160" s="101"/>
      <c r="J160" s="102">
        <v>4.0</v>
      </c>
      <c r="K160" s="102"/>
      <c r="L160" s="101" t="s">
        <v>256</v>
      </c>
      <c r="M160" s="101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9"/>
      <c r="B161" s="103">
        <v>46063.0</v>
      </c>
      <c r="C161" s="104" t="s">
        <v>18</v>
      </c>
      <c r="D161" s="104" t="s">
        <v>9</v>
      </c>
      <c r="E161" s="104" t="s">
        <v>99</v>
      </c>
      <c r="F161" s="104" t="s">
        <v>207</v>
      </c>
      <c r="G161" s="111" t="s">
        <v>63</v>
      </c>
      <c r="H161" s="113"/>
      <c r="I161" s="113"/>
      <c r="J161" s="105">
        <v>1.0</v>
      </c>
      <c r="K161" s="105"/>
      <c r="L161" s="104" t="s">
        <v>257</v>
      </c>
      <c r="M161" s="104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9"/>
      <c r="B162" s="106">
        <v>46063.0</v>
      </c>
      <c r="C162" s="101" t="s">
        <v>18</v>
      </c>
      <c r="D162" s="101" t="s">
        <v>140</v>
      </c>
      <c r="E162" s="101" t="s">
        <v>119</v>
      </c>
      <c r="F162" s="101" t="s">
        <v>20</v>
      </c>
      <c r="G162" s="101" t="s">
        <v>21</v>
      </c>
      <c r="H162" s="101"/>
      <c r="I162" s="101"/>
      <c r="J162" s="102">
        <v>1.0</v>
      </c>
      <c r="K162" s="102"/>
      <c r="L162" s="101" t="s">
        <v>258</v>
      </c>
      <c r="M162" s="101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9"/>
      <c r="B163" s="110">
        <v>46063.0</v>
      </c>
      <c r="C163" s="111" t="s">
        <v>38</v>
      </c>
      <c r="D163" s="111" t="s">
        <v>140</v>
      </c>
      <c r="E163" s="111" t="s">
        <v>155</v>
      </c>
      <c r="F163" s="111" t="s">
        <v>13</v>
      </c>
      <c r="G163" s="104" t="s">
        <v>13</v>
      </c>
      <c r="H163" s="104"/>
      <c r="I163" s="104"/>
      <c r="J163" s="112">
        <f>10/60</f>
        <v>0.1666666667</v>
      </c>
      <c r="K163" s="112"/>
      <c r="L163" s="111" t="s">
        <v>204</v>
      </c>
      <c r="M163" s="111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9"/>
      <c r="B164" s="100">
        <v>46063.0</v>
      </c>
      <c r="C164" s="108" t="s">
        <v>38</v>
      </c>
      <c r="D164" s="108" t="s">
        <v>133</v>
      </c>
      <c r="E164" s="108" t="s">
        <v>69</v>
      </c>
      <c r="F164" s="108" t="s">
        <v>13</v>
      </c>
      <c r="G164" s="101" t="s">
        <v>13</v>
      </c>
      <c r="H164" s="101"/>
      <c r="I164" s="101"/>
      <c r="J164" s="109">
        <v>1.0</v>
      </c>
      <c r="K164" s="109"/>
      <c r="L164" s="108" t="s">
        <v>204</v>
      </c>
      <c r="M164" s="108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9"/>
      <c r="B165" s="103">
        <v>46064.0</v>
      </c>
      <c r="C165" s="104" t="s">
        <v>10</v>
      </c>
      <c r="D165" s="104" t="s">
        <v>133</v>
      </c>
      <c r="E165" s="104" t="s">
        <v>11</v>
      </c>
      <c r="F165" s="104" t="s">
        <v>24</v>
      </c>
      <c r="G165" s="104" t="s">
        <v>25</v>
      </c>
      <c r="H165" s="104"/>
      <c r="I165" s="104"/>
      <c r="J165" s="105">
        <v>2.0</v>
      </c>
      <c r="K165" s="105"/>
      <c r="L165" s="104" t="s">
        <v>259</v>
      </c>
      <c r="M165" s="104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9"/>
      <c r="B166" s="106">
        <v>46064.0</v>
      </c>
      <c r="C166" s="101" t="s">
        <v>10</v>
      </c>
      <c r="D166" s="101" t="s">
        <v>17</v>
      </c>
      <c r="E166" s="108" t="s">
        <v>96</v>
      </c>
      <c r="F166" s="101" t="s">
        <v>54</v>
      </c>
      <c r="G166" s="101" t="s">
        <v>54</v>
      </c>
      <c r="H166" s="101"/>
      <c r="I166" s="101"/>
      <c r="J166" s="102">
        <v>4.0</v>
      </c>
      <c r="K166" s="102"/>
      <c r="L166" s="101" t="s">
        <v>254</v>
      </c>
      <c r="M166" s="101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9"/>
      <c r="B167" s="103">
        <v>46064.0</v>
      </c>
      <c r="C167" s="104" t="s">
        <v>10</v>
      </c>
      <c r="D167" s="104" t="s">
        <v>56</v>
      </c>
      <c r="E167" s="104" t="s">
        <v>65</v>
      </c>
      <c r="F167" s="104" t="s">
        <v>24</v>
      </c>
      <c r="G167" s="111" t="s">
        <v>31</v>
      </c>
      <c r="H167" s="113"/>
      <c r="I167" s="113"/>
      <c r="J167" s="105">
        <v>2.0</v>
      </c>
      <c r="K167" s="105"/>
      <c r="L167" s="104" t="s">
        <v>260</v>
      </c>
      <c r="M167" s="104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9"/>
      <c r="B168" s="106">
        <v>46064.0</v>
      </c>
      <c r="C168" s="101" t="s">
        <v>18</v>
      </c>
      <c r="D168" s="101" t="s">
        <v>17</v>
      </c>
      <c r="E168" s="101" t="s">
        <v>99</v>
      </c>
      <c r="F168" s="101" t="s">
        <v>207</v>
      </c>
      <c r="G168" s="101" t="s">
        <v>63</v>
      </c>
      <c r="H168" s="101"/>
      <c r="I168" s="101"/>
      <c r="J168" s="102">
        <v>3.5</v>
      </c>
      <c r="K168" s="102"/>
      <c r="L168" s="101" t="s">
        <v>261</v>
      </c>
      <c r="M168" s="101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9"/>
      <c r="B169" s="103">
        <v>46064.0</v>
      </c>
      <c r="C169" s="104" t="s">
        <v>18</v>
      </c>
      <c r="D169" s="104" t="s">
        <v>49</v>
      </c>
      <c r="E169" s="104" t="s">
        <v>11</v>
      </c>
      <c r="F169" s="104" t="s">
        <v>20</v>
      </c>
      <c r="G169" s="104" t="s">
        <v>30</v>
      </c>
      <c r="H169" s="104"/>
      <c r="I169" s="104"/>
      <c r="J169" s="105">
        <v>3.5</v>
      </c>
      <c r="K169" s="105"/>
      <c r="L169" s="104" t="s">
        <v>262</v>
      </c>
      <c r="M169" s="104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9"/>
      <c r="B170" s="106">
        <v>46064.0</v>
      </c>
      <c r="C170" s="101" t="s">
        <v>18</v>
      </c>
      <c r="D170" s="101" t="s">
        <v>49</v>
      </c>
      <c r="E170" s="101" t="s">
        <v>11</v>
      </c>
      <c r="F170" s="101" t="s">
        <v>20</v>
      </c>
      <c r="G170" s="115" t="s">
        <v>35</v>
      </c>
      <c r="H170" s="114"/>
      <c r="I170" s="114"/>
      <c r="J170" s="102">
        <v>1.0</v>
      </c>
      <c r="K170" s="102"/>
      <c r="L170" s="101" t="s">
        <v>237</v>
      </c>
      <c r="M170" s="101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9"/>
      <c r="B171" s="103">
        <v>46065.0</v>
      </c>
      <c r="C171" s="104" t="s">
        <v>10</v>
      </c>
      <c r="D171" s="104" t="s">
        <v>56</v>
      </c>
      <c r="E171" s="104" t="s">
        <v>65</v>
      </c>
      <c r="F171" s="104" t="s">
        <v>24</v>
      </c>
      <c r="G171" s="111" t="s">
        <v>31</v>
      </c>
      <c r="H171" s="113"/>
      <c r="I171" s="113"/>
      <c r="J171" s="105">
        <v>5.5</v>
      </c>
      <c r="K171" s="105"/>
      <c r="L171" s="104" t="s">
        <v>260</v>
      </c>
      <c r="M171" s="104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9"/>
      <c r="B172" s="106">
        <v>46065.0</v>
      </c>
      <c r="C172" s="101" t="s">
        <v>18</v>
      </c>
      <c r="D172" s="101" t="s">
        <v>49</v>
      </c>
      <c r="E172" s="101" t="s">
        <v>11</v>
      </c>
      <c r="F172" s="101" t="s">
        <v>20</v>
      </c>
      <c r="G172" s="115" t="s">
        <v>35</v>
      </c>
      <c r="H172" s="114"/>
      <c r="I172" s="114"/>
      <c r="J172" s="102">
        <v>2.0</v>
      </c>
      <c r="K172" s="102"/>
      <c r="L172" s="101" t="s">
        <v>263</v>
      </c>
      <c r="M172" s="101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9"/>
      <c r="B173" s="103">
        <v>46065.0</v>
      </c>
      <c r="C173" s="104" t="s">
        <v>18</v>
      </c>
      <c r="D173" s="104" t="s">
        <v>133</v>
      </c>
      <c r="E173" s="104" t="s">
        <v>11</v>
      </c>
      <c r="F173" s="104" t="s">
        <v>24</v>
      </c>
      <c r="G173" s="104" t="s">
        <v>25</v>
      </c>
      <c r="H173" s="104"/>
      <c r="I173" s="104"/>
      <c r="J173" s="105">
        <v>4.0</v>
      </c>
      <c r="K173" s="105"/>
      <c r="L173" s="104" t="s">
        <v>264</v>
      </c>
      <c r="M173" s="104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9"/>
      <c r="B174" s="106">
        <v>46065.0</v>
      </c>
      <c r="C174" s="101" t="s">
        <v>18</v>
      </c>
      <c r="D174" s="101" t="s">
        <v>133</v>
      </c>
      <c r="E174" s="101" t="s">
        <v>69</v>
      </c>
      <c r="F174" s="101" t="s">
        <v>20</v>
      </c>
      <c r="G174" s="101" t="s">
        <v>22</v>
      </c>
      <c r="H174" s="101"/>
      <c r="I174" s="101"/>
      <c r="J174" s="102">
        <v>1.5</v>
      </c>
      <c r="K174" s="102"/>
      <c r="L174" s="101"/>
      <c r="M174" s="101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9"/>
      <c r="B175" s="103">
        <v>46065.0</v>
      </c>
      <c r="C175" s="104" t="s">
        <v>18</v>
      </c>
      <c r="D175" s="104" t="s">
        <v>71</v>
      </c>
      <c r="E175" s="104" t="s">
        <v>80</v>
      </c>
      <c r="F175" s="104" t="s">
        <v>20</v>
      </c>
      <c r="G175" s="111" t="s">
        <v>47</v>
      </c>
      <c r="H175" s="104"/>
      <c r="I175" s="104"/>
      <c r="J175" s="105">
        <v>0.25</v>
      </c>
      <c r="K175" s="105"/>
      <c r="L175" s="104" t="s">
        <v>265</v>
      </c>
      <c r="M175" s="104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9"/>
      <c r="B176" s="106">
        <v>46065.0</v>
      </c>
      <c r="C176" s="101" t="s">
        <v>18</v>
      </c>
      <c r="D176" s="101" t="s">
        <v>17</v>
      </c>
      <c r="E176" s="108" t="s">
        <v>96</v>
      </c>
      <c r="F176" s="101" t="s">
        <v>54</v>
      </c>
      <c r="G176" s="101" t="s">
        <v>54</v>
      </c>
      <c r="H176" s="101"/>
      <c r="I176" s="101"/>
      <c r="J176" s="102">
        <v>0.25</v>
      </c>
      <c r="K176" s="102"/>
      <c r="L176" s="101" t="s">
        <v>266</v>
      </c>
      <c r="M176" s="101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9"/>
      <c r="B177" s="103">
        <v>46066.0</v>
      </c>
      <c r="C177" s="104" t="s">
        <v>10</v>
      </c>
      <c r="D177" s="104" t="s">
        <v>56</v>
      </c>
      <c r="E177" s="104" t="s">
        <v>65</v>
      </c>
      <c r="F177" s="104" t="s">
        <v>24</v>
      </c>
      <c r="G177" s="111" t="s">
        <v>31</v>
      </c>
      <c r="H177" s="113"/>
      <c r="I177" s="113"/>
      <c r="J177" s="105">
        <v>5.5</v>
      </c>
      <c r="K177" s="105"/>
      <c r="L177" s="104" t="s">
        <v>260</v>
      </c>
      <c r="M177" s="104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9"/>
      <c r="B178" s="106">
        <v>46066.0</v>
      </c>
      <c r="C178" s="101" t="s">
        <v>18</v>
      </c>
      <c r="D178" s="101" t="s">
        <v>133</v>
      </c>
      <c r="E178" s="101" t="s">
        <v>69</v>
      </c>
      <c r="F178" s="101" t="s">
        <v>20</v>
      </c>
      <c r="G178" s="101" t="s">
        <v>22</v>
      </c>
      <c r="H178" s="101"/>
      <c r="I178" s="101"/>
      <c r="J178" s="102">
        <v>8.0</v>
      </c>
      <c r="K178" s="102"/>
      <c r="L178" s="101" t="s">
        <v>22</v>
      </c>
      <c r="M178" s="101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9"/>
      <c r="B179" s="103">
        <v>46069.0</v>
      </c>
      <c r="C179" s="104" t="s">
        <v>10</v>
      </c>
      <c r="D179" s="104" t="s">
        <v>56</v>
      </c>
      <c r="E179" s="104" t="s">
        <v>65</v>
      </c>
      <c r="F179" s="104" t="s">
        <v>24</v>
      </c>
      <c r="G179" s="111" t="s">
        <v>31</v>
      </c>
      <c r="H179" s="113"/>
      <c r="I179" s="113"/>
      <c r="J179" s="116">
        <v>7.5</v>
      </c>
      <c r="K179" s="105"/>
      <c r="L179" s="104" t="s">
        <v>260</v>
      </c>
      <c r="M179" s="104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9"/>
      <c r="B180" s="106">
        <v>46069.0</v>
      </c>
      <c r="C180" s="101" t="s">
        <v>10</v>
      </c>
      <c r="D180" s="101" t="s">
        <v>17</v>
      </c>
      <c r="E180" s="108" t="s">
        <v>96</v>
      </c>
      <c r="F180" s="101" t="s">
        <v>54</v>
      </c>
      <c r="G180" s="101" t="s">
        <v>54</v>
      </c>
      <c r="H180" s="101"/>
      <c r="I180" s="101"/>
      <c r="J180" s="102">
        <v>0.5</v>
      </c>
      <c r="K180" s="102"/>
      <c r="L180" s="101" t="s">
        <v>266</v>
      </c>
      <c r="M180" s="101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9"/>
      <c r="B181" s="103">
        <v>46069.0</v>
      </c>
      <c r="C181" s="104" t="s">
        <v>18</v>
      </c>
      <c r="D181" s="104" t="s">
        <v>133</v>
      </c>
      <c r="E181" s="104" t="s">
        <v>69</v>
      </c>
      <c r="F181" s="104" t="s">
        <v>24</v>
      </c>
      <c r="G181" s="104" t="s">
        <v>25</v>
      </c>
      <c r="H181" s="104"/>
      <c r="I181" s="104"/>
      <c r="J181" s="105">
        <v>5.5</v>
      </c>
      <c r="K181" s="105"/>
      <c r="L181" s="104" t="s">
        <v>267</v>
      </c>
      <c r="M181" s="104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9"/>
      <c r="B182" s="106">
        <v>46069.0</v>
      </c>
      <c r="C182" s="101" t="s">
        <v>18</v>
      </c>
      <c r="D182" s="101" t="s">
        <v>133</v>
      </c>
      <c r="E182" s="101" t="s">
        <v>69</v>
      </c>
      <c r="F182" s="101" t="s">
        <v>20</v>
      </c>
      <c r="G182" s="101" t="s">
        <v>22</v>
      </c>
      <c r="H182" s="101"/>
      <c r="I182" s="101"/>
      <c r="J182" s="102">
        <v>2.0</v>
      </c>
      <c r="K182" s="102"/>
      <c r="L182" s="101" t="s">
        <v>268</v>
      </c>
      <c r="M182" s="101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9"/>
      <c r="B183" s="103">
        <v>46069.0</v>
      </c>
      <c r="C183" s="104" t="s">
        <v>18</v>
      </c>
      <c r="D183" s="104" t="s">
        <v>133</v>
      </c>
      <c r="E183" s="104" t="s">
        <v>39</v>
      </c>
      <c r="F183" s="104" t="s">
        <v>20</v>
      </c>
      <c r="G183" s="104" t="s">
        <v>22</v>
      </c>
      <c r="H183" s="104"/>
      <c r="I183" s="104"/>
      <c r="J183" s="105">
        <v>0.3</v>
      </c>
      <c r="K183" s="105"/>
      <c r="L183" s="104" t="s">
        <v>269</v>
      </c>
      <c r="M183" s="104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9"/>
      <c r="B184" s="106">
        <v>46069.0</v>
      </c>
      <c r="C184" s="101" t="s">
        <v>18</v>
      </c>
      <c r="D184" s="101" t="s">
        <v>17</v>
      </c>
      <c r="E184" s="108" t="s">
        <v>96</v>
      </c>
      <c r="F184" s="101" t="s">
        <v>54</v>
      </c>
      <c r="G184" s="101" t="s">
        <v>54</v>
      </c>
      <c r="H184" s="101"/>
      <c r="I184" s="101"/>
      <c r="J184" s="102">
        <v>0.2</v>
      </c>
      <c r="K184" s="102"/>
      <c r="L184" s="101" t="s">
        <v>266</v>
      </c>
      <c r="M184" s="101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9"/>
      <c r="B185" s="110">
        <v>46069.0</v>
      </c>
      <c r="C185" s="111" t="s">
        <v>38</v>
      </c>
      <c r="D185" s="111" t="s">
        <v>74</v>
      </c>
      <c r="E185" s="111" t="s">
        <v>121</v>
      </c>
      <c r="F185" s="111" t="s">
        <v>13</v>
      </c>
      <c r="G185" s="104" t="s">
        <v>13</v>
      </c>
      <c r="H185" s="104"/>
      <c r="I185" s="104"/>
      <c r="J185" s="112">
        <f>5/60</f>
        <v>0.08333333333</v>
      </c>
      <c r="K185" s="112"/>
      <c r="L185" s="111" t="s">
        <v>204</v>
      </c>
      <c r="M185" s="111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9"/>
      <c r="B186" s="106">
        <v>46070.0</v>
      </c>
      <c r="C186" s="101" t="s">
        <v>10</v>
      </c>
      <c r="D186" s="101" t="s">
        <v>133</v>
      </c>
      <c r="E186" s="101" t="s">
        <v>11</v>
      </c>
      <c r="F186" s="101" t="s">
        <v>24</v>
      </c>
      <c r="G186" s="108" t="s">
        <v>31</v>
      </c>
      <c r="H186" s="114"/>
      <c r="I186" s="114"/>
      <c r="J186" s="102">
        <v>3.0</v>
      </c>
      <c r="K186" s="102"/>
      <c r="L186" s="108" t="s">
        <v>206</v>
      </c>
      <c r="M186" s="101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9"/>
      <c r="B187" s="103">
        <v>46070.0</v>
      </c>
      <c r="C187" s="104" t="s">
        <v>10</v>
      </c>
      <c r="D187" s="104" t="s">
        <v>76</v>
      </c>
      <c r="E187" s="104" t="s">
        <v>28</v>
      </c>
      <c r="F187" s="104" t="s">
        <v>20</v>
      </c>
      <c r="G187" s="104" t="s">
        <v>22</v>
      </c>
      <c r="H187" s="104"/>
      <c r="I187" s="104"/>
      <c r="J187" s="105">
        <v>2.0</v>
      </c>
      <c r="K187" s="105"/>
      <c r="L187" s="104" t="s">
        <v>270</v>
      </c>
      <c r="M187" s="104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9"/>
      <c r="B188" s="106">
        <v>46070.0</v>
      </c>
      <c r="C188" s="101" t="s">
        <v>10</v>
      </c>
      <c r="D188" s="101" t="s">
        <v>17</v>
      </c>
      <c r="E188" s="108" t="s">
        <v>96</v>
      </c>
      <c r="F188" s="101" t="s">
        <v>59</v>
      </c>
      <c r="G188" s="108" t="s">
        <v>57</v>
      </c>
      <c r="H188" s="101"/>
      <c r="I188" s="101"/>
      <c r="J188" s="102">
        <v>0.5</v>
      </c>
      <c r="K188" s="102"/>
      <c r="L188" s="101" t="s">
        <v>271</v>
      </c>
      <c r="M188" s="101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9"/>
      <c r="B189" s="103">
        <v>46070.0</v>
      </c>
      <c r="C189" s="104" t="s">
        <v>18</v>
      </c>
      <c r="D189" s="104" t="s">
        <v>133</v>
      </c>
      <c r="E189" s="104" t="s">
        <v>69</v>
      </c>
      <c r="F189" s="104" t="s">
        <v>24</v>
      </c>
      <c r="G189" s="104" t="s">
        <v>25</v>
      </c>
      <c r="H189" s="104"/>
      <c r="I189" s="104"/>
      <c r="J189" s="105">
        <v>3.5</v>
      </c>
      <c r="K189" s="105"/>
      <c r="L189" s="104" t="s">
        <v>272</v>
      </c>
      <c r="M189" s="104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9"/>
      <c r="B190" s="106">
        <v>46070.0</v>
      </c>
      <c r="C190" s="101" t="s">
        <v>18</v>
      </c>
      <c r="D190" s="101" t="s">
        <v>133</v>
      </c>
      <c r="E190" s="101" t="s">
        <v>69</v>
      </c>
      <c r="F190" s="101" t="s">
        <v>20</v>
      </c>
      <c r="G190" s="108" t="s">
        <v>30</v>
      </c>
      <c r="H190" s="114"/>
      <c r="I190" s="114"/>
      <c r="J190" s="102">
        <v>1.0</v>
      </c>
      <c r="K190" s="102"/>
      <c r="L190" s="101" t="s">
        <v>273</v>
      </c>
      <c r="M190" s="101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9"/>
      <c r="B191" s="103">
        <v>46070.0</v>
      </c>
      <c r="C191" s="104" t="s">
        <v>18</v>
      </c>
      <c r="D191" s="104" t="s">
        <v>76</v>
      </c>
      <c r="E191" s="104" t="s">
        <v>28</v>
      </c>
      <c r="F191" s="104" t="s">
        <v>20</v>
      </c>
      <c r="G191" s="104" t="s">
        <v>22</v>
      </c>
      <c r="H191" s="104"/>
      <c r="I191" s="104"/>
      <c r="J191" s="105">
        <v>3.5</v>
      </c>
      <c r="K191" s="105"/>
      <c r="L191" s="104" t="s">
        <v>270</v>
      </c>
      <c r="M191" s="104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9"/>
      <c r="B192" s="100">
        <v>46070.0</v>
      </c>
      <c r="C192" s="108" t="s">
        <v>38</v>
      </c>
      <c r="D192" s="108" t="s">
        <v>76</v>
      </c>
      <c r="E192" s="108" t="s">
        <v>28</v>
      </c>
      <c r="F192" s="108" t="s">
        <v>13</v>
      </c>
      <c r="G192" s="101" t="s">
        <v>13</v>
      </c>
      <c r="H192" s="101"/>
      <c r="I192" s="101"/>
      <c r="J192" s="109">
        <f>(30/60)+(20/60)+(1.45)+(3+(40/60))</f>
        <v>5.95</v>
      </c>
      <c r="K192" s="109"/>
      <c r="L192" s="108" t="s">
        <v>204</v>
      </c>
      <c r="M192" s="108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9"/>
      <c r="B193" s="103">
        <v>46070.0</v>
      </c>
      <c r="C193" s="111" t="s">
        <v>33</v>
      </c>
      <c r="D193" s="111" t="s">
        <v>74</v>
      </c>
      <c r="E193" s="111" t="s">
        <v>121</v>
      </c>
      <c r="F193" s="111" t="s">
        <v>20</v>
      </c>
      <c r="G193" s="111" t="s">
        <v>22</v>
      </c>
      <c r="H193" s="113"/>
      <c r="I193" s="113"/>
      <c r="J193" s="112">
        <v>8.0</v>
      </c>
      <c r="K193" s="105"/>
      <c r="L193" s="111" t="s">
        <v>274</v>
      </c>
      <c r="M193" s="104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9"/>
      <c r="B194" s="100">
        <v>46071.0</v>
      </c>
      <c r="C194" s="101" t="s">
        <v>10</v>
      </c>
      <c r="D194" s="108" t="s">
        <v>76</v>
      </c>
      <c r="E194" s="108" t="s">
        <v>28</v>
      </c>
      <c r="F194" s="108" t="s">
        <v>20</v>
      </c>
      <c r="G194" s="108" t="s">
        <v>22</v>
      </c>
      <c r="H194" s="114"/>
      <c r="I194" s="114"/>
      <c r="J194" s="109">
        <v>6.0</v>
      </c>
      <c r="K194" s="102"/>
      <c r="L194" s="108" t="s">
        <v>268</v>
      </c>
      <c r="M194" s="101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9"/>
      <c r="B195" s="110">
        <v>46071.0</v>
      </c>
      <c r="C195" s="104" t="s">
        <v>10</v>
      </c>
      <c r="D195" s="111" t="s">
        <v>76</v>
      </c>
      <c r="E195" s="111" t="s">
        <v>28</v>
      </c>
      <c r="F195" s="111" t="s">
        <v>24</v>
      </c>
      <c r="G195" s="111" t="s">
        <v>25</v>
      </c>
      <c r="H195" s="113"/>
      <c r="I195" s="113"/>
      <c r="J195" s="112">
        <v>0.5</v>
      </c>
      <c r="K195" s="105"/>
      <c r="L195" s="111" t="s">
        <v>275</v>
      </c>
      <c r="M195" s="104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9"/>
      <c r="B196" s="117">
        <v>46071.0</v>
      </c>
      <c r="C196" s="118" t="s">
        <v>10</v>
      </c>
      <c r="D196" s="119" t="s">
        <v>76</v>
      </c>
      <c r="E196" s="115" t="s">
        <v>34</v>
      </c>
      <c r="F196" s="115" t="s">
        <v>20</v>
      </c>
      <c r="G196" s="115" t="s">
        <v>22</v>
      </c>
      <c r="H196" s="120"/>
      <c r="I196" s="120"/>
      <c r="J196" s="109">
        <v>1.5</v>
      </c>
      <c r="K196" s="109">
        <v>2.0</v>
      </c>
      <c r="L196" s="108" t="s">
        <v>268</v>
      </c>
      <c r="M196" s="108" t="s">
        <v>276</v>
      </c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9"/>
      <c r="B197" s="121">
        <v>46071.0</v>
      </c>
      <c r="C197" s="107" t="s">
        <v>18</v>
      </c>
      <c r="D197" s="122" t="s">
        <v>76</v>
      </c>
      <c r="E197" s="107" t="s">
        <v>28</v>
      </c>
      <c r="F197" s="107" t="s">
        <v>20</v>
      </c>
      <c r="G197" s="107" t="s">
        <v>22</v>
      </c>
      <c r="H197" s="123"/>
      <c r="I197" s="123"/>
      <c r="J197" s="112">
        <v>6.5</v>
      </c>
      <c r="K197" s="105"/>
      <c r="L197" s="111" t="s">
        <v>268</v>
      </c>
      <c r="M197" s="104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9"/>
      <c r="B198" s="117">
        <v>46071.0</v>
      </c>
      <c r="C198" s="115" t="s">
        <v>18</v>
      </c>
      <c r="D198" s="119" t="s">
        <v>76</v>
      </c>
      <c r="E198" s="115" t="s">
        <v>34</v>
      </c>
      <c r="F198" s="115" t="s">
        <v>20</v>
      </c>
      <c r="G198" s="115" t="s">
        <v>22</v>
      </c>
      <c r="H198" s="120"/>
      <c r="I198" s="120"/>
      <c r="J198" s="109">
        <v>1.5</v>
      </c>
      <c r="K198" s="109">
        <v>2.0</v>
      </c>
      <c r="L198" s="108" t="s">
        <v>268</v>
      </c>
      <c r="M198" s="108" t="s">
        <v>276</v>
      </c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9"/>
      <c r="B199" s="110">
        <v>46071.0</v>
      </c>
      <c r="C199" s="111" t="s">
        <v>38</v>
      </c>
      <c r="D199" s="111" t="s">
        <v>76</v>
      </c>
      <c r="E199" s="111" t="s">
        <v>28</v>
      </c>
      <c r="F199" s="111" t="s">
        <v>13</v>
      </c>
      <c r="G199" s="104" t="s">
        <v>13</v>
      </c>
      <c r="H199" s="104"/>
      <c r="I199" s="104"/>
      <c r="J199" s="112">
        <f>21/60</f>
        <v>0.35</v>
      </c>
      <c r="K199" s="112"/>
      <c r="L199" s="111" t="s">
        <v>204</v>
      </c>
      <c r="M199" s="111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9"/>
      <c r="B200" s="100">
        <v>46071.0</v>
      </c>
      <c r="C200" s="108" t="s">
        <v>38</v>
      </c>
      <c r="D200" s="108" t="s">
        <v>76</v>
      </c>
      <c r="E200" s="108" t="s">
        <v>34</v>
      </c>
      <c r="F200" s="108" t="s">
        <v>13</v>
      </c>
      <c r="G200" s="101" t="s">
        <v>13</v>
      </c>
      <c r="H200" s="101"/>
      <c r="I200" s="101"/>
      <c r="J200" s="109">
        <v>3.59</v>
      </c>
      <c r="K200" s="109"/>
      <c r="L200" s="108" t="s">
        <v>204</v>
      </c>
      <c r="M200" s="108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9"/>
      <c r="B201" s="110">
        <v>46071.0</v>
      </c>
      <c r="C201" s="111" t="s">
        <v>38</v>
      </c>
      <c r="D201" s="111" t="s">
        <v>76</v>
      </c>
      <c r="E201" s="111" t="s">
        <v>34</v>
      </c>
      <c r="F201" s="111" t="s">
        <v>13</v>
      </c>
      <c r="G201" s="104" t="s">
        <v>13</v>
      </c>
      <c r="H201" s="104"/>
      <c r="I201" s="104"/>
      <c r="J201" s="112">
        <v>2.0</v>
      </c>
      <c r="K201" s="112"/>
      <c r="L201" s="111" t="s">
        <v>204</v>
      </c>
      <c r="M201" s="111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9"/>
      <c r="B202" s="106">
        <v>46071.0</v>
      </c>
      <c r="C202" s="108" t="s">
        <v>33</v>
      </c>
      <c r="D202" s="108" t="s">
        <v>76</v>
      </c>
      <c r="E202" s="101" t="s">
        <v>28</v>
      </c>
      <c r="F202" s="108" t="s">
        <v>24</v>
      </c>
      <c r="G202" s="108" t="s">
        <v>25</v>
      </c>
      <c r="H202" s="114"/>
      <c r="I202" s="114"/>
      <c r="J202" s="109">
        <v>4.0</v>
      </c>
      <c r="K202" s="102"/>
      <c r="L202" s="108" t="s">
        <v>277</v>
      </c>
      <c r="M202" s="101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9"/>
      <c r="B203" s="103">
        <v>46071.0</v>
      </c>
      <c r="C203" s="111" t="s">
        <v>33</v>
      </c>
      <c r="D203" s="111" t="s">
        <v>74</v>
      </c>
      <c r="E203" s="111" t="s">
        <v>121</v>
      </c>
      <c r="F203" s="104" t="s">
        <v>20</v>
      </c>
      <c r="G203" s="104" t="s">
        <v>22</v>
      </c>
      <c r="H203" s="104"/>
      <c r="I203" s="104"/>
      <c r="J203" s="112">
        <v>4.0</v>
      </c>
      <c r="K203" s="105"/>
      <c r="L203" s="111" t="s">
        <v>278</v>
      </c>
      <c r="M203" s="104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9"/>
      <c r="B204" s="124">
        <v>46072.0</v>
      </c>
      <c r="C204" s="115" t="s">
        <v>10</v>
      </c>
      <c r="D204" s="119" t="s">
        <v>76</v>
      </c>
      <c r="E204" s="115" t="s">
        <v>28</v>
      </c>
      <c r="F204" s="115" t="s">
        <v>24</v>
      </c>
      <c r="G204" s="115" t="s">
        <v>25</v>
      </c>
      <c r="H204" s="120"/>
      <c r="I204" s="120"/>
      <c r="J204" s="109">
        <v>1.0</v>
      </c>
      <c r="K204" s="109"/>
      <c r="L204" s="108" t="s">
        <v>279</v>
      </c>
      <c r="M204" s="108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9"/>
      <c r="B205" s="125">
        <v>46072.0</v>
      </c>
      <c r="C205" s="107" t="s">
        <v>10</v>
      </c>
      <c r="D205" s="107" t="s">
        <v>133</v>
      </c>
      <c r="E205" s="107" t="s">
        <v>69</v>
      </c>
      <c r="F205" s="107" t="s">
        <v>24</v>
      </c>
      <c r="G205" s="107" t="s">
        <v>31</v>
      </c>
      <c r="H205" s="123"/>
      <c r="I205" s="123"/>
      <c r="J205" s="112">
        <v>2.0</v>
      </c>
      <c r="K205" s="112"/>
      <c r="L205" s="111" t="s">
        <v>206</v>
      </c>
      <c r="M205" s="111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9"/>
      <c r="B206" s="124">
        <v>46072.0</v>
      </c>
      <c r="C206" s="115" t="s">
        <v>10</v>
      </c>
      <c r="D206" s="119" t="s">
        <v>76</v>
      </c>
      <c r="E206" s="115" t="s">
        <v>28</v>
      </c>
      <c r="F206" s="115" t="s">
        <v>24</v>
      </c>
      <c r="G206" s="115" t="s">
        <v>31</v>
      </c>
      <c r="H206" s="120"/>
      <c r="I206" s="120"/>
      <c r="J206" s="109">
        <v>3.0</v>
      </c>
      <c r="K206" s="109"/>
      <c r="L206" s="108" t="s">
        <v>206</v>
      </c>
      <c r="M206" s="108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9"/>
      <c r="B207" s="125">
        <v>46072.0</v>
      </c>
      <c r="C207" s="107" t="s">
        <v>10</v>
      </c>
      <c r="D207" s="107" t="s">
        <v>17</v>
      </c>
      <c r="E207" s="107" t="s">
        <v>96</v>
      </c>
      <c r="F207" s="107" t="s">
        <v>20</v>
      </c>
      <c r="G207" s="111" t="s">
        <v>57</v>
      </c>
      <c r="H207" s="123"/>
      <c r="I207" s="123"/>
      <c r="J207" s="112">
        <v>0.5</v>
      </c>
      <c r="K207" s="112"/>
      <c r="L207" s="111" t="s">
        <v>280</v>
      </c>
      <c r="M207" s="111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9"/>
      <c r="B208" s="124">
        <v>46072.0</v>
      </c>
      <c r="C208" s="115" t="s">
        <v>10</v>
      </c>
      <c r="D208" s="115" t="s">
        <v>17</v>
      </c>
      <c r="E208" s="115" t="s">
        <v>96</v>
      </c>
      <c r="F208" s="115" t="s">
        <v>54</v>
      </c>
      <c r="G208" s="115" t="s">
        <v>54</v>
      </c>
      <c r="H208" s="120"/>
      <c r="I208" s="120"/>
      <c r="J208" s="109">
        <v>1.0</v>
      </c>
      <c r="K208" s="109"/>
      <c r="L208" s="108" t="s">
        <v>281</v>
      </c>
      <c r="M208" s="108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9"/>
      <c r="B209" s="125">
        <v>46072.0</v>
      </c>
      <c r="C209" s="107" t="s">
        <v>10</v>
      </c>
      <c r="D209" s="122" t="s">
        <v>76</v>
      </c>
      <c r="E209" s="107" t="s">
        <v>34</v>
      </c>
      <c r="F209" s="107" t="s">
        <v>24</v>
      </c>
      <c r="G209" s="107" t="s">
        <v>31</v>
      </c>
      <c r="H209" s="123"/>
      <c r="I209" s="123"/>
      <c r="J209" s="112">
        <v>0.5</v>
      </c>
      <c r="K209" s="112">
        <v>2.0</v>
      </c>
      <c r="L209" s="111" t="s">
        <v>206</v>
      </c>
      <c r="M209" s="111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9"/>
      <c r="B210" s="124">
        <v>46072.0</v>
      </c>
      <c r="C210" s="115" t="s">
        <v>18</v>
      </c>
      <c r="D210" s="119" t="s">
        <v>76</v>
      </c>
      <c r="E210" s="115" t="s">
        <v>34</v>
      </c>
      <c r="F210" s="115" t="s">
        <v>20</v>
      </c>
      <c r="G210" s="115" t="s">
        <v>22</v>
      </c>
      <c r="H210" s="120"/>
      <c r="I210" s="120"/>
      <c r="J210" s="109">
        <v>3.5</v>
      </c>
      <c r="K210" s="109">
        <v>2.0</v>
      </c>
      <c r="L210" s="108" t="s">
        <v>268</v>
      </c>
      <c r="M210" s="108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9"/>
      <c r="B211" s="125">
        <v>46072.0</v>
      </c>
      <c r="C211" s="107" t="s">
        <v>18</v>
      </c>
      <c r="D211" s="107" t="s">
        <v>79</v>
      </c>
      <c r="E211" s="107" t="s">
        <v>128</v>
      </c>
      <c r="F211" s="107" t="s">
        <v>20</v>
      </c>
      <c r="G211" s="107" t="s">
        <v>22</v>
      </c>
      <c r="H211" s="123"/>
      <c r="I211" s="123"/>
      <c r="J211" s="112">
        <f>4.5*0.25</f>
        <v>1.125</v>
      </c>
      <c r="K211" s="112"/>
      <c r="L211" s="111" t="s">
        <v>282</v>
      </c>
      <c r="M211" s="111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9"/>
      <c r="B212" s="124">
        <v>46072.0</v>
      </c>
      <c r="C212" s="115" t="s">
        <v>18</v>
      </c>
      <c r="D212" s="115" t="s">
        <v>82</v>
      </c>
      <c r="E212" s="115" t="s">
        <v>128</v>
      </c>
      <c r="F212" s="115" t="s">
        <v>20</v>
      </c>
      <c r="G212" s="115" t="s">
        <v>22</v>
      </c>
      <c r="H212" s="120"/>
      <c r="I212" s="120"/>
      <c r="J212" s="109">
        <f>4.5*0.75</f>
        <v>3.375</v>
      </c>
      <c r="K212" s="109"/>
      <c r="L212" s="108" t="s">
        <v>282</v>
      </c>
      <c r="M212" s="108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9"/>
      <c r="B213" s="110">
        <v>46072.0</v>
      </c>
      <c r="C213" s="111" t="s">
        <v>38</v>
      </c>
      <c r="D213" s="111" t="s">
        <v>133</v>
      </c>
      <c r="E213" s="111" t="s">
        <v>39</v>
      </c>
      <c r="F213" s="111" t="s">
        <v>13</v>
      </c>
      <c r="G213" s="104" t="s">
        <v>13</v>
      </c>
      <c r="H213" s="104"/>
      <c r="I213" s="104"/>
      <c r="J213" s="112">
        <f>(17.5/60)*6</f>
        <v>1.75</v>
      </c>
      <c r="K213" s="112"/>
      <c r="L213" s="111" t="s">
        <v>204</v>
      </c>
      <c r="M213" s="111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9"/>
      <c r="B214" s="100">
        <v>46072.0</v>
      </c>
      <c r="C214" s="108" t="s">
        <v>38</v>
      </c>
      <c r="D214" s="108" t="s">
        <v>133</v>
      </c>
      <c r="E214" s="108" t="s">
        <v>39</v>
      </c>
      <c r="F214" s="108" t="s">
        <v>13</v>
      </c>
      <c r="G214" s="101" t="s">
        <v>13</v>
      </c>
      <c r="H214" s="101"/>
      <c r="I214" s="101"/>
      <c r="J214" s="109">
        <f>(3.5/60)*6</f>
        <v>0.35</v>
      </c>
      <c r="K214" s="109"/>
      <c r="L214" s="108" t="s">
        <v>204</v>
      </c>
      <c r="M214" s="108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9"/>
      <c r="B215" s="125">
        <v>46072.0</v>
      </c>
      <c r="C215" s="107" t="s">
        <v>27</v>
      </c>
      <c r="D215" s="122" t="s">
        <v>76</v>
      </c>
      <c r="E215" s="107" t="s">
        <v>28</v>
      </c>
      <c r="F215" s="107" t="s">
        <v>24</v>
      </c>
      <c r="G215" s="107" t="s">
        <v>25</v>
      </c>
      <c r="H215" s="123"/>
      <c r="I215" s="123"/>
      <c r="J215" s="112">
        <v>7.0</v>
      </c>
      <c r="K215" s="112"/>
      <c r="L215" s="111" t="s">
        <v>279</v>
      </c>
      <c r="M215" s="111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9"/>
      <c r="B216" s="124">
        <v>46072.0</v>
      </c>
      <c r="C216" s="115" t="s">
        <v>27</v>
      </c>
      <c r="D216" s="119" t="s">
        <v>76</v>
      </c>
      <c r="E216" s="115" t="s">
        <v>34</v>
      </c>
      <c r="F216" s="115" t="s">
        <v>24</v>
      </c>
      <c r="G216" s="115" t="s">
        <v>25</v>
      </c>
      <c r="H216" s="120"/>
      <c r="I216" s="120"/>
      <c r="J216" s="109">
        <v>1.0</v>
      </c>
      <c r="K216" s="109"/>
      <c r="L216" s="108" t="s">
        <v>279</v>
      </c>
      <c r="M216" s="108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9"/>
      <c r="B217" s="125">
        <v>46072.0</v>
      </c>
      <c r="C217" s="107" t="s">
        <v>27</v>
      </c>
      <c r="D217" s="107" t="s">
        <v>133</v>
      </c>
      <c r="E217" s="107" t="s">
        <v>39</v>
      </c>
      <c r="F217" s="107" t="s">
        <v>20</v>
      </c>
      <c r="G217" s="107" t="s">
        <v>22</v>
      </c>
      <c r="H217" s="123"/>
      <c r="I217" s="123"/>
      <c r="J217" s="112">
        <v>0.0</v>
      </c>
      <c r="K217" s="112">
        <v>2.0</v>
      </c>
      <c r="L217" s="111" t="s">
        <v>283</v>
      </c>
      <c r="M217" s="111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9"/>
      <c r="B218" s="124">
        <v>46073.0</v>
      </c>
      <c r="C218" s="115" t="s">
        <v>10</v>
      </c>
      <c r="D218" s="115" t="s">
        <v>76</v>
      </c>
      <c r="E218" s="115" t="s">
        <v>28</v>
      </c>
      <c r="F218" s="115" t="s">
        <v>24</v>
      </c>
      <c r="G218" s="115" t="s">
        <v>31</v>
      </c>
      <c r="H218" s="120"/>
      <c r="I218" s="120"/>
      <c r="J218" s="109">
        <v>5.0</v>
      </c>
      <c r="K218" s="109"/>
      <c r="L218" s="108" t="s">
        <v>24</v>
      </c>
      <c r="M218" s="108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9"/>
      <c r="B219" s="125">
        <v>46073.0</v>
      </c>
      <c r="C219" s="107" t="s">
        <v>10</v>
      </c>
      <c r="D219" s="107" t="s">
        <v>76</v>
      </c>
      <c r="E219" s="107" t="s">
        <v>34</v>
      </c>
      <c r="F219" s="107" t="s">
        <v>24</v>
      </c>
      <c r="G219" s="107" t="s">
        <v>31</v>
      </c>
      <c r="H219" s="123"/>
      <c r="I219" s="123"/>
      <c r="J219" s="112">
        <v>3.0</v>
      </c>
      <c r="K219" s="112"/>
      <c r="L219" s="111" t="s">
        <v>24</v>
      </c>
      <c r="M219" s="111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9"/>
      <c r="B220" s="124">
        <v>46073.0</v>
      </c>
      <c r="C220" s="115" t="s">
        <v>10</v>
      </c>
      <c r="D220" s="115" t="s">
        <v>76</v>
      </c>
      <c r="E220" s="115" t="s">
        <v>34</v>
      </c>
      <c r="F220" s="115" t="s">
        <v>24</v>
      </c>
      <c r="G220" s="115" t="s">
        <v>31</v>
      </c>
      <c r="H220" s="120"/>
      <c r="I220" s="120"/>
      <c r="J220" s="109"/>
      <c r="K220" s="109">
        <v>1.0</v>
      </c>
      <c r="L220" s="108" t="s">
        <v>24</v>
      </c>
      <c r="M220" s="108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9"/>
      <c r="B221" s="125">
        <v>46073.0</v>
      </c>
      <c r="C221" s="107" t="s">
        <v>10</v>
      </c>
      <c r="D221" s="107" t="s">
        <v>76</v>
      </c>
      <c r="E221" s="107" t="s">
        <v>34</v>
      </c>
      <c r="F221" s="107" t="s">
        <v>24</v>
      </c>
      <c r="G221" s="107" t="s">
        <v>25</v>
      </c>
      <c r="H221" s="123"/>
      <c r="I221" s="123"/>
      <c r="J221" s="112"/>
      <c r="K221" s="112">
        <v>1.0</v>
      </c>
      <c r="L221" s="111" t="s">
        <v>277</v>
      </c>
      <c r="M221" s="111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9"/>
      <c r="B222" s="124">
        <v>46073.0</v>
      </c>
      <c r="C222" s="115" t="s">
        <v>18</v>
      </c>
      <c r="D222" s="115" t="s">
        <v>76</v>
      </c>
      <c r="E222" s="115" t="s">
        <v>34</v>
      </c>
      <c r="F222" s="115" t="s">
        <v>24</v>
      </c>
      <c r="G222" s="115" t="s">
        <v>25</v>
      </c>
      <c r="H222" s="120"/>
      <c r="I222" s="120"/>
      <c r="J222" s="109">
        <v>3.5</v>
      </c>
      <c r="K222" s="109"/>
      <c r="L222" s="108" t="s">
        <v>284</v>
      </c>
      <c r="M222" s="108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9"/>
      <c r="B223" s="125">
        <v>46073.0</v>
      </c>
      <c r="C223" s="107" t="s">
        <v>18</v>
      </c>
      <c r="D223" s="107" t="s">
        <v>79</v>
      </c>
      <c r="E223" s="107" t="s">
        <v>128</v>
      </c>
      <c r="F223" s="107" t="s">
        <v>20</v>
      </c>
      <c r="G223" s="107" t="s">
        <v>22</v>
      </c>
      <c r="H223" s="123"/>
      <c r="I223" s="123"/>
      <c r="J223" s="112">
        <v>4.5</v>
      </c>
      <c r="K223" s="112"/>
      <c r="L223" s="111" t="s">
        <v>282</v>
      </c>
      <c r="M223" s="111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9"/>
      <c r="B224" s="124">
        <v>46073.0</v>
      </c>
      <c r="C224" s="115" t="s">
        <v>18</v>
      </c>
      <c r="D224" s="115" t="s">
        <v>82</v>
      </c>
      <c r="E224" s="115" t="s">
        <v>128</v>
      </c>
      <c r="F224" s="115" t="s">
        <v>20</v>
      </c>
      <c r="G224" s="115" t="s">
        <v>22</v>
      </c>
      <c r="H224" s="120"/>
      <c r="I224" s="120"/>
      <c r="J224" s="109"/>
      <c r="K224" s="109">
        <v>1.5</v>
      </c>
      <c r="L224" s="108" t="s">
        <v>282</v>
      </c>
      <c r="M224" s="108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9"/>
      <c r="B225" s="125">
        <v>46073.0</v>
      </c>
      <c r="C225" s="107" t="s">
        <v>18</v>
      </c>
      <c r="D225" s="107" t="s">
        <v>17</v>
      </c>
      <c r="E225" s="107" t="s">
        <v>96</v>
      </c>
      <c r="F225" s="107" t="s">
        <v>54</v>
      </c>
      <c r="G225" s="107" t="s">
        <v>54</v>
      </c>
      <c r="H225" s="123"/>
      <c r="I225" s="123"/>
      <c r="J225" s="112"/>
      <c r="K225" s="112">
        <v>0.5</v>
      </c>
      <c r="L225" s="111" t="s">
        <v>285</v>
      </c>
      <c r="M225" s="111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9"/>
      <c r="B226" s="100">
        <v>46073.0</v>
      </c>
      <c r="C226" s="108" t="s">
        <v>38</v>
      </c>
      <c r="D226" s="108" t="s">
        <v>76</v>
      </c>
      <c r="E226" s="108" t="s">
        <v>34</v>
      </c>
      <c r="F226" s="108" t="s">
        <v>13</v>
      </c>
      <c r="G226" s="101" t="s">
        <v>13</v>
      </c>
      <c r="H226" s="101"/>
      <c r="I226" s="101"/>
      <c r="J226" s="109">
        <v>7.0</v>
      </c>
      <c r="K226" s="109"/>
      <c r="L226" s="108" t="s">
        <v>204</v>
      </c>
      <c r="M226" s="108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9"/>
      <c r="B227" s="125">
        <v>46073.0</v>
      </c>
      <c r="C227" s="107" t="s">
        <v>27</v>
      </c>
      <c r="D227" s="107" t="s">
        <v>76</v>
      </c>
      <c r="E227" s="107" t="s">
        <v>28</v>
      </c>
      <c r="F227" s="107" t="s">
        <v>24</v>
      </c>
      <c r="G227" s="107" t="s">
        <v>25</v>
      </c>
      <c r="H227" s="123"/>
      <c r="I227" s="123"/>
      <c r="J227" s="112">
        <f>7*0.4425</f>
        <v>3.0975</v>
      </c>
      <c r="K227" s="112"/>
      <c r="L227" s="111" t="s">
        <v>284</v>
      </c>
      <c r="M227" s="111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9"/>
      <c r="B228" s="124">
        <v>46073.0</v>
      </c>
      <c r="C228" s="115" t="s">
        <v>27</v>
      </c>
      <c r="D228" s="115" t="s">
        <v>76</v>
      </c>
      <c r="E228" s="115" t="s">
        <v>34</v>
      </c>
      <c r="F228" s="115" t="s">
        <v>24</v>
      </c>
      <c r="G228" s="115" t="s">
        <v>25</v>
      </c>
      <c r="H228" s="120"/>
      <c r="I228" s="120"/>
      <c r="J228" s="109">
        <f>7*0.5575</f>
        <v>3.9025</v>
      </c>
      <c r="K228" s="109"/>
      <c r="L228" s="108" t="s">
        <v>284</v>
      </c>
      <c r="M228" s="108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9"/>
      <c r="B229" s="125">
        <v>46073.0</v>
      </c>
      <c r="C229" s="107" t="s">
        <v>27</v>
      </c>
      <c r="D229" s="107" t="s">
        <v>133</v>
      </c>
      <c r="E229" s="107" t="s">
        <v>39</v>
      </c>
      <c r="F229" s="107" t="s">
        <v>20</v>
      </c>
      <c r="G229" s="107" t="s">
        <v>22</v>
      </c>
      <c r="H229" s="123"/>
      <c r="I229" s="123"/>
      <c r="J229" s="112">
        <v>1.0</v>
      </c>
      <c r="K229" s="112">
        <v>2.0</v>
      </c>
      <c r="L229" s="111" t="s">
        <v>283</v>
      </c>
      <c r="M229" s="111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9"/>
      <c r="B230" s="100">
        <v>46076.0</v>
      </c>
      <c r="C230" s="108" t="s">
        <v>10</v>
      </c>
      <c r="D230" s="108" t="s">
        <v>76</v>
      </c>
      <c r="E230" s="108" t="s">
        <v>34</v>
      </c>
      <c r="F230" s="108" t="s">
        <v>20</v>
      </c>
      <c r="G230" s="108" t="s">
        <v>22</v>
      </c>
      <c r="H230" s="114"/>
      <c r="I230" s="114"/>
      <c r="J230" s="109">
        <v>5.5</v>
      </c>
      <c r="K230" s="109">
        <v>1.0</v>
      </c>
      <c r="L230" s="108" t="s">
        <v>286</v>
      </c>
      <c r="M230" s="108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9"/>
      <c r="B231" s="110">
        <v>46076.0</v>
      </c>
      <c r="C231" s="111" t="s">
        <v>10</v>
      </c>
      <c r="D231" s="111" t="s">
        <v>76</v>
      </c>
      <c r="E231" s="111" t="s">
        <v>28</v>
      </c>
      <c r="F231" s="111" t="s">
        <v>24</v>
      </c>
      <c r="G231" s="111" t="s">
        <v>25</v>
      </c>
      <c r="H231" s="113"/>
      <c r="I231" s="113"/>
      <c r="J231" s="112">
        <v>1.0</v>
      </c>
      <c r="K231" s="112"/>
      <c r="L231" s="111"/>
      <c r="M231" s="111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9"/>
      <c r="B232" s="100">
        <v>46076.0</v>
      </c>
      <c r="C232" s="108" t="s">
        <v>10</v>
      </c>
      <c r="D232" s="108" t="s">
        <v>76</v>
      </c>
      <c r="E232" s="108" t="s">
        <v>28</v>
      </c>
      <c r="F232" s="108" t="s">
        <v>24</v>
      </c>
      <c r="G232" s="108" t="s">
        <v>31</v>
      </c>
      <c r="H232" s="114"/>
      <c r="I232" s="114"/>
      <c r="J232" s="109">
        <v>1.0</v>
      </c>
      <c r="K232" s="109"/>
      <c r="L232" s="108" t="s">
        <v>24</v>
      </c>
      <c r="M232" s="108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9"/>
      <c r="B233" s="110">
        <v>46076.0</v>
      </c>
      <c r="C233" s="111" t="s">
        <v>10</v>
      </c>
      <c r="D233" s="111" t="s">
        <v>79</v>
      </c>
      <c r="E233" s="111" t="s">
        <v>128</v>
      </c>
      <c r="F233" s="111" t="s">
        <v>20</v>
      </c>
      <c r="G233" s="107" t="s">
        <v>35</v>
      </c>
      <c r="H233" s="113"/>
      <c r="I233" s="113"/>
      <c r="J233" s="112">
        <v>0.25</v>
      </c>
      <c r="K233" s="112"/>
      <c r="L233" s="111"/>
      <c r="M233" s="111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9"/>
      <c r="B234" s="100">
        <v>46076.0</v>
      </c>
      <c r="C234" s="108" t="s">
        <v>10</v>
      </c>
      <c r="D234" s="108" t="s">
        <v>82</v>
      </c>
      <c r="E234" s="108" t="s">
        <v>128</v>
      </c>
      <c r="F234" s="108" t="s">
        <v>20</v>
      </c>
      <c r="G234" s="115" t="s">
        <v>35</v>
      </c>
      <c r="H234" s="114"/>
      <c r="I234" s="114"/>
      <c r="J234" s="109">
        <v>0.25</v>
      </c>
      <c r="K234" s="109"/>
      <c r="L234" s="108"/>
      <c r="M234" s="108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9"/>
      <c r="B235" s="110">
        <v>46076.0</v>
      </c>
      <c r="C235" s="111" t="s">
        <v>10</v>
      </c>
      <c r="D235" s="111" t="s">
        <v>74</v>
      </c>
      <c r="E235" s="111" t="s">
        <v>121</v>
      </c>
      <c r="F235" s="111" t="s">
        <v>24</v>
      </c>
      <c r="G235" s="111" t="s">
        <v>31</v>
      </c>
      <c r="H235" s="113"/>
      <c r="I235" s="113"/>
      <c r="J235" s="112"/>
      <c r="K235" s="112">
        <v>1.0</v>
      </c>
      <c r="L235" s="111" t="s">
        <v>287</v>
      </c>
      <c r="M235" s="111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9"/>
      <c r="B236" s="100">
        <v>46076.0</v>
      </c>
      <c r="C236" s="108" t="s">
        <v>18</v>
      </c>
      <c r="D236" s="108" t="s">
        <v>76</v>
      </c>
      <c r="E236" s="108" t="s">
        <v>34</v>
      </c>
      <c r="F236" s="108" t="s">
        <v>20</v>
      </c>
      <c r="G236" s="108" t="s">
        <v>22</v>
      </c>
      <c r="H236" s="114"/>
      <c r="I236" s="114"/>
      <c r="J236" s="109">
        <v>8.0</v>
      </c>
      <c r="K236" s="109">
        <v>2.0</v>
      </c>
      <c r="L236" s="108" t="s">
        <v>286</v>
      </c>
      <c r="M236" s="108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9"/>
      <c r="B237" s="110">
        <v>46076.0</v>
      </c>
      <c r="C237" s="111" t="s">
        <v>38</v>
      </c>
      <c r="D237" s="111" t="s">
        <v>76</v>
      </c>
      <c r="E237" s="111" t="s">
        <v>34</v>
      </c>
      <c r="F237" s="111" t="s">
        <v>13</v>
      </c>
      <c r="G237" s="104" t="s">
        <v>13</v>
      </c>
      <c r="H237" s="104"/>
      <c r="I237" s="104"/>
      <c r="J237" s="112">
        <v>2.9</v>
      </c>
      <c r="K237" s="112"/>
      <c r="L237" s="111" t="s">
        <v>204</v>
      </c>
      <c r="M237" s="111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9"/>
      <c r="B238" s="100">
        <v>46076.0</v>
      </c>
      <c r="C238" s="108" t="s">
        <v>38</v>
      </c>
      <c r="D238" s="108" t="s">
        <v>76</v>
      </c>
      <c r="E238" s="108" t="s">
        <v>34</v>
      </c>
      <c r="F238" s="108" t="s">
        <v>13</v>
      </c>
      <c r="G238" s="101" t="s">
        <v>13</v>
      </c>
      <c r="H238" s="101"/>
      <c r="I238" s="101"/>
      <c r="J238" s="109">
        <v>1.0</v>
      </c>
      <c r="K238" s="109"/>
      <c r="L238" s="108" t="s">
        <v>204</v>
      </c>
      <c r="M238" s="108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9"/>
      <c r="B239" s="110">
        <v>46076.0</v>
      </c>
      <c r="C239" s="111" t="s">
        <v>27</v>
      </c>
      <c r="D239" s="111" t="s">
        <v>76</v>
      </c>
      <c r="E239" s="111" t="s">
        <v>28</v>
      </c>
      <c r="F239" s="111" t="s">
        <v>20</v>
      </c>
      <c r="G239" s="111" t="s">
        <v>30</v>
      </c>
      <c r="H239" s="113"/>
      <c r="I239" s="113"/>
      <c r="J239" s="126">
        <v>1.194</v>
      </c>
      <c r="K239" s="112"/>
      <c r="L239" s="111" t="s">
        <v>262</v>
      </c>
      <c r="M239" s="111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9"/>
      <c r="B240" s="100">
        <v>46076.0</v>
      </c>
      <c r="C240" s="108" t="s">
        <v>27</v>
      </c>
      <c r="D240" s="108" t="s">
        <v>76</v>
      </c>
      <c r="E240" s="108" t="s">
        <v>28</v>
      </c>
      <c r="F240" s="108" t="s">
        <v>20</v>
      </c>
      <c r="G240" s="108" t="s">
        <v>30</v>
      </c>
      <c r="H240" s="114"/>
      <c r="I240" s="114"/>
      <c r="J240" s="127">
        <v>2.4</v>
      </c>
      <c r="K240" s="109"/>
      <c r="L240" s="108" t="s">
        <v>262</v>
      </c>
      <c r="M240" s="108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9"/>
      <c r="B241" s="110">
        <v>46076.0</v>
      </c>
      <c r="C241" s="111" t="s">
        <v>27</v>
      </c>
      <c r="D241" s="111" t="s">
        <v>76</v>
      </c>
      <c r="E241" s="111" t="s">
        <v>34</v>
      </c>
      <c r="F241" s="111" t="s">
        <v>20</v>
      </c>
      <c r="G241" s="107" t="s">
        <v>35</v>
      </c>
      <c r="H241" s="113"/>
      <c r="I241" s="113"/>
      <c r="J241" s="128">
        <v>1.5</v>
      </c>
      <c r="K241" s="112"/>
      <c r="L241" s="111" t="s">
        <v>288</v>
      </c>
      <c r="M241" s="111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9"/>
      <c r="B242" s="100">
        <v>46076.0</v>
      </c>
      <c r="C242" s="108" t="s">
        <v>27</v>
      </c>
      <c r="D242" s="108" t="s">
        <v>17</v>
      </c>
      <c r="E242" s="108" t="s">
        <v>96</v>
      </c>
      <c r="F242" s="108" t="s">
        <v>20</v>
      </c>
      <c r="G242" s="108" t="s">
        <v>57</v>
      </c>
      <c r="H242" s="114"/>
      <c r="I242" s="114"/>
      <c r="J242" s="127">
        <v>1.5</v>
      </c>
      <c r="K242" s="109"/>
      <c r="L242" s="108" t="s">
        <v>289</v>
      </c>
      <c r="M242" s="108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9"/>
      <c r="B243" s="110">
        <v>46076.0</v>
      </c>
      <c r="C243" s="111" t="s">
        <v>27</v>
      </c>
      <c r="D243" s="111" t="s">
        <v>76</v>
      </c>
      <c r="E243" s="111" t="s">
        <v>34</v>
      </c>
      <c r="F243" s="111" t="s">
        <v>20</v>
      </c>
      <c r="G243" s="111" t="s">
        <v>30</v>
      </c>
      <c r="H243" s="113"/>
      <c r="I243" s="113"/>
      <c r="J243" s="128">
        <v>1.0</v>
      </c>
      <c r="K243" s="112"/>
      <c r="L243" s="111" t="s">
        <v>262</v>
      </c>
      <c r="M243" s="111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9"/>
      <c r="B244" s="100">
        <v>46076.0</v>
      </c>
      <c r="C244" s="108" t="s">
        <v>27</v>
      </c>
      <c r="D244" s="108" t="s">
        <v>76</v>
      </c>
      <c r="E244" s="108" t="s">
        <v>34</v>
      </c>
      <c r="F244" s="108" t="s">
        <v>20</v>
      </c>
      <c r="G244" s="108" t="s">
        <v>30</v>
      </c>
      <c r="H244" s="114"/>
      <c r="I244" s="114"/>
      <c r="J244" s="127">
        <v>0.89</v>
      </c>
      <c r="K244" s="109"/>
      <c r="L244" s="108" t="s">
        <v>262</v>
      </c>
      <c r="M244" s="108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9"/>
      <c r="B245" s="110">
        <v>46076.0</v>
      </c>
      <c r="C245" s="111" t="s">
        <v>27</v>
      </c>
      <c r="D245" s="111" t="s">
        <v>76</v>
      </c>
      <c r="E245" s="111" t="s">
        <v>28</v>
      </c>
      <c r="F245" s="111" t="s">
        <v>20</v>
      </c>
      <c r="G245" s="107" t="s">
        <v>35</v>
      </c>
      <c r="H245" s="113"/>
      <c r="I245" s="113"/>
      <c r="J245" s="128">
        <v>1.5</v>
      </c>
      <c r="K245" s="112"/>
      <c r="L245" s="111" t="s">
        <v>288</v>
      </c>
      <c r="M245" s="111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9"/>
      <c r="B246" s="100">
        <v>46077.0</v>
      </c>
      <c r="C246" s="108" t="s">
        <v>10</v>
      </c>
      <c r="D246" s="129" t="s">
        <v>76</v>
      </c>
      <c r="E246" s="108" t="s">
        <v>34</v>
      </c>
      <c r="F246" s="108" t="s">
        <v>20</v>
      </c>
      <c r="G246" s="108" t="s">
        <v>22</v>
      </c>
      <c r="H246" s="114"/>
      <c r="I246" s="114"/>
      <c r="J246" s="109">
        <v>5.0</v>
      </c>
      <c r="K246" s="109">
        <v>1.5</v>
      </c>
      <c r="L246" s="108" t="s">
        <v>286</v>
      </c>
      <c r="M246" s="108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9"/>
      <c r="B247" s="110">
        <v>46077.0</v>
      </c>
      <c r="C247" s="111" t="s">
        <v>10</v>
      </c>
      <c r="D247" s="130" t="s">
        <v>76</v>
      </c>
      <c r="E247" s="111" t="s">
        <v>34</v>
      </c>
      <c r="F247" s="111" t="s">
        <v>24</v>
      </c>
      <c r="G247" s="111" t="s">
        <v>25</v>
      </c>
      <c r="H247" s="113"/>
      <c r="I247" s="113"/>
      <c r="J247" s="112">
        <v>2.0</v>
      </c>
      <c r="K247" s="112">
        <v>0.5</v>
      </c>
      <c r="L247" s="111" t="s">
        <v>235</v>
      </c>
      <c r="M247" s="111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9"/>
      <c r="B248" s="100">
        <v>46077.0</v>
      </c>
      <c r="C248" s="108" t="s">
        <v>10</v>
      </c>
      <c r="D248" s="108" t="s">
        <v>74</v>
      </c>
      <c r="E248" s="108" t="s">
        <v>121</v>
      </c>
      <c r="F248" s="108" t="s">
        <v>24</v>
      </c>
      <c r="G248" s="108" t="s">
        <v>25</v>
      </c>
      <c r="H248" s="114"/>
      <c r="I248" s="114"/>
      <c r="J248" s="109">
        <v>1.0</v>
      </c>
      <c r="K248" s="109"/>
      <c r="L248" s="108" t="s">
        <v>290</v>
      </c>
      <c r="M248" s="108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9"/>
      <c r="B249" s="110">
        <v>46077.0</v>
      </c>
      <c r="C249" s="111" t="s">
        <v>18</v>
      </c>
      <c r="D249" s="130" t="s">
        <v>76</v>
      </c>
      <c r="E249" s="111" t="s">
        <v>34</v>
      </c>
      <c r="F249" s="111" t="s">
        <v>20</v>
      </c>
      <c r="G249" s="111" t="s">
        <v>22</v>
      </c>
      <c r="H249" s="113"/>
      <c r="I249" s="113"/>
      <c r="J249" s="112">
        <v>8.0</v>
      </c>
      <c r="K249" s="112">
        <v>2.0</v>
      </c>
      <c r="L249" s="111" t="s">
        <v>286</v>
      </c>
      <c r="M249" s="111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9"/>
      <c r="B250" s="131">
        <v>46077.0</v>
      </c>
      <c r="C250" s="108" t="s">
        <v>27</v>
      </c>
      <c r="D250" s="129" t="s">
        <v>76</v>
      </c>
      <c r="E250" s="108" t="s">
        <v>34</v>
      </c>
      <c r="F250" s="108" t="s">
        <v>24</v>
      </c>
      <c r="G250" s="108" t="s">
        <v>25</v>
      </c>
      <c r="H250" s="114"/>
      <c r="I250" s="114"/>
      <c r="J250" s="109">
        <v>0.0</v>
      </c>
      <c r="K250" s="109"/>
      <c r="L250" s="108" t="s">
        <v>291</v>
      </c>
      <c r="M250" s="108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9"/>
      <c r="B251" s="110">
        <v>46077.0</v>
      </c>
      <c r="C251" s="111" t="s">
        <v>27</v>
      </c>
      <c r="D251" s="130" t="s">
        <v>76</v>
      </c>
      <c r="E251" s="111" t="s">
        <v>34</v>
      </c>
      <c r="F251" s="111" t="s">
        <v>24</v>
      </c>
      <c r="G251" s="111" t="s">
        <v>25</v>
      </c>
      <c r="H251" s="113"/>
      <c r="I251" s="113"/>
      <c r="J251" s="112">
        <v>0.0</v>
      </c>
      <c r="K251" s="112">
        <v>0.5</v>
      </c>
      <c r="L251" s="111" t="s">
        <v>291</v>
      </c>
      <c r="M251" s="111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9"/>
      <c r="B252" s="100">
        <v>46077.0</v>
      </c>
      <c r="C252" s="108" t="s">
        <v>27</v>
      </c>
      <c r="D252" s="129" t="s">
        <v>79</v>
      </c>
      <c r="E252" s="129" t="s">
        <v>128</v>
      </c>
      <c r="F252" s="108" t="s">
        <v>20</v>
      </c>
      <c r="G252" s="115" t="s">
        <v>35</v>
      </c>
      <c r="H252" s="114"/>
      <c r="I252" s="114"/>
      <c r="J252" s="109">
        <v>1.0</v>
      </c>
      <c r="K252" s="109"/>
      <c r="L252" s="108" t="s">
        <v>292</v>
      </c>
      <c r="M252" s="108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9"/>
      <c r="B253" s="110">
        <v>46077.0</v>
      </c>
      <c r="C253" s="111" t="s">
        <v>27</v>
      </c>
      <c r="D253" s="130" t="s">
        <v>79</v>
      </c>
      <c r="E253" s="130" t="s">
        <v>128</v>
      </c>
      <c r="F253" s="111" t="s">
        <v>20</v>
      </c>
      <c r="G253" s="111" t="s">
        <v>30</v>
      </c>
      <c r="H253" s="113"/>
      <c r="I253" s="113"/>
      <c r="J253" s="112">
        <v>0.44</v>
      </c>
      <c r="K253" s="112"/>
      <c r="L253" s="111" t="s">
        <v>293</v>
      </c>
      <c r="M253" s="111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9"/>
      <c r="B254" s="100">
        <v>46077.0</v>
      </c>
      <c r="C254" s="108" t="s">
        <v>27</v>
      </c>
      <c r="D254" s="129" t="s">
        <v>82</v>
      </c>
      <c r="E254" s="129" t="s">
        <v>128</v>
      </c>
      <c r="F254" s="108" t="s">
        <v>20</v>
      </c>
      <c r="G254" s="115" t="s">
        <v>35</v>
      </c>
      <c r="H254" s="114"/>
      <c r="I254" s="114"/>
      <c r="J254" s="109">
        <v>2.0</v>
      </c>
      <c r="K254" s="109"/>
      <c r="L254" s="108" t="s">
        <v>292</v>
      </c>
      <c r="M254" s="108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9"/>
      <c r="B255" s="110">
        <v>46077.0</v>
      </c>
      <c r="C255" s="111" t="s">
        <v>27</v>
      </c>
      <c r="D255" s="130" t="s">
        <v>82</v>
      </c>
      <c r="E255" s="130" t="s">
        <v>128</v>
      </c>
      <c r="F255" s="111" t="s">
        <v>20</v>
      </c>
      <c r="G255" s="111" t="s">
        <v>30</v>
      </c>
      <c r="H255" s="113"/>
      <c r="I255" s="113"/>
      <c r="J255" s="112">
        <v>0.56</v>
      </c>
      <c r="K255" s="112"/>
      <c r="L255" s="111" t="s">
        <v>293</v>
      </c>
      <c r="M255" s="111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9"/>
      <c r="B256" s="100">
        <v>46077.0</v>
      </c>
      <c r="C256" s="108" t="s">
        <v>27</v>
      </c>
      <c r="D256" s="129" t="s">
        <v>133</v>
      </c>
      <c r="E256" s="129" t="s">
        <v>11</v>
      </c>
      <c r="F256" s="108" t="s">
        <v>24</v>
      </c>
      <c r="G256" s="108" t="s">
        <v>25</v>
      </c>
      <c r="H256" s="114"/>
      <c r="I256" s="114"/>
      <c r="J256" s="109">
        <v>1.0</v>
      </c>
      <c r="K256" s="109">
        <v>1.5</v>
      </c>
      <c r="L256" s="108" t="s">
        <v>294</v>
      </c>
      <c r="M256" s="108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9"/>
      <c r="B257" s="110">
        <v>46077.0</v>
      </c>
      <c r="C257" s="111" t="s">
        <v>27</v>
      </c>
      <c r="D257" s="130" t="s">
        <v>133</v>
      </c>
      <c r="E257" s="130" t="s">
        <v>69</v>
      </c>
      <c r="F257" s="111" t="s">
        <v>24</v>
      </c>
      <c r="G257" s="111" t="s">
        <v>25</v>
      </c>
      <c r="H257" s="113"/>
      <c r="I257" s="113"/>
      <c r="J257" s="112">
        <v>2.0</v>
      </c>
      <c r="K257" s="112"/>
      <c r="L257" s="111" t="s">
        <v>294</v>
      </c>
      <c r="M257" s="111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9"/>
      <c r="B258" s="100">
        <v>46077.0</v>
      </c>
      <c r="C258" s="108" t="s">
        <v>27</v>
      </c>
      <c r="D258" s="129" t="s">
        <v>76</v>
      </c>
      <c r="E258" s="129" t="s">
        <v>28</v>
      </c>
      <c r="F258" s="108" t="s">
        <v>20</v>
      </c>
      <c r="G258" s="115" t="s">
        <v>35</v>
      </c>
      <c r="H258" s="114"/>
      <c r="I258" s="114"/>
      <c r="J258" s="109">
        <v>1.0</v>
      </c>
      <c r="K258" s="109"/>
      <c r="L258" s="108" t="s">
        <v>295</v>
      </c>
      <c r="M258" s="108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9"/>
      <c r="B259" s="110">
        <v>46078.0</v>
      </c>
      <c r="C259" s="111" t="s">
        <v>10</v>
      </c>
      <c r="D259" s="111" t="s">
        <v>133</v>
      </c>
      <c r="E259" s="111" t="s">
        <v>69</v>
      </c>
      <c r="F259" s="111" t="s">
        <v>24</v>
      </c>
      <c r="G259" s="111" t="s">
        <v>31</v>
      </c>
      <c r="H259" s="113"/>
      <c r="I259" s="113"/>
      <c r="J259" s="112">
        <v>2.0</v>
      </c>
      <c r="K259" s="112"/>
      <c r="L259" s="111" t="s">
        <v>296</v>
      </c>
      <c r="M259" s="111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9"/>
      <c r="B260" s="100">
        <v>46078.0</v>
      </c>
      <c r="C260" s="108" t="s">
        <v>10</v>
      </c>
      <c r="D260" s="108" t="s">
        <v>133</v>
      </c>
      <c r="E260" s="108" t="s">
        <v>11</v>
      </c>
      <c r="F260" s="108" t="s">
        <v>24</v>
      </c>
      <c r="G260" s="108" t="s">
        <v>31</v>
      </c>
      <c r="H260" s="114"/>
      <c r="I260" s="114"/>
      <c r="J260" s="109">
        <v>3.0</v>
      </c>
      <c r="K260" s="109"/>
      <c r="L260" s="108" t="s">
        <v>296</v>
      </c>
      <c r="M260" s="108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9"/>
      <c r="B261" s="110">
        <v>46078.0</v>
      </c>
      <c r="C261" s="111" t="s">
        <v>10</v>
      </c>
      <c r="D261" s="111" t="s">
        <v>64</v>
      </c>
      <c r="E261" s="111" t="s">
        <v>65</v>
      </c>
      <c r="F261" s="111" t="s">
        <v>24</v>
      </c>
      <c r="G261" s="111" t="s">
        <v>31</v>
      </c>
      <c r="H261" s="113"/>
      <c r="I261" s="113"/>
      <c r="J261" s="112">
        <v>0.5</v>
      </c>
      <c r="K261" s="112"/>
      <c r="L261" s="111" t="s">
        <v>297</v>
      </c>
      <c r="M261" s="111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9"/>
      <c r="B262" s="100">
        <v>46078.0</v>
      </c>
      <c r="C262" s="108" t="s">
        <v>10</v>
      </c>
      <c r="D262" s="108" t="s">
        <v>76</v>
      </c>
      <c r="E262" s="108" t="s">
        <v>34</v>
      </c>
      <c r="F262" s="108" t="s">
        <v>24</v>
      </c>
      <c r="G262" s="108" t="s">
        <v>31</v>
      </c>
      <c r="H262" s="114"/>
      <c r="I262" s="114"/>
      <c r="J262" s="109"/>
      <c r="K262" s="109">
        <v>4.0</v>
      </c>
      <c r="L262" s="108" t="s">
        <v>206</v>
      </c>
      <c r="M262" s="108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9"/>
      <c r="B263" s="110">
        <v>46078.0</v>
      </c>
      <c r="C263" s="111" t="s">
        <v>10</v>
      </c>
      <c r="D263" s="111" t="s">
        <v>76</v>
      </c>
      <c r="E263" s="111" t="s">
        <v>34</v>
      </c>
      <c r="F263" s="111" t="s">
        <v>24</v>
      </c>
      <c r="G263" s="111" t="s">
        <v>25</v>
      </c>
      <c r="H263" s="113"/>
      <c r="I263" s="113"/>
      <c r="J263" s="112">
        <v>2.0</v>
      </c>
      <c r="K263" s="112"/>
      <c r="L263" s="111" t="s">
        <v>298</v>
      </c>
      <c r="M263" s="111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9"/>
      <c r="B264" s="100">
        <v>46078.0</v>
      </c>
      <c r="C264" s="108" t="s">
        <v>10</v>
      </c>
      <c r="D264" s="108" t="s">
        <v>17</v>
      </c>
      <c r="E264" s="108" t="s">
        <v>132</v>
      </c>
      <c r="F264" s="108" t="s">
        <v>59</v>
      </c>
      <c r="G264" s="108" t="s">
        <v>57</v>
      </c>
      <c r="H264" s="114"/>
      <c r="I264" s="114"/>
      <c r="J264" s="109">
        <v>0.5</v>
      </c>
      <c r="K264" s="109"/>
      <c r="L264" s="108" t="s">
        <v>299</v>
      </c>
      <c r="M264" s="108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9"/>
      <c r="B265" s="110">
        <v>46078.0</v>
      </c>
      <c r="C265" s="111" t="s">
        <v>18</v>
      </c>
      <c r="D265" s="111" t="s">
        <v>76</v>
      </c>
      <c r="E265" s="111" t="s">
        <v>34</v>
      </c>
      <c r="F265" s="111" t="s">
        <v>20</v>
      </c>
      <c r="G265" s="111" t="s">
        <v>22</v>
      </c>
      <c r="H265" s="113"/>
      <c r="I265" s="113"/>
      <c r="J265" s="112">
        <v>4.0</v>
      </c>
      <c r="K265" s="112"/>
      <c r="L265" s="111"/>
      <c r="M265" s="111" t="s">
        <v>300</v>
      </c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9"/>
      <c r="B266" s="100">
        <v>46078.0</v>
      </c>
      <c r="C266" s="108" t="s">
        <v>18</v>
      </c>
      <c r="D266" s="108" t="s">
        <v>76</v>
      </c>
      <c r="E266" s="108" t="s">
        <v>34</v>
      </c>
      <c r="F266" s="108" t="s">
        <v>24</v>
      </c>
      <c r="G266" s="108" t="s">
        <v>25</v>
      </c>
      <c r="H266" s="114"/>
      <c r="I266" s="114"/>
      <c r="J266" s="109">
        <v>4.0</v>
      </c>
      <c r="K266" s="109">
        <v>2.5</v>
      </c>
      <c r="L266" s="108"/>
      <c r="M266" s="108" t="s">
        <v>301</v>
      </c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9"/>
      <c r="B267" s="110">
        <v>46078.0</v>
      </c>
      <c r="C267" s="111" t="s">
        <v>27</v>
      </c>
      <c r="D267" s="111" t="s">
        <v>133</v>
      </c>
      <c r="E267" s="111" t="s">
        <v>11</v>
      </c>
      <c r="F267" s="111" t="s">
        <v>24</v>
      </c>
      <c r="G267" s="111" t="s">
        <v>25</v>
      </c>
      <c r="H267" s="113"/>
      <c r="I267" s="113"/>
      <c r="J267" s="112">
        <v>4.5</v>
      </c>
      <c r="K267" s="112"/>
      <c r="L267" s="111" t="s">
        <v>302</v>
      </c>
      <c r="M267" s="111" t="s">
        <v>300</v>
      </c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9"/>
      <c r="B268" s="100">
        <v>46078.0</v>
      </c>
      <c r="C268" s="108" t="s">
        <v>27</v>
      </c>
      <c r="D268" s="108" t="s">
        <v>76</v>
      </c>
      <c r="E268" s="108" t="s">
        <v>34</v>
      </c>
      <c r="F268" s="108" t="s">
        <v>24</v>
      </c>
      <c r="G268" s="108" t="s">
        <v>25</v>
      </c>
      <c r="H268" s="114"/>
      <c r="I268" s="114"/>
      <c r="J268" s="109">
        <v>6.0</v>
      </c>
      <c r="K268" s="109"/>
      <c r="L268" s="108" t="s">
        <v>298</v>
      </c>
      <c r="M268" s="108" t="s">
        <v>301</v>
      </c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9"/>
      <c r="B269" s="110">
        <v>46078.0</v>
      </c>
      <c r="C269" s="111" t="s">
        <v>33</v>
      </c>
      <c r="D269" s="111" t="s">
        <v>76</v>
      </c>
      <c r="E269" s="111" t="s">
        <v>34</v>
      </c>
      <c r="F269" s="111" t="s">
        <v>24</v>
      </c>
      <c r="G269" s="111" t="s">
        <v>25</v>
      </c>
      <c r="H269" s="113"/>
      <c r="I269" s="113"/>
      <c r="J269" s="112">
        <v>7.5</v>
      </c>
      <c r="K269" s="112">
        <v>2.5</v>
      </c>
      <c r="L269" s="111" t="s">
        <v>303</v>
      </c>
      <c r="M269" s="111" t="s">
        <v>300</v>
      </c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9"/>
      <c r="B270" s="100">
        <v>46078.0</v>
      </c>
      <c r="C270" s="108" t="s">
        <v>33</v>
      </c>
      <c r="D270" s="108" t="s">
        <v>133</v>
      </c>
      <c r="E270" s="108" t="s">
        <v>11</v>
      </c>
      <c r="F270" s="108" t="s">
        <v>24</v>
      </c>
      <c r="G270" s="108" t="s">
        <v>25</v>
      </c>
      <c r="H270" s="114"/>
      <c r="I270" s="114"/>
      <c r="J270" s="109">
        <v>0.5</v>
      </c>
      <c r="K270" s="109"/>
      <c r="L270" s="108" t="s">
        <v>303</v>
      </c>
      <c r="M270" s="108" t="s">
        <v>301</v>
      </c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9"/>
      <c r="B271" s="125">
        <v>46079.0</v>
      </c>
      <c r="C271" s="107" t="s">
        <v>10</v>
      </c>
      <c r="D271" s="107" t="s">
        <v>64</v>
      </c>
      <c r="E271" s="107" t="s">
        <v>65</v>
      </c>
      <c r="F271" s="107" t="s">
        <v>24</v>
      </c>
      <c r="G271" s="107" t="s">
        <v>31</v>
      </c>
      <c r="H271" s="123"/>
      <c r="I271" s="123"/>
      <c r="J271" s="112">
        <v>1.0</v>
      </c>
      <c r="K271" s="112"/>
      <c r="L271" s="111" t="s">
        <v>304</v>
      </c>
      <c r="M271" s="111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9"/>
      <c r="B272" s="124">
        <v>46079.0</v>
      </c>
      <c r="C272" s="115" t="s">
        <v>10</v>
      </c>
      <c r="D272" s="115" t="s">
        <v>17</v>
      </c>
      <c r="E272" s="115" t="s">
        <v>96</v>
      </c>
      <c r="F272" s="115" t="s">
        <v>54</v>
      </c>
      <c r="G272" s="115" t="s">
        <v>54</v>
      </c>
      <c r="H272" s="120"/>
      <c r="I272" s="120"/>
      <c r="J272" s="109">
        <v>1.0</v>
      </c>
      <c r="K272" s="109"/>
      <c r="L272" s="108" t="s">
        <v>305</v>
      </c>
      <c r="M272" s="108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9"/>
      <c r="B273" s="125">
        <v>46079.0</v>
      </c>
      <c r="C273" s="107" t="s">
        <v>10</v>
      </c>
      <c r="D273" s="107" t="s">
        <v>76</v>
      </c>
      <c r="E273" s="107" t="s">
        <v>34</v>
      </c>
      <c r="F273" s="107" t="s">
        <v>24</v>
      </c>
      <c r="G273" s="107" t="s">
        <v>31</v>
      </c>
      <c r="H273" s="123"/>
      <c r="I273" s="123"/>
      <c r="J273" s="112">
        <v>6.0</v>
      </c>
      <c r="K273" s="112"/>
      <c r="L273" s="111" t="s">
        <v>306</v>
      </c>
      <c r="M273" s="111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9"/>
      <c r="B274" s="124">
        <v>46079.0</v>
      </c>
      <c r="C274" s="115" t="s">
        <v>18</v>
      </c>
      <c r="D274" s="115" t="s">
        <v>133</v>
      </c>
      <c r="E274" s="115" t="s">
        <v>39</v>
      </c>
      <c r="F274" s="115" t="s">
        <v>20</v>
      </c>
      <c r="G274" s="115" t="s">
        <v>22</v>
      </c>
      <c r="H274" s="120"/>
      <c r="I274" s="120"/>
      <c r="J274" s="109">
        <v>2.0</v>
      </c>
      <c r="K274" s="109"/>
      <c r="L274" s="108" t="s">
        <v>307</v>
      </c>
      <c r="M274" s="108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9"/>
      <c r="B275" s="125">
        <v>46079.0</v>
      </c>
      <c r="C275" s="107" t="s">
        <v>18</v>
      </c>
      <c r="D275" s="107" t="s">
        <v>76</v>
      </c>
      <c r="E275" s="107" t="s">
        <v>34</v>
      </c>
      <c r="F275" s="107" t="s">
        <v>24</v>
      </c>
      <c r="G275" s="107" t="s">
        <v>25</v>
      </c>
      <c r="H275" s="123"/>
      <c r="I275" s="123"/>
      <c r="J275" s="112">
        <v>4.0</v>
      </c>
      <c r="K275" s="112"/>
      <c r="L275" s="111" t="s">
        <v>308</v>
      </c>
      <c r="M275" s="111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9"/>
      <c r="B276" s="124">
        <v>46079.0</v>
      </c>
      <c r="C276" s="115" t="s">
        <v>18</v>
      </c>
      <c r="D276" s="115" t="s">
        <v>133</v>
      </c>
      <c r="E276" s="115" t="s">
        <v>11</v>
      </c>
      <c r="F276" s="115" t="s">
        <v>20</v>
      </c>
      <c r="G276" s="115" t="s">
        <v>30</v>
      </c>
      <c r="H276" s="120"/>
      <c r="I276" s="120"/>
      <c r="J276" s="109">
        <v>2.0</v>
      </c>
      <c r="K276" s="109"/>
      <c r="L276" s="108" t="s">
        <v>309</v>
      </c>
      <c r="M276" s="108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9"/>
      <c r="B277" s="125">
        <v>46079.0</v>
      </c>
      <c r="C277" s="107" t="s">
        <v>33</v>
      </c>
      <c r="D277" s="107" t="s">
        <v>76</v>
      </c>
      <c r="E277" s="107" t="s">
        <v>34</v>
      </c>
      <c r="F277" s="107" t="s">
        <v>24</v>
      </c>
      <c r="G277" s="107" t="s">
        <v>25</v>
      </c>
      <c r="H277" s="123"/>
      <c r="I277" s="123"/>
      <c r="J277" s="112">
        <v>8.0</v>
      </c>
      <c r="K277" s="112"/>
      <c r="L277" s="111" t="s">
        <v>310</v>
      </c>
      <c r="M277" s="111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9"/>
      <c r="B278" s="124">
        <v>46080.0</v>
      </c>
      <c r="C278" s="115" t="s">
        <v>10</v>
      </c>
      <c r="D278" s="115" t="s">
        <v>133</v>
      </c>
      <c r="E278" s="115" t="s">
        <v>39</v>
      </c>
      <c r="F278" s="115" t="s">
        <v>24</v>
      </c>
      <c r="G278" s="115" t="s">
        <v>31</v>
      </c>
      <c r="H278" s="120"/>
      <c r="I278" s="120"/>
      <c r="J278" s="109">
        <v>2.0</v>
      </c>
      <c r="K278" s="109"/>
      <c r="L278" s="108" t="s">
        <v>206</v>
      </c>
      <c r="M278" s="108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9"/>
      <c r="B279" s="125">
        <v>46080.0</v>
      </c>
      <c r="C279" s="107" t="s">
        <v>10</v>
      </c>
      <c r="D279" s="107" t="s">
        <v>133</v>
      </c>
      <c r="E279" s="107" t="s">
        <v>11</v>
      </c>
      <c r="F279" s="107" t="s">
        <v>24</v>
      </c>
      <c r="G279" s="107" t="s">
        <v>31</v>
      </c>
      <c r="H279" s="123"/>
      <c r="I279" s="123"/>
      <c r="J279" s="112">
        <v>0.3</v>
      </c>
      <c r="K279" s="112"/>
      <c r="L279" s="111" t="s">
        <v>311</v>
      </c>
      <c r="M279" s="111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9"/>
      <c r="B280" s="124">
        <v>46080.0</v>
      </c>
      <c r="C280" s="115" t="s">
        <v>10</v>
      </c>
      <c r="D280" s="115" t="s">
        <v>76</v>
      </c>
      <c r="E280" s="115" t="s">
        <v>34</v>
      </c>
      <c r="F280" s="115" t="s">
        <v>24</v>
      </c>
      <c r="G280" s="115" t="s">
        <v>31</v>
      </c>
      <c r="H280" s="120"/>
      <c r="I280" s="120"/>
      <c r="J280" s="109">
        <v>0.2</v>
      </c>
      <c r="K280" s="109"/>
      <c r="L280" s="108" t="s">
        <v>311</v>
      </c>
      <c r="M280" s="108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9"/>
      <c r="B281" s="125">
        <v>46080.0</v>
      </c>
      <c r="C281" s="107" t="s">
        <v>10</v>
      </c>
      <c r="D281" s="107" t="s">
        <v>76</v>
      </c>
      <c r="E281" s="107" t="s">
        <v>34</v>
      </c>
      <c r="F281" s="107" t="s">
        <v>24</v>
      </c>
      <c r="G281" s="107" t="s">
        <v>31</v>
      </c>
      <c r="H281" s="123"/>
      <c r="I281" s="123"/>
      <c r="J281" s="112">
        <v>2.0</v>
      </c>
      <c r="K281" s="112"/>
      <c r="L281" s="111" t="s">
        <v>312</v>
      </c>
      <c r="M281" s="111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9"/>
      <c r="B282" s="124">
        <v>46080.0</v>
      </c>
      <c r="C282" s="115" t="s">
        <v>10</v>
      </c>
      <c r="D282" s="115" t="s">
        <v>76</v>
      </c>
      <c r="E282" s="115" t="s">
        <v>34</v>
      </c>
      <c r="F282" s="115" t="s">
        <v>20</v>
      </c>
      <c r="G282" s="115" t="s">
        <v>30</v>
      </c>
      <c r="H282" s="120"/>
      <c r="I282" s="120"/>
      <c r="J282" s="109">
        <v>0.5</v>
      </c>
      <c r="K282" s="109"/>
      <c r="L282" s="108"/>
      <c r="M282" s="108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9"/>
      <c r="B283" s="125">
        <v>46080.0</v>
      </c>
      <c r="C283" s="107" t="s">
        <v>18</v>
      </c>
      <c r="D283" s="107" t="s">
        <v>133</v>
      </c>
      <c r="E283" s="107" t="s">
        <v>11</v>
      </c>
      <c r="F283" s="107" t="s">
        <v>20</v>
      </c>
      <c r="G283" s="107" t="s">
        <v>30</v>
      </c>
      <c r="H283" s="123"/>
      <c r="I283" s="123"/>
      <c r="J283" s="112">
        <v>3.0</v>
      </c>
      <c r="K283" s="112"/>
      <c r="L283" s="111" t="s">
        <v>309</v>
      </c>
      <c r="M283" s="111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9"/>
      <c r="B284" s="124">
        <v>46080.0</v>
      </c>
      <c r="C284" s="115" t="s">
        <v>18</v>
      </c>
      <c r="D284" s="115" t="s">
        <v>76</v>
      </c>
      <c r="E284" s="115" t="s">
        <v>34</v>
      </c>
      <c r="F284" s="115" t="s">
        <v>20</v>
      </c>
      <c r="G284" s="115" t="s">
        <v>30</v>
      </c>
      <c r="H284" s="120"/>
      <c r="I284" s="120"/>
      <c r="J284" s="109">
        <v>5.0</v>
      </c>
      <c r="K284" s="109"/>
      <c r="L284" s="108" t="s">
        <v>309</v>
      </c>
      <c r="M284" s="108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9"/>
      <c r="B285" s="125">
        <v>46080.0</v>
      </c>
      <c r="C285" s="107" t="s">
        <v>33</v>
      </c>
      <c r="D285" s="107" t="s">
        <v>133</v>
      </c>
      <c r="E285" s="107" t="s">
        <v>11</v>
      </c>
      <c r="F285" s="107" t="s">
        <v>20</v>
      </c>
      <c r="G285" s="107" t="s">
        <v>30</v>
      </c>
      <c r="H285" s="123"/>
      <c r="I285" s="123"/>
      <c r="J285" s="112">
        <v>0.5</v>
      </c>
      <c r="K285" s="112"/>
      <c r="L285" s="111" t="s">
        <v>309</v>
      </c>
      <c r="M285" s="111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9"/>
      <c r="B286" s="124">
        <v>46080.0</v>
      </c>
      <c r="C286" s="115" t="s">
        <v>33</v>
      </c>
      <c r="D286" s="115" t="s">
        <v>133</v>
      </c>
      <c r="E286" s="115" t="s">
        <v>11</v>
      </c>
      <c r="F286" s="115" t="s">
        <v>20</v>
      </c>
      <c r="G286" s="115" t="s">
        <v>35</v>
      </c>
      <c r="H286" s="120"/>
      <c r="I286" s="120"/>
      <c r="J286" s="109">
        <v>1.5</v>
      </c>
      <c r="K286" s="109"/>
      <c r="L286" s="108"/>
      <c r="M286" s="108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9"/>
      <c r="B287" s="125">
        <v>46080.0</v>
      </c>
      <c r="C287" s="107" t="s">
        <v>33</v>
      </c>
      <c r="D287" s="107" t="s">
        <v>133</v>
      </c>
      <c r="E287" s="107" t="s">
        <v>194</v>
      </c>
      <c r="F287" s="107" t="s">
        <v>20</v>
      </c>
      <c r="G287" s="107" t="s">
        <v>22</v>
      </c>
      <c r="H287" s="123"/>
      <c r="I287" s="123"/>
      <c r="J287" s="112">
        <v>6.0</v>
      </c>
      <c r="K287" s="112"/>
      <c r="L287" s="111"/>
      <c r="M287" s="111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9"/>
      <c r="B288" s="124">
        <v>46083.0</v>
      </c>
      <c r="C288" s="115" t="s">
        <v>10</v>
      </c>
      <c r="D288" s="115" t="s">
        <v>76</v>
      </c>
      <c r="E288" s="115" t="s">
        <v>34</v>
      </c>
      <c r="F288" s="115" t="s">
        <v>20</v>
      </c>
      <c r="G288" s="115" t="s">
        <v>30</v>
      </c>
      <c r="H288" s="120"/>
      <c r="I288" s="120"/>
      <c r="J288" s="109">
        <v>2.5</v>
      </c>
      <c r="K288" s="109"/>
      <c r="L288" s="108"/>
      <c r="M288" s="108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9"/>
      <c r="B289" s="125">
        <v>46083.0</v>
      </c>
      <c r="C289" s="107" t="s">
        <v>10</v>
      </c>
      <c r="D289" s="107" t="s">
        <v>74</v>
      </c>
      <c r="E289" s="107" t="s">
        <v>121</v>
      </c>
      <c r="F289" s="107" t="s">
        <v>24</v>
      </c>
      <c r="G289" s="107" t="s">
        <v>31</v>
      </c>
      <c r="H289" s="123"/>
      <c r="I289" s="123"/>
      <c r="J289" s="112">
        <v>2.0</v>
      </c>
      <c r="K289" s="112"/>
      <c r="L289" s="111" t="s">
        <v>24</v>
      </c>
      <c r="M289" s="111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9"/>
      <c r="B290" s="124">
        <v>46083.0</v>
      </c>
      <c r="C290" s="115" t="s">
        <v>10</v>
      </c>
      <c r="D290" s="115" t="s">
        <v>17</v>
      </c>
      <c r="E290" s="115" t="s">
        <v>96</v>
      </c>
      <c r="F290" s="115" t="s">
        <v>54</v>
      </c>
      <c r="G290" s="115" t="s">
        <v>54</v>
      </c>
      <c r="H290" s="120"/>
      <c r="I290" s="120"/>
      <c r="J290" s="109">
        <v>3.5</v>
      </c>
      <c r="K290" s="109"/>
      <c r="L290" s="108" t="s">
        <v>313</v>
      </c>
      <c r="M290" s="108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9"/>
      <c r="B291" s="125">
        <v>46083.0</v>
      </c>
      <c r="C291" s="107" t="s">
        <v>18</v>
      </c>
      <c r="D291" s="122" t="s">
        <v>133</v>
      </c>
      <c r="E291" s="122" t="s">
        <v>69</v>
      </c>
      <c r="F291" s="107" t="s">
        <v>20</v>
      </c>
      <c r="G291" s="107" t="s">
        <v>30</v>
      </c>
      <c r="H291" s="123"/>
      <c r="I291" s="123"/>
      <c r="J291" s="112">
        <v>3.0</v>
      </c>
      <c r="K291" s="112"/>
      <c r="L291" s="111"/>
      <c r="M291" s="111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9"/>
      <c r="B292" s="124">
        <v>46083.0</v>
      </c>
      <c r="C292" s="115" t="s">
        <v>18</v>
      </c>
      <c r="D292" s="115" t="s">
        <v>76</v>
      </c>
      <c r="E292" s="115" t="s">
        <v>34</v>
      </c>
      <c r="F292" s="115" t="s">
        <v>20</v>
      </c>
      <c r="G292" s="115" t="s">
        <v>30</v>
      </c>
      <c r="H292" s="120"/>
      <c r="I292" s="120"/>
      <c r="J292" s="109">
        <v>0.5</v>
      </c>
      <c r="K292" s="109"/>
      <c r="L292" s="108"/>
      <c r="M292" s="108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9"/>
      <c r="B293" s="125">
        <v>46083.0</v>
      </c>
      <c r="C293" s="107" t="s">
        <v>18</v>
      </c>
      <c r="D293" s="107" t="s">
        <v>133</v>
      </c>
      <c r="E293" s="107" t="s">
        <v>39</v>
      </c>
      <c r="F293" s="107" t="s">
        <v>20</v>
      </c>
      <c r="G293" s="107" t="s">
        <v>30</v>
      </c>
      <c r="H293" s="123"/>
      <c r="I293" s="123"/>
      <c r="J293" s="112">
        <v>2.0</v>
      </c>
      <c r="K293" s="112"/>
      <c r="L293" s="111"/>
      <c r="M293" s="111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9"/>
      <c r="B294" s="124">
        <v>46083.0</v>
      </c>
      <c r="C294" s="115" t="s">
        <v>18</v>
      </c>
      <c r="D294" s="115" t="s">
        <v>26</v>
      </c>
      <c r="E294" s="115" t="s">
        <v>99</v>
      </c>
      <c r="F294" s="115" t="s">
        <v>20</v>
      </c>
      <c r="G294" s="115" t="s">
        <v>63</v>
      </c>
      <c r="H294" s="120"/>
      <c r="I294" s="120"/>
      <c r="J294" s="109">
        <v>2.5</v>
      </c>
      <c r="K294" s="109"/>
      <c r="L294" s="108" t="s">
        <v>314</v>
      </c>
      <c r="M294" s="108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9"/>
      <c r="B295" s="125">
        <v>46083.0</v>
      </c>
      <c r="C295" s="107" t="s">
        <v>33</v>
      </c>
      <c r="D295" s="107" t="s">
        <v>133</v>
      </c>
      <c r="E295" s="107" t="s">
        <v>194</v>
      </c>
      <c r="F295" s="107" t="s">
        <v>20</v>
      </c>
      <c r="G295" s="107" t="s">
        <v>22</v>
      </c>
      <c r="H295" s="123"/>
      <c r="I295" s="123"/>
      <c r="J295" s="112">
        <v>7.5</v>
      </c>
      <c r="K295" s="112"/>
      <c r="L295" s="111"/>
      <c r="M295" s="111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9"/>
      <c r="B296" s="124">
        <v>46083.0</v>
      </c>
      <c r="C296" s="115" t="s">
        <v>33</v>
      </c>
      <c r="D296" s="115" t="s">
        <v>133</v>
      </c>
      <c r="E296" s="115" t="s">
        <v>11</v>
      </c>
      <c r="F296" s="115" t="s">
        <v>20</v>
      </c>
      <c r="G296" s="115" t="s">
        <v>35</v>
      </c>
      <c r="H296" s="120"/>
      <c r="I296" s="120"/>
      <c r="J296" s="109">
        <v>0.5</v>
      </c>
      <c r="K296" s="109"/>
      <c r="L296" s="108"/>
      <c r="M296" s="108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9"/>
      <c r="B297" s="125">
        <v>46083.0</v>
      </c>
      <c r="C297" s="107" t="s">
        <v>33</v>
      </c>
      <c r="D297" s="107" t="s">
        <v>76</v>
      </c>
      <c r="E297" s="107" t="s">
        <v>34</v>
      </c>
      <c r="F297" s="107" t="s">
        <v>20</v>
      </c>
      <c r="G297" s="107" t="s">
        <v>35</v>
      </c>
      <c r="H297" s="123"/>
      <c r="I297" s="123"/>
      <c r="J297" s="112">
        <v>4.0</v>
      </c>
      <c r="K297" s="112"/>
      <c r="L297" s="111"/>
      <c r="M297" s="111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9"/>
      <c r="B298" s="124">
        <v>46084.0</v>
      </c>
      <c r="C298" s="115" t="s">
        <v>10</v>
      </c>
      <c r="D298" s="115" t="s">
        <v>133</v>
      </c>
      <c r="E298" s="115" t="s">
        <v>39</v>
      </c>
      <c r="F298" s="115" t="s">
        <v>20</v>
      </c>
      <c r="G298" s="115" t="s">
        <v>22</v>
      </c>
      <c r="H298" s="120"/>
      <c r="I298" s="120"/>
      <c r="J298" s="109">
        <v>3.0</v>
      </c>
      <c r="K298" s="109"/>
      <c r="L298" s="108" t="s">
        <v>315</v>
      </c>
      <c r="M298" s="108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9"/>
      <c r="B299" s="125">
        <v>46084.0</v>
      </c>
      <c r="C299" s="107" t="s">
        <v>10</v>
      </c>
      <c r="D299" s="107" t="s">
        <v>76</v>
      </c>
      <c r="E299" s="107" t="s">
        <v>34</v>
      </c>
      <c r="F299" s="107" t="s">
        <v>20</v>
      </c>
      <c r="G299" s="107" t="s">
        <v>30</v>
      </c>
      <c r="H299" s="123"/>
      <c r="I299" s="123"/>
      <c r="J299" s="112">
        <v>1.0</v>
      </c>
      <c r="K299" s="112"/>
      <c r="L299" s="111" t="s">
        <v>316</v>
      </c>
      <c r="M299" s="111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9"/>
      <c r="B300" s="124">
        <v>46084.0</v>
      </c>
      <c r="C300" s="115" t="s">
        <v>10</v>
      </c>
      <c r="D300" s="115" t="s">
        <v>133</v>
      </c>
      <c r="E300" s="115" t="s">
        <v>69</v>
      </c>
      <c r="F300" s="115" t="s">
        <v>20</v>
      </c>
      <c r="G300" s="115" t="s">
        <v>30</v>
      </c>
      <c r="H300" s="120"/>
      <c r="I300" s="120"/>
      <c r="J300" s="109">
        <v>1.0</v>
      </c>
      <c r="K300" s="109"/>
      <c r="L300" s="108" t="s">
        <v>316</v>
      </c>
      <c r="M300" s="108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9"/>
      <c r="B301" s="125">
        <v>46084.0</v>
      </c>
      <c r="C301" s="107" t="s">
        <v>10</v>
      </c>
      <c r="D301" s="107" t="s">
        <v>133</v>
      </c>
      <c r="E301" s="107" t="s">
        <v>39</v>
      </c>
      <c r="F301" s="107" t="s">
        <v>20</v>
      </c>
      <c r="G301" s="107" t="s">
        <v>30</v>
      </c>
      <c r="H301" s="123"/>
      <c r="I301" s="123"/>
      <c r="J301" s="112">
        <v>1.0</v>
      </c>
      <c r="K301" s="112"/>
      <c r="L301" s="111" t="s">
        <v>316</v>
      </c>
      <c r="M301" s="111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9"/>
      <c r="B302" s="124">
        <v>46084.0</v>
      </c>
      <c r="C302" s="115" t="s">
        <v>18</v>
      </c>
      <c r="D302" s="115" t="s">
        <v>37</v>
      </c>
      <c r="E302" s="115" t="s">
        <v>96</v>
      </c>
      <c r="F302" s="115" t="s">
        <v>20</v>
      </c>
      <c r="G302" s="115" t="s">
        <v>63</v>
      </c>
      <c r="H302" s="120"/>
      <c r="I302" s="120"/>
      <c r="J302" s="109">
        <v>1.0</v>
      </c>
      <c r="K302" s="109"/>
      <c r="L302" s="108" t="s">
        <v>317</v>
      </c>
      <c r="M302" s="108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9"/>
      <c r="B303" s="125">
        <v>46084.0</v>
      </c>
      <c r="C303" s="107" t="s">
        <v>18</v>
      </c>
      <c r="D303" s="107" t="s">
        <v>133</v>
      </c>
      <c r="E303" s="107" t="s">
        <v>69</v>
      </c>
      <c r="F303" s="107" t="s">
        <v>20</v>
      </c>
      <c r="G303" s="107" t="s">
        <v>30</v>
      </c>
      <c r="H303" s="123"/>
      <c r="I303" s="123"/>
      <c r="J303" s="112">
        <v>3.5</v>
      </c>
      <c r="K303" s="112"/>
      <c r="L303" s="111"/>
      <c r="M303" s="111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9"/>
      <c r="B304" s="124">
        <v>46084.0</v>
      </c>
      <c r="C304" s="115" t="s">
        <v>18</v>
      </c>
      <c r="D304" s="115" t="s">
        <v>133</v>
      </c>
      <c r="E304" s="115" t="s">
        <v>39</v>
      </c>
      <c r="F304" s="115" t="s">
        <v>20</v>
      </c>
      <c r="G304" s="115" t="s">
        <v>30</v>
      </c>
      <c r="H304" s="120"/>
      <c r="I304" s="120"/>
      <c r="J304" s="109">
        <v>3.5</v>
      </c>
      <c r="K304" s="109">
        <v>0.5</v>
      </c>
      <c r="L304" s="108"/>
      <c r="M304" s="108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9"/>
      <c r="B305" s="125">
        <v>46084.0</v>
      </c>
      <c r="C305" s="107" t="s">
        <v>18</v>
      </c>
      <c r="D305" s="107" t="s">
        <v>133</v>
      </c>
      <c r="E305" s="107" t="s">
        <v>39</v>
      </c>
      <c r="F305" s="107" t="s">
        <v>20</v>
      </c>
      <c r="G305" s="107" t="s">
        <v>35</v>
      </c>
      <c r="H305" s="123"/>
      <c r="I305" s="123"/>
      <c r="J305" s="112"/>
      <c r="K305" s="112">
        <v>1.0</v>
      </c>
      <c r="L305" s="111"/>
      <c r="M305" s="111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9"/>
      <c r="B306" s="124">
        <v>46084.0</v>
      </c>
      <c r="C306" s="115" t="s">
        <v>38</v>
      </c>
      <c r="D306" s="115" t="s">
        <v>133</v>
      </c>
      <c r="E306" s="115" t="s">
        <v>39</v>
      </c>
      <c r="F306" s="115" t="s">
        <v>20</v>
      </c>
      <c r="G306" s="115" t="s">
        <v>30</v>
      </c>
      <c r="H306" s="120"/>
      <c r="I306" s="120"/>
      <c r="J306" s="109">
        <f>20/60</f>
        <v>0.3333333333</v>
      </c>
      <c r="K306" s="109"/>
      <c r="L306" s="108" t="s">
        <v>318</v>
      </c>
      <c r="M306" s="108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9"/>
      <c r="B307" s="125">
        <v>46084.0</v>
      </c>
      <c r="C307" s="107" t="s">
        <v>38</v>
      </c>
      <c r="D307" s="107" t="s">
        <v>133</v>
      </c>
      <c r="E307" s="107" t="s">
        <v>80</v>
      </c>
      <c r="F307" s="107" t="s">
        <v>20</v>
      </c>
      <c r="G307" s="107" t="s">
        <v>35</v>
      </c>
      <c r="H307" s="123"/>
      <c r="I307" s="123"/>
      <c r="J307" s="112">
        <f>15/60</f>
        <v>0.25</v>
      </c>
      <c r="K307" s="112"/>
      <c r="L307" s="111" t="s">
        <v>319</v>
      </c>
      <c r="M307" s="111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9"/>
      <c r="B308" s="124">
        <v>46084.0</v>
      </c>
      <c r="C308" s="115" t="s">
        <v>38</v>
      </c>
      <c r="D308" s="115" t="s">
        <v>133</v>
      </c>
      <c r="E308" s="115" t="s">
        <v>69</v>
      </c>
      <c r="F308" s="115" t="s">
        <v>20</v>
      </c>
      <c r="G308" s="115" t="s">
        <v>35</v>
      </c>
      <c r="H308" s="120"/>
      <c r="I308" s="120"/>
      <c r="J308" s="109">
        <f>6/60</f>
        <v>0.1</v>
      </c>
      <c r="K308" s="109"/>
      <c r="L308" s="108" t="s">
        <v>320</v>
      </c>
      <c r="M308" s="108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9"/>
      <c r="B309" s="125">
        <v>46084.0</v>
      </c>
      <c r="C309" s="107" t="s">
        <v>38</v>
      </c>
      <c r="D309" s="107" t="s">
        <v>133</v>
      </c>
      <c r="E309" s="107" t="s">
        <v>194</v>
      </c>
      <c r="F309" s="107" t="s">
        <v>20</v>
      </c>
      <c r="G309" s="107" t="s">
        <v>35</v>
      </c>
      <c r="H309" s="123"/>
      <c r="I309" s="123"/>
      <c r="J309" s="112">
        <f>20/60</f>
        <v>0.3333333333</v>
      </c>
      <c r="K309" s="112"/>
      <c r="L309" s="111" t="s">
        <v>321</v>
      </c>
      <c r="M309" s="111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9"/>
      <c r="B310" s="124">
        <v>46085.0</v>
      </c>
      <c r="C310" s="115" t="s">
        <v>10</v>
      </c>
      <c r="D310" s="115" t="s">
        <v>56</v>
      </c>
      <c r="E310" s="115" t="s">
        <v>132</v>
      </c>
      <c r="F310" s="115" t="s">
        <v>20</v>
      </c>
      <c r="G310" s="115" t="s">
        <v>22</v>
      </c>
      <c r="H310" s="120"/>
      <c r="I310" s="120"/>
      <c r="J310" s="109">
        <v>5.0</v>
      </c>
      <c r="K310" s="109"/>
      <c r="L310" s="108"/>
      <c r="M310" s="108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9"/>
      <c r="B311" s="125">
        <v>46085.0</v>
      </c>
      <c r="C311" s="107" t="s">
        <v>10</v>
      </c>
      <c r="D311" s="107" t="s">
        <v>133</v>
      </c>
      <c r="E311" s="107" t="s">
        <v>80</v>
      </c>
      <c r="F311" s="107" t="s">
        <v>20</v>
      </c>
      <c r="G311" s="107" t="s">
        <v>35</v>
      </c>
      <c r="H311" s="123"/>
      <c r="I311" s="123"/>
      <c r="J311" s="112">
        <v>0.5</v>
      </c>
      <c r="K311" s="112"/>
      <c r="L311" s="111" t="s">
        <v>322</v>
      </c>
      <c r="M311" s="111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9"/>
      <c r="B312" s="124">
        <v>46085.0</v>
      </c>
      <c r="C312" s="115" t="s">
        <v>18</v>
      </c>
      <c r="D312" s="115" t="s">
        <v>89</v>
      </c>
      <c r="E312" s="115" t="s">
        <v>19</v>
      </c>
      <c r="F312" s="115" t="s">
        <v>20</v>
      </c>
      <c r="G312" s="115" t="s">
        <v>22</v>
      </c>
      <c r="H312" s="120"/>
      <c r="I312" s="120"/>
      <c r="J312" s="109">
        <v>0.42</v>
      </c>
      <c r="K312" s="109"/>
      <c r="L312" s="108" t="s">
        <v>84</v>
      </c>
      <c r="M312" s="108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9"/>
      <c r="B313" s="125">
        <v>46085.0</v>
      </c>
      <c r="C313" s="107" t="s">
        <v>18</v>
      </c>
      <c r="D313" s="107" t="s">
        <v>89</v>
      </c>
      <c r="E313" s="107" t="s">
        <v>19</v>
      </c>
      <c r="F313" s="107" t="s">
        <v>20</v>
      </c>
      <c r="G313" s="107" t="s">
        <v>22</v>
      </c>
      <c r="H313" s="123"/>
      <c r="I313" s="123"/>
      <c r="J313" s="112">
        <v>3.5</v>
      </c>
      <c r="K313" s="112">
        <v>1.0</v>
      </c>
      <c r="L313" s="111" t="s">
        <v>323</v>
      </c>
      <c r="M313" s="111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9"/>
      <c r="B314" s="124">
        <v>46085.0</v>
      </c>
      <c r="C314" s="115" t="s">
        <v>18</v>
      </c>
      <c r="D314" s="115" t="s">
        <v>17</v>
      </c>
      <c r="E314" s="115" t="s">
        <v>96</v>
      </c>
      <c r="F314" s="115" t="s">
        <v>54</v>
      </c>
      <c r="G314" s="115" t="s">
        <v>54</v>
      </c>
      <c r="H314" s="120"/>
      <c r="I314" s="120"/>
      <c r="J314" s="109">
        <v>1.25</v>
      </c>
      <c r="K314" s="109"/>
      <c r="L314" s="108" t="s">
        <v>324</v>
      </c>
      <c r="M314" s="108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9"/>
      <c r="B315" s="125">
        <v>46085.0</v>
      </c>
      <c r="C315" s="107" t="s">
        <v>18</v>
      </c>
      <c r="D315" s="107" t="s">
        <v>89</v>
      </c>
      <c r="E315" s="107" t="s">
        <v>19</v>
      </c>
      <c r="F315" s="107" t="s">
        <v>20</v>
      </c>
      <c r="G315" s="107" t="s">
        <v>22</v>
      </c>
      <c r="H315" s="123"/>
      <c r="I315" s="123"/>
      <c r="J315" s="112">
        <v>0.25</v>
      </c>
      <c r="K315" s="112"/>
      <c r="L315" s="111" t="s">
        <v>84</v>
      </c>
      <c r="M315" s="111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9"/>
      <c r="B316" s="124">
        <v>46085.0</v>
      </c>
      <c r="C316" s="115" t="s">
        <v>18</v>
      </c>
      <c r="D316" s="115" t="s">
        <v>89</v>
      </c>
      <c r="E316" s="115" t="s">
        <v>11</v>
      </c>
      <c r="F316" s="115" t="s">
        <v>20</v>
      </c>
      <c r="G316" s="115" t="s">
        <v>22</v>
      </c>
      <c r="H316" s="120"/>
      <c r="I316" s="120"/>
      <c r="J316" s="109">
        <v>0.08</v>
      </c>
      <c r="K316" s="109"/>
      <c r="L316" s="108" t="s">
        <v>84</v>
      </c>
      <c r="M316" s="108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9"/>
      <c r="B317" s="125">
        <v>46085.0</v>
      </c>
      <c r="C317" s="107" t="s">
        <v>18</v>
      </c>
      <c r="D317" s="107" t="s">
        <v>91</v>
      </c>
      <c r="E317" s="107" t="s">
        <v>39</v>
      </c>
      <c r="F317" s="107" t="s">
        <v>20</v>
      </c>
      <c r="G317" s="107" t="s">
        <v>22</v>
      </c>
      <c r="H317" s="123"/>
      <c r="I317" s="123"/>
      <c r="J317" s="112">
        <f>0.55*1</f>
        <v>0.55</v>
      </c>
      <c r="K317" s="112"/>
      <c r="L317" s="111" t="s">
        <v>84</v>
      </c>
      <c r="M317" s="111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9"/>
      <c r="B318" s="124">
        <v>46085.0</v>
      </c>
      <c r="C318" s="115" t="s">
        <v>18</v>
      </c>
      <c r="D318" s="115" t="s">
        <v>89</v>
      </c>
      <c r="E318" s="115" t="s">
        <v>39</v>
      </c>
      <c r="F318" s="115" t="s">
        <v>20</v>
      </c>
      <c r="G318" s="115" t="s">
        <v>22</v>
      </c>
      <c r="H318" s="120"/>
      <c r="I318" s="120"/>
      <c r="J318" s="109">
        <v>0.45</v>
      </c>
      <c r="K318" s="109"/>
      <c r="L318" s="108" t="s">
        <v>84</v>
      </c>
      <c r="M318" s="108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9"/>
      <c r="B319" s="125">
        <v>46085.0</v>
      </c>
      <c r="C319" s="107" t="s">
        <v>18</v>
      </c>
      <c r="D319" s="107" t="s">
        <v>17</v>
      </c>
      <c r="E319" s="107" t="s">
        <v>59</v>
      </c>
      <c r="F319" s="107" t="s">
        <v>20</v>
      </c>
      <c r="G319" s="107" t="s">
        <v>22</v>
      </c>
      <c r="H319" s="123"/>
      <c r="I319" s="123"/>
      <c r="J319" s="112">
        <v>1.5</v>
      </c>
      <c r="K319" s="112"/>
      <c r="L319" s="111" t="s">
        <v>84</v>
      </c>
      <c r="M319" s="111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9"/>
      <c r="B320" s="124">
        <v>46085.0</v>
      </c>
      <c r="C320" s="115" t="s">
        <v>38</v>
      </c>
      <c r="D320" s="115" t="s">
        <v>56</v>
      </c>
      <c r="E320" s="115" t="s">
        <v>132</v>
      </c>
      <c r="F320" s="115" t="s">
        <v>13</v>
      </c>
      <c r="G320" s="118" t="s">
        <v>13</v>
      </c>
      <c r="H320" s="118"/>
      <c r="I320" s="118"/>
      <c r="J320" s="109">
        <v>1.5</v>
      </c>
      <c r="K320" s="109"/>
      <c r="L320" s="108" t="s">
        <v>325</v>
      </c>
      <c r="M320" s="108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9"/>
      <c r="B321" s="125">
        <v>46085.0</v>
      </c>
      <c r="C321" s="107" t="s">
        <v>38</v>
      </c>
      <c r="D321" s="107" t="s">
        <v>56</v>
      </c>
      <c r="E321" s="107" t="s">
        <v>132</v>
      </c>
      <c r="F321" s="107" t="s">
        <v>13</v>
      </c>
      <c r="G321" s="132" t="s">
        <v>13</v>
      </c>
      <c r="H321" s="132"/>
      <c r="I321" s="132"/>
      <c r="J321" s="112">
        <f>3*0.1171</f>
        <v>0.3513</v>
      </c>
      <c r="K321" s="112"/>
      <c r="L321" s="111" t="s">
        <v>326</v>
      </c>
      <c r="M321" s="111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9"/>
      <c r="B322" s="124">
        <v>46085.0</v>
      </c>
      <c r="C322" s="115" t="s">
        <v>38</v>
      </c>
      <c r="D322" s="115" t="s">
        <v>89</v>
      </c>
      <c r="E322" s="115" t="s">
        <v>19</v>
      </c>
      <c r="F322" s="115" t="s">
        <v>13</v>
      </c>
      <c r="G322" s="118" t="s">
        <v>13</v>
      </c>
      <c r="H322" s="118"/>
      <c r="I322" s="118"/>
      <c r="J322" s="109">
        <v>2.0</v>
      </c>
      <c r="K322" s="109"/>
      <c r="L322" s="108" t="s">
        <v>326</v>
      </c>
      <c r="M322" s="108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9"/>
      <c r="B323" s="125">
        <v>46085.0</v>
      </c>
      <c r="C323" s="107" t="s">
        <v>38</v>
      </c>
      <c r="D323" s="107" t="s">
        <v>89</v>
      </c>
      <c r="E323" s="107" t="s">
        <v>11</v>
      </c>
      <c r="F323" s="107" t="s">
        <v>13</v>
      </c>
      <c r="G323" s="132" t="s">
        <v>13</v>
      </c>
      <c r="H323" s="132"/>
      <c r="I323" s="132"/>
      <c r="J323" s="112">
        <v>0.5</v>
      </c>
      <c r="K323" s="112"/>
      <c r="L323" s="111" t="s">
        <v>326</v>
      </c>
      <c r="M323" s="111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9"/>
      <c r="B324" s="124">
        <v>46085.0</v>
      </c>
      <c r="C324" s="115" t="s">
        <v>38</v>
      </c>
      <c r="D324" s="115" t="s">
        <v>100</v>
      </c>
      <c r="E324" s="115" t="s">
        <v>19</v>
      </c>
      <c r="F324" s="115" t="s">
        <v>13</v>
      </c>
      <c r="G324" s="118" t="s">
        <v>13</v>
      </c>
      <c r="H324" s="120"/>
      <c r="I324" s="120"/>
      <c r="J324" s="109">
        <v>0.5</v>
      </c>
      <c r="K324" s="109"/>
      <c r="L324" s="108" t="s">
        <v>326</v>
      </c>
      <c r="M324" s="108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9"/>
      <c r="B325" s="125">
        <v>46086.0</v>
      </c>
      <c r="C325" s="107" t="s">
        <v>10</v>
      </c>
      <c r="D325" s="107" t="s">
        <v>56</v>
      </c>
      <c r="E325" s="107" t="s">
        <v>56</v>
      </c>
      <c r="F325" s="107" t="s">
        <v>20</v>
      </c>
      <c r="G325" s="107" t="s">
        <v>21</v>
      </c>
      <c r="H325" s="123"/>
      <c r="I325" s="123"/>
      <c r="J325" s="112">
        <v>1.0</v>
      </c>
      <c r="K325" s="112"/>
      <c r="L325" s="111" t="s">
        <v>327</v>
      </c>
      <c r="M325" s="111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9"/>
      <c r="B326" s="124">
        <v>46086.0</v>
      </c>
      <c r="C326" s="115" t="s">
        <v>10</v>
      </c>
      <c r="D326" s="115" t="s">
        <v>328</v>
      </c>
      <c r="E326" s="115" t="s">
        <v>117</v>
      </c>
      <c r="F326" s="115" t="s">
        <v>20</v>
      </c>
      <c r="G326" s="115" t="s">
        <v>21</v>
      </c>
      <c r="H326" s="120"/>
      <c r="I326" s="120"/>
      <c r="J326" s="109">
        <v>0.5</v>
      </c>
      <c r="K326" s="109"/>
      <c r="L326" s="108" t="s">
        <v>329</v>
      </c>
      <c r="M326" s="108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9"/>
      <c r="B327" s="125">
        <v>46086.0</v>
      </c>
      <c r="C327" s="107" t="s">
        <v>10</v>
      </c>
      <c r="D327" s="107" t="s">
        <v>56</v>
      </c>
      <c r="E327" s="107" t="s">
        <v>132</v>
      </c>
      <c r="F327" s="107" t="s">
        <v>20</v>
      </c>
      <c r="G327" s="107" t="s">
        <v>22</v>
      </c>
      <c r="H327" s="123"/>
      <c r="I327" s="123"/>
      <c r="J327" s="112">
        <v>4.5</v>
      </c>
      <c r="K327" s="112"/>
      <c r="L327" s="111" t="s">
        <v>330</v>
      </c>
      <c r="M327" s="111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9"/>
      <c r="B328" s="124">
        <v>46086.0</v>
      </c>
      <c r="C328" s="115" t="s">
        <v>10</v>
      </c>
      <c r="D328" s="115" t="s">
        <v>89</v>
      </c>
      <c r="E328" s="115" t="s">
        <v>11</v>
      </c>
      <c r="F328" s="115" t="s">
        <v>20</v>
      </c>
      <c r="G328" s="115" t="s">
        <v>22</v>
      </c>
      <c r="H328" s="120"/>
      <c r="I328" s="120"/>
      <c r="J328" s="109">
        <v>1.0</v>
      </c>
      <c r="K328" s="109">
        <v>2.0</v>
      </c>
      <c r="L328" s="108" t="s">
        <v>243</v>
      </c>
      <c r="M328" s="108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9"/>
      <c r="B329" s="125">
        <v>46086.0</v>
      </c>
      <c r="C329" s="107" t="s">
        <v>10</v>
      </c>
      <c r="D329" s="107" t="s">
        <v>56</v>
      </c>
      <c r="E329" s="107" t="s">
        <v>132</v>
      </c>
      <c r="F329" s="107" t="s">
        <v>24</v>
      </c>
      <c r="G329" s="107" t="s">
        <v>25</v>
      </c>
      <c r="H329" s="123"/>
      <c r="I329" s="123"/>
      <c r="J329" s="112">
        <v>1.0</v>
      </c>
      <c r="K329" s="112"/>
      <c r="L329" s="111"/>
      <c r="M329" s="111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9"/>
      <c r="B330" s="124">
        <v>46086.0</v>
      </c>
      <c r="C330" s="115" t="s">
        <v>18</v>
      </c>
      <c r="D330" s="115" t="s">
        <v>89</v>
      </c>
      <c r="E330" s="115" t="s">
        <v>19</v>
      </c>
      <c r="F330" s="115" t="s">
        <v>20</v>
      </c>
      <c r="G330" s="115" t="s">
        <v>22</v>
      </c>
      <c r="H330" s="120"/>
      <c r="I330" s="120"/>
      <c r="J330" s="109">
        <v>8.0</v>
      </c>
      <c r="K330" s="109">
        <v>2.0</v>
      </c>
      <c r="L330" s="108" t="s">
        <v>22</v>
      </c>
      <c r="M330" s="108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9"/>
      <c r="B331" s="125">
        <v>46086.0</v>
      </c>
      <c r="C331" s="107" t="s">
        <v>38</v>
      </c>
      <c r="D331" s="107" t="s">
        <v>89</v>
      </c>
      <c r="E331" s="107" t="s">
        <v>28</v>
      </c>
      <c r="F331" s="107" t="s">
        <v>13</v>
      </c>
      <c r="G331" s="132" t="s">
        <v>13</v>
      </c>
      <c r="H331" s="132"/>
      <c r="I331" s="132"/>
      <c r="J331" s="112">
        <f>0.82*(1+(20/60))</f>
        <v>1.093333333</v>
      </c>
      <c r="K331" s="112"/>
      <c r="L331" s="111" t="s">
        <v>326</v>
      </c>
      <c r="M331" s="111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9"/>
      <c r="B332" s="124">
        <v>46086.0</v>
      </c>
      <c r="C332" s="115" t="s">
        <v>38</v>
      </c>
      <c r="D332" s="115" t="s">
        <v>89</v>
      </c>
      <c r="E332" s="115" t="s">
        <v>11</v>
      </c>
      <c r="F332" s="115" t="s">
        <v>13</v>
      </c>
      <c r="G332" s="118" t="s">
        <v>13</v>
      </c>
      <c r="H332" s="118"/>
      <c r="I332" s="118"/>
      <c r="J332" s="109">
        <v>0.35</v>
      </c>
      <c r="K332" s="109"/>
      <c r="L332" s="108" t="s">
        <v>326</v>
      </c>
      <c r="M332" s="108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9"/>
      <c r="B333" s="125">
        <v>46087.0</v>
      </c>
      <c r="C333" s="107" t="s">
        <v>10</v>
      </c>
      <c r="D333" s="107" t="s">
        <v>56</v>
      </c>
      <c r="E333" s="107" t="s">
        <v>132</v>
      </c>
      <c r="F333" s="107" t="s">
        <v>24</v>
      </c>
      <c r="G333" s="107" t="s">
        <v>25</v>
      </c>
      <c r="H333" s="123"/>
      <c r="I333" s="123"/>
      <c r="J333" s="112">
        <v>2.5</v>
      </c>
      <c r="K333" s="112"/>
      <c r="L333" s="111" t="s">
        <v>331</v>
      </c>
      <c r="M333" s="111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9"/>
      <c r="B334" s="124">
        <v>46087.0</v>
      </c>
      <c r="C334" s="115" t="s">
        <v>10</v>
      </c>
      <c r="D334" s="115" t="s">
        <v>328</v>
      </c>
      <c r="E334" s="115" t="s">
        <v>80</v>
      </c>
      <c r="F334" s="115" t="s">
        <v>20</v>
      </c>
      <c r="G334" s="115" t="s">
        <v>21</v>
      </c>
      <c r="H334" s="120"/>
      <c r="I334" s="120"/>
      <c r="J334" s="109">
        <v>0.5</v>
      </c>
      <c r="K334" s="109"/>
      <c r="L334" s="108" t="s">
        <v>332</v>
      </c>
      <c r="M334" s="108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9"/>
      <c r="B335" s="125">
        <v>46087.0</v>
      </c>
      <c r="C335" s="107" t="s">
        <v>10</v>
      </c>
      <c r="D335" s="107" t="s">
        <v>89</v>
      </c>
      <c r="E335" s="107" t="s">
        <v>11</v>
      </c>
      <c r="F335" s="107" t="s">
        <v>20</v>
      </c>
      <c r="G335" s="107" t="s">
        <v>22</v>
      </c>
      <c r="H335" s="123"/>
      <c r="I335" s="123"/>
      <c r="J335" s="112">
        <v>2.5</v>
      </c>
      <c r="K335" s="112">
        <v>2.0</v>
      </c>
      <c r="L335" s="111" t="s">
        <v>22</v>
      </c>
      <c r="M335" s="111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9"/>
      <c r="B336" s="124">
        <v>46087.0</v>
      </c>
      <c r="C336" s="115" t="s">
        <v>10</v>
      </c>
      <c r="D336" s="115" t="s">
        <v>17</v>
      </c>
      <c r="E336" s="115" t="s">
        <v>96</v>
      </c>
      <c r="F336" s="115" t="s">
        <v>20</v>
      </c>
      <c r="G336" s="108" t="s">
        <v>57</v>
      </c>
      <c r="H336" s="120"/>
      <c r="I336" s="120"/>
      <c r="J336" s="109">
        <v>2.5</v>
      </c>
      <c r="K336" s="109"/>
      <c r="L336" s="108" t="s">
        <v>333</v>
      </c>
      <c r="M336" s="108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9"/>
      <c r="B337" s="125">
        <v>46087.0</v>
      </c>
      <c r="C337" s="107" t="s">
        <v>18</v>
      </c>
      <c r="D337" s="107" t="s">
        <v>89</v>
      </c>
      <c r="E337" s="107" t="s">
        <v>19</v>
      </c>
      <c r="F337" s="107" t="s">
        <v>20</v>
      </c>
      <c r="G337" s="107" t="s">
        <v>22</v>
      </c>
      <c r="H337" s="123"/>
      <c r="I337" s="123"/>
      <c r="J337" s="112">
        <v>8.0</v>
      </c>
      <c r="K337" s="112">
        <v>2.0</v>
      </c>
      <c r="L337" s="111" t="s">
        <v>22</v>
      </c>
      <c r="M337" s="111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9"/>
      <c r="B338" s="124">
        <v>46088.0</v>
      </c>
      <c r="C338" s="133" t="s">
        <v>10</v>
      </c>
      <c r="D338" s="133" t="s">
        <v>89</v>
      </c>
      <c r="E338" s="133" t="s">
        <v>19</v>
      </c>
      <c r="F338" s="133" t="s">
        <v>24</v>
      </c>
      <c r="G338" s="133" t="s">
        <v>25</v>
      </c>
      <c r="H338" s="120"/>
      <c r="I338" s="120"/>
      <c r="J338" s="109"/>
      <c r="K338" s="109">
        <v>5.5</v>
      </c>
      <c r="L338" s="108"/>
      <c r="M338" s="108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9"/>
      <c r="B339" s="125">
        <v>46088.0</v>
      </c>
      <c r="C339" s="134" t="s">
        <v>10</v>
      </c>
      <c r="D339" s="134" t="s">
        <v>89</v>
      </c>
      <c r="E339" s="134" t="s">
        <v>11</v>
      </c>
      <c r="F339" s="134" t="s">
        <v>20</v>
      </c>
      <c r="G339" s="134" t="s">
        <v>22</v>
      </c>
      <c r="H339" s="123"/>
      <c r="I339" s="123"/>
      <c r="J339" s="112"/>
      <c r="K339" s="112">
        <v>1.0</v>
      </c>
      <c r="L339" s="111"/>
      <c r="M339" s="111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9"/>
      <c r="B340" s="124">
        <v>46088.0</v>
      </c>
      <c r="C340" s="133" t="s">
        <v>10</v>
      </c>
      <c r="D340" s="115" t="s">
        <v>49</v>
      </c>
      <c r="E340" s="115" t="s">
        <v>156</v>
      </c>
      <c r="F340" s="133" t="s">
        <v>20</v>
      </c>
      <c r="G340" s="133" t="s">
        <v>22</v>
      </c>
      <c r="H340" s="120"/>
      <c r="I340" s="120"/>
      <c r="J340" s="109"/>
      <c r="K340" s="109">
        <v>0.5</v>
      </c>
      <c r="L340" s="108"/>
      <c r="M340" s="108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9"/>
      <c r="B341" s="125">
        <v>46088.0</v>
      </c>
      <c r="C341" s="134" t="s">
        <v>18</v>
      </c>
      <c r="D341" s="134" t="s">
        <v>89</v>
      </c>
      <c r="E341" s="107" t="s">
        <v>62</v>
      </c>
      <c r="F341" s="107" t="s">
        <v>20</v>
      </c>
      <c r="G341" s="132" t="s">
        <v>22</v>
      </c>
      <c r="H341" s="132"/>
      <c r="I341" s="132"/>
      <c r="J341" s="112"/>
      <c r="K341" s="112">
        <v>1.0</v>
      </c>
      <c r="L341" s="111" t="s">
        <v>334</v>
      </c>
      <c r="M341" s="111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9"/>
      <c r="B342" s="124">
        <v>46088.0</v>
      </c>
      <c r="C342" s="133" t="s">
        <v>18</v>
      </c>
      <c r="D342" s="133" t="s">
        <v>89</v>
      </c>
      <c r="E342" s="133" t="s">
        <v>19</v>
      </c>
      <c r="F342" s="133" t="s">
        <v>20</v>
      </c>
      <c r="G342" s="133" t="s">
        <v>22</v>
      </c>
      <c r="H342" s="120"/>
      <c r="I342" s="120"/>
      <c r="J342" s="109"/>
      <c r="K342" s="109">
        <v>4.0</v>
      </c>
      <c r="L342" s="108"/>
      <c r="M342" s="108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9"/>
      <c r="B343" s="125">
        <v>46088.0</v>
      </c>
      <c r="C343" s="134" t="s">
        <v>18</v>
      </c>
      <c r="D343" s="134" t="s">
        <v>89</v>
      </c>
      <c r="E343" s="134" t="s">
        <v>11</v>
      </c>
      <c r="F343" s="134" t="s">
        <v>20</v>
      </c>
      <c r="G343" s="134" t="s">
        <v>22</v>
      </c>
      <c r="H343" s="123"/>
      <c r="I343" s="123"/>
      <c r="J343" s="112"/>
      <c r="K343" s="112">
        <v>1.0</v>
      </c>
      <c r="L343" s="111"/>
      <c r="M343" s="111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9"/>
      <c r="B344" s="124">
        <v>46088.0</v>
      </c>
      <c r="C344" s="133" t="s">
        <v>18</v>
      </c>
      <c r="D344" s="133" t="s">
        <v>89</v>
      </c>
      <c r="E344" s="133" t="s">
        <v>11</v>
      </c>
      <c r="F344" s="115" t="s">
        <v>24</v>
      </c>
      <c r="G344" s="115" t="s">
        <v>25</v>
      </c>
      <c r="H344" s="120"/>
      <c r="I344" s="120"/>
      <c r="J344" s="109"/>
      <c r="K344" s="109">
        <v>1.0</v>
      </c>
      <c r="L344" s="108"/>
      <c r="M344" s="108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9"/>
      <c r="B345" s="125">
        <v>46088.0</v>
      </c>
      <c r="C345" s="134" t="s">
        <v>27</v>
      </c>
      <c r="D345" s="134" t="s">
        <v>89</v>
      </c>
      <c r="E345" s="107" t="s">
        <v>62</v>
      </c>
      <c r="F345" s="107" t="s">
        <v>20</v>
      </c>
      <c r="G345" s="132" t="s">
        <v>22</v>
      </c>
      <c r="H345" s="132"/>
      <c r="I345" s="132"/>
      <c r="J345" s="112"/>
      <c r="K345" s="112">
        <v>1.0</v>
      </c>
      <c r="L345" s="111" t="s">
        <v>335</v>
      </c>
      <c r="M345" s="111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9"/>
      <c r="B346" s="124">
        <v>46088.0</v>
      </c>
      <c r="C346" s="133" t="s">
        <v>27</v>
      </c>
      <c r="D346" s="133" t="s">
        <v>89</v>
      </c>
      <c r="E346" s="133" t="s">
        <v>19</v>
      </c>
      <c r="F346" s="133" t="s">
        <v>24</v>
      </c>
      <c r="G346" s="133" t="s">
        <v>25</v>
      </c>
      <c r="H346" s="120"/>
      <c r="I346" s="120"/>
      <c r="J346" s="109"/>
      <c r="K346" s="109">
        <v>3.0</v>
      </c>
      <c r="L346" s="108"/>
      <c r="M346" s="108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9"/>
      <c r="B347" s="125">
        <v>46088.0</v>
      </c>
      <c r="C347" s="134" t="s">
        <v>27</v>
      </c>
      <c r="D347" s="134" t="s">
        <v>89</v>
      </c>
      <c r="E347" s="134" t="s">
        <v>11</v>
      </c>
      <c r="F347" s="134" t="s">
        <v>24</v>
      </c>
      <c r="G347" s="134" t="s">
        <v>25</v>
      </c>
      <c r="H347" s="123"/>
      <c r="I347" s="123"/>
      <c r="J347" s="112"/>
      <c r="K347" s="112">
        <v>3.0</v>
      </c>
      <c r="L347" s="111"/>
      <c r="M347" s="111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9"/>
      <c r="B348" s="124">
        <v>46090.0</v>
      </c>
      <c r="C348" s="133" t="s">
        <v>10</v>
      </c>
      <c r="D348" s="133" t="s">
        <v>89</v>
      </c>
      <c r="E348" s="133" t="s">
        <v>19</v>
      </c>
      <c r="F348" s="133" t="s">
        <v>24</v>
      </c>
      <c r="G348" s="115" t="s">
        <v>31</v>
      </c>
      <c r="H348" s="120"/>
      <c r="I348" s="120"/>
      <c r="J348" s="109">
        <v>0.66</v>
      </c>
      <c r="K348" s="109">
        <v>2.0</v>
      </c>
      <c r="L348" s="108" t="s">
        <v>206</v>
      </c>
      <c r="M348" s="108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9"/>
      <c r="B349" s="125">
        <v>46090.0</v>
      </c>
      <c r="C349" s="134" t="s">
        <v>10</v>
      </c>
      <c r="D349" s="134" t="s">
        <v>89</v>
      </c>
      <c r="E349" s="134" t="s">
        <v>11</v>
      </c>
      <c r="F349" s="134" t="s">
        <v>24</v>
      </c>
      <c r="G349" s="107" t="s">
        <v>31</v>
      </c>
      <c r="H349" s="123"/>
      <c r="I349" s="123"/>
      <c r="J349" s="112">
        <v>3.0</v>
      </c>
      <c r="K349" s="112"/>
      <c r="L349" s="111" t="s">
        <v>206</v>
      </c>
      <c r="M349" s="111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9"/>
      <c r="B350" s="124">
        <v>46090.0</v>
      </c>
      <c r="C350" s="133" t="s">
        <v>10</v>
      </c>
      <c r="D350" s="133" t="s">
        <v>89</v>
      </c>
      <c r="E350" s="133" t="s">
        <v>11</v>
      </c>
      <c r="F350" s="133" t="s">
        <v>24</v>
      </c>
      <c r="G350" s="133" t="s">
        <v>25</v>
      </c>
      <c r="H350" s="120"/>
      <c r="I350" s="120"/>
      <c r="J350" s="109">
        <v>2.5</v>
      </c>
      <c r="K350" s="109"/>
      <c r="L350" s="108"/>
      <c r="M350" s="108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9"/>
      <c r="B351" s="125">
        <v>46090.0</v>
      </c>
      <c r="C351" s="134" t="s">
        <v>10</v>
      </c>
      <c r="D351" s="134" t="s">
        <v>17</v>
      </c>
      <c r="E351" s="134" t="s">
        <v>132</v>
      </c>
      <c r="F351" s="134" t="s">
        <v>24</v>
      </c>
      <c r="G351" s="107" t="s">
        <v>31</v>
      </c>
      <c r="H351" s="123"/>
      <c r="I351" s="123"/>
      <c r="J351" s="112">
        <v>1.5</v>
      </c>
      <c r="K351" s="112"/>
      <c r="L351" s="111"/>
      <c r="M351" s="111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9"/>
      <c r="B352" s="124">
        <v>46090.0</v>
      </c>
      <c r="C352" s="133" t="s">
        <v>18</v>
      </c>
      <c r="D352" s="133" t="s">
        <v>89</v>
      </c>
      <c r="E352" s="133" t="s">
        <v>28</v>
      </c>
      <c r="F352" s="133" t="s">
        <v>20</v>
      </c>
      <c r="G352" s="133" t="s">
        <v>22</v>
      </c>
      <c r="H352" s="120"/>
      <c r="I352" s="120"/>
      <c r="J352" s="109">
        <v>2.0</v>
      </c>
      <c r="K352" s="109">
        <v>2.0</v>
      </c>
      <c r="L352" s="108"/>
      <c r="M352" s="108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9"/>
      <c r="B353" s="125">
        <v>46090.0</v>
      </c>
      <c r="C353" s="134" t="s">
        <v>18</v>
      </c>
      <c r="D353" s="134" t="s">
        <v>89</v>
      </c>
      <c r="E353" s="134" t="s">
        <v>19</v>
      </c>
      <c r="F353" s="134" t="s">
        <v>24</v>
      </c>
      <c r="G353" s="134" t="s">
        <v>25</v>
      </c>
      <c r="H353" s="123"/>
      <c r="I353" s="123"/>
      <c r="J353" s="112">
        <v>3.0</v>
      </c>
      <c r="K353" s="112"/>
      <c r="L353" s="111"/>
      <c r="M353" s="111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9"/>
      <c r="B354" s="124">
        <v>46090.0</v>
      </c>
      <c r="C354" s="133" t="s">
        <v>18</v>
      </c>
      <c r="D354" s="115" t="s">
        <v>17</v>
      </c>
      <c r="E354" s="115" t="s">
        <v>56</v>
      </c>
      <c r="F354" s="133" t="s">
        <v>20</v>
      </c>
      <c r="G354" s="115" t="s">
        <v>21</v>
      </c>
      <c r="H354" s="120"/>
      <c r="I354" s="120"/>
      <c r="J354" s="109">
        <v>3.0</v>
      </c>
      <c r="K354" s="109"/>
      <c r="L354" s="108" t="s">
        <v>336</v>
      </c>
      <c r="M354" s="108" t="s">
        <v>337</v>
      </c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9"/>
      <c r="B355" s="125">
        <v>46090.0</v>
      </c>
      <c r="C355" s="134" t="s">
        <v>27</v>
      </c>
      <c r="D355" s="134" t="s">
        <v>89</v>
      </c>
      <c r="E355" s="134" t="s">
        <v>62</v>
      </c>
      <c r="F355" s="134" t="s">
        <v>20</v>
      </c>
      <c r="G355" s="134" t="s">
        <v>22</v>
      </c>
      <c r="H355" s="123"/>
      <c r="I355" s="123"/>
      <c r="J355" s="112">
        <v>2.0</v>
      </c>
      <c r="K355" s="112">
        <v>2.0</v>
      </c>
      <c r="L355" s="111"/>
      <c r="M355" s="111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9"/>
      <c r="B356" s="124">
        <v>46090.0</v>
      </c>
      <c r="C356" s="133" t="s">
        <v>27</v>
      </c>
      <c r="D356" s="133" t="s">
        <v>89</v>
      </c>
      <c r="E356" s="133" t="s">
        <v>19</v>
      </c>
      <c r="F356" s="133" t="s">
        <v>24</v>
      </c>
      <c r="G356" s="133" t="s">
        <v>25</v>
      </c>
      <c r="H356" s="120"/>
      <c r="I356" s="120"/>
      <c r="J356" s="109">
        <f>4.5*0.6538</f>
        <v>2.9421</v>
      </c>
      <c r="K356" s="109"/>
      <c r="L356" s="108"/>
      <c r="M356" s="108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9"/>
      <c r="B357" s="125">
        <v>46090.0</v>
      </c>
      <c r="C357" s="134" t="s">
        <v>27</v>
      </c>
      <c r="D357" s="134" t="s">
        <v>89</v>
      </c>
      <c r="E357" s="134" t="s">
        <v>11</v>
      </c>
      <c r="F357" s="134" t="s">
        <v>24</v>
      </c>
      <c r="G357" s="134" t="s">
        <v>25</v>
      </c>
      <c r="H357" s="123"/>
      <c r="I357" s="123"/>
      <c r="J357" s="112">
        <f>4.5*0.3462</f>
        <v>1.5579</v>
      </c>
      <c r="K357" s="112"/>
      <c r="L357" s="111"/>
      <c r="M357" s="111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9"/>
      <c r="B358" s="124">
        <v>46090.0</v>
      </c>
      <c r="C358" s="133" t="s">
        <v>27</v>
      </c>
      <c r="D358" s="115" t="s">
        <v>37</v>
      </c>
      <c r="E358" s="115" t="s">
        <v>96</v>
      </c>
      <c r="F358" s="115" t="s">
        <v>54</v>
      </c>
      <c r="G358" s="115" t="s">
        <v>54</v>
      </c>
      <c r="H358" s="120"/>
      <c r="I358" s="120"/>
      <c r="J358" s="109">
        <v>1.5</v>
      </c>
      <c r="K358" s="109"/>
      <c r="L358" s="108" t="s">
        <v>338</v>
      </c>
      <c r="M358" s="108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9"/>
      <c r="B359" s="125">
        <v>46090.0</v>
      </c>
      <c r="C359" s="134" t="s">
        <v>33</v>
      </c>
      <c r="D359" s="134" t="s">
        <v>89</v>
      </c>
      <c r="E359" s="134" t="s">
        <v>194</v>
      </c>
      <c r="F359" s="134" t="s">
        <v>20</v>
      </c>
      <c r="G359" s="134" t="s">
        <v>22</v>
      </c>
      <c r="H359" s="123"/>
      <c r="I359" s="123"/>
      <c r="J359" s="112">
        <v>8.0</v>
      </c>
      <c r="K359" s="112"/>
      <c r="L359" s="111"/>
      <c r="M359" s="111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9"/>
      <c r="B360" s="124">
        <v>46090.0</v>
      </c>
      <c r="C360" s="133" t="s">
        <v>33</v>
      </c>
      <c r="D360" s="133" t="s">
        <v>89</v>
      </c>
      <c r="E360" s="133" t="s">
        <v>62</v>
      </c>
      <c r="F360" s="133" t="s">
        <v>20</v>
      </c>
      <c r="G360" s="115" t="s">
        <v>22</v>
      </c>
      <c r="H360" s="120"/>
      <c r="I360" s="120"/>
      <c r="J360" s="109"/>
      <c r="K360" s="109">
        <v>1.0</v>
      </c>
      <c r="L360" s="108" t="s">
        <v>339</v>
      </c>
      <c r="M360" s="108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9"/>
      <c r="B361" s="125">
        <v>46090.0</v>
      </c>
      <c r="C361" s="134" t="s">
        <v>10</v>
      </c>
      <c r="D361" s="107" t="s">
        <v>100</v>
      </c>
      <c r="E361" s="134" t="s">
        <v>19</v>
      </c>
      <c r="F361" s="134" t="s">
        <v>24</v>
      </c>
      <c r="G361" s="107" t="s">
        <v>31</v>
      </c>
      <c r="H361" s="123"/>
      <c r="I361" s="123"/>
      <c r="J361" s="112">
        <v>0.44</v>
      </c>
      <c r="K361" s="112"/>
      <c r="L361" s="111"/>
      <c r="M361" s="111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9"/>
      <c r="B362" s="124">
        <v>46091.0</v>
      </c>
      <c r="C362" s="133" t="s">
        <v>10</v>
      </c>
      <c r="D362" s="115" t="s">
        <v>17</v>
      </c>
      <c r="E362" s="115" t="s">
        <v>56</v>
      </c>
      <c r="F362" s="133" t="s">
        <v>20</v>
      </c>
      <c r="G362" s="133" t="s">
        <v>22</v>
      </c>
      <c r="H362" s="120"/>
      <c r="I362" s="120"/>
      <c r="J362" s="109">
        <v>1.5</v>
      </c>
      <c r="K362" s="109">
        <v>4.5</v>
      </c>
      <c r="L362" s="108" t="s">
        <v>340</v>
      </c>
      <c r="M362" s="108" t="s">
        <v>337</v>
      </c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9"/>
      <c r="B363" s="125">
        <v>46091.0</v>
      </c>
      <c r="C363" s="134" t="s">
        <v>10</v>
      </c>
      <c r="D363" s="134" t="s">
        <v>89</v>
      </c>
      <c r="E363" s="134" t="s">
        <v>11</v>
      </c>
      <c r="F363" s="134" t="s">
        <v>24</v>
      </c>
      <c r="G363" s="107" t="s">
        <v>31</v>
      </c>
      <c r="H363" s="123"/>
      <c r="I363" s="123"/>
      <c r="J363" s="112">
        <f>1*0.295</f>
        <v>0.295</v>
      </c>
      <c r="K363" s="112"/>
      <c r="L363" s="111" t="s">
        <v>70</v>
      </c>
      <c r="M363" s="111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9"/>
      <c r="B364" s="124">
        <v>46091.0</v>
      </c>
      <c r="C364" s="133" t="s">
        <v>10</v>
      </c>
      <c r="D364" s="133" t="s">
        <v>89</v>
      </c>
      <c r="E364" s="133" t="s">
        <v>28</v>
      </c>
      <c r="F364" s="133" t="s">
        <v>24</v>
      </c>
      <c r="G364" s="115" t="s">
        <v>31</v>
      </c>
      <c r="H364" s="120"/>
      <c r="I364" s="120"/>
      <c r="J364" s="109">
        <f>1*0.147</f>
        <v>0.147</v>
      </c>
      <c r="K364" s="109"/>
      <c r="L364" s="108" t="s">
        <v>70</v>
      </c>
      <c r="M364" s="108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9"/>
      <c r="B365" s="125">
        <v>46091.0</v>
      </c>
      <c r="C365" s="134" t="s">
        <v>10</v>
      </c>
      <c r="D365" s="134" t="s">
        <v>89</v>
      </c>
      <c r="E365" s="134" t="s">
        <v>19</v>
      </c>
      <c r="F365" s="134" t="s">
        <v>24</v>
      </c>
      <c r="G365" s="107" t="s">
        <v>31</v>
      </c>
      <c r="H365" s="123"/>
      <c r="I365" s="123"/>
      <c r="J365" s="112">
        <f>1*0.557</f>
        <v>0.557</v>
      </c>
      <c r="K365" s="112"/>
      <c r="L365" s="111" t="s">
        <v>70</v>
      </c>
      <c r="M365" s="111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9"/>
      <c r="B366" s="124">
        <v>46091.0</v>
      </c>
      <c r="C366" s="133" t="s">
        <v>10</v>
      </c>
      <c r="D366" s="133" t="s">
        <v>89</v>
      </c>
      <c r="E366" s="133" t="s">
        <v>11</v>
      </c>
      <c r="F366" s="133" t="s">
        <v>24</v>
      </c>
      <c r="G366" s="133" t="s">
        <v>25</v>
      </c>
      <c r="H366" s="120"/>
      <c r="I366" s="120"/>
      <c r="J366" s="109">
        <v>4.0</v>
      </c>
      <c r="K366" s="109"/>
      <c r="L366" s="108"/>
      <c r="M366" s="108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9"/>
      <c r="B367" s="125">
        <v>46091.0</v>
      </c>
      <c r="C367" s="134" t="s">
        <v>10</v>
      </c>
      <c r="D367" s="134" t="s">
        <v>89</v>
      </c>
      <c r="E367" s="134" t="s">
        <v>11</v>
      </c>
      <c r="F367" s="134" t="s">
        <v>24</v>
      </c>
      <c r="G367" s="107" t="s">
        <v>31</v>
      </c>
      <c r="H367" s="123"/>
      <c r="I367" s="123"/>
      <c r="J367" s="112">
        <v>1.5</v>
      </c>
      <c r="K367" s="112"/>
      <c r="L367" s="111" t="s">
        <v>24</v>
      </c>
      <c r="M367" s="111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9"/>
      <c r="B368" s="124">
        <v>46091.0</v>
      </c>
      <c r="C368" s="133" t="s">
        <v>18</v>
      </c>
      <c r="D368" s="133" t="s">
        <v>89</v>
      </c>
      <c r="E368" s="133" t="s">
        <v>28</v>
      </c>
      <c r="F368" s="133" t="s">
        <v>20</v>
      </c>
      <c r="G368" s="133" t="s">
        <v>22</v>
      </c>
      <c r="H368" s="120"/>
      <c r="I368" s="120"/>
      <c r="J368" s="109">
        <v>3.0</v>
      </c>
      <c r="K368" s="109"/>
      <c r="L368" s="108"/>
      <c r="M368" s="108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9"/>
      <c r="B369" s="125">
        <v>46091.0</v>
      </c>
      <c r="C369" s="134" t="s">
        <v>18</v>
      </c>
      <c r="D369" s="134" t="s">
        <v>89</v>
      </c>
      <c r="E369" s="134" t="s">
        <v>28</v>
      </c>
      <c r="F369" s="134" t="s">
        <v>24</v>
      </c>
      <c r="G369" s="134" t="s">
        <v>25</v>
      </c>
      <c r="H369" s="123"/>
      <c r="I369" s="123"/>
      <c r="J369" s="112"/>
      <c r="K369" s="112">
        <v>1.5</v>
      </c>
      <c r="L369" s="111"/>
      <c r="M369" s="111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9"/>
      <c r="B370" s="124">
        <v>46091.0</v>
      </c>
      <c r="C370" s="133" t="s">
        <v>18</v>
      </c>
      <c r="D370" s="133" t="s">
        <v>89</v>
      </c>
      <c r="E370" s="115" t="s">
        <v>62</v>
      </c>
      <c r="F370" s="133" t="s">
        <v>20</v>
      </c>
      <c r="G370" s="133" t="s">
        <v>22</v>
      </c>
      <c r="H370" s="120"/>
      <c r="I370" s="120"/>
      <c r="J370" s="109">
        <v>3.0</v>
      </c>
      <c r="K370" s="109"/>
      <c r="L370" s="108" t="s">
        <v>341</v>
      </c>
      <c r="M370" s="108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9"/>
      <c r="B371" s="125">
        <v>46091.0</v>
      </c>
      <c r="C371" s="134" t="s">
        <v>18</v>
      </c>
      <c r="D371" s="107" t="s">
        <v>17</v>
      </c>
      <c r="E371" s="107" t="s">
        <v>56</v>
      </c>
      <c r="F371" s="134" t="s">
        <v>20</v>
      </c>
      <c r="G371" s="134" t="s">
        <v>22</v>
      </c>
      <c r="H371" s="123"/>
      <c r="I371" s="123"/>
      <c r="J371" s="112">
        <v>2.0</v>
      </c>
      <c r="K371" s="112"/>
      <c r="L371" s="111" t="s">
        <v>342</v>
      </c>
      <c r="M371" s="111" t="s">
        <v>337</v>
      </c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9"/>
      <c r="B372" s="124">
        <v>46091.0</v>
      </c>
      <c r="C372" s="133" t="s">
        <v>18</v>
      </c>
      <c r="D372" s="115" t="s">
        <v>17</v>
      </c>
      <c r="E372" s="115" t="s">
        <v>96</v>
      </c>
      <c r="F372" s="115" t="s">
        <v>54</v>
      </c>
      <c r="G372" s="115" t="s">
        <v>54</v>
      </c>
      <c r="H372" s="120"/>
      <c r="I372" s="120"/>
      <c r="J372" s="109"/>
      <c r="K372" s="109">
        <v>0.5</v>
      </c>
      <c r="L372" s="108"/>
      <c r="M372" s="108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9"/>
      <c r="B373" s="125">
        <v>46091.0</v>
      </c>
      <c r="C373" s="107" t="s">
        <v>38</v>
      </c>
      <c r="D373" s="107" t="s">
        <v>17</v>
      </c>
      <c r="E373" s="107" t="s">
        <v>56</v>
      </c>
      <c r="F373" s="134" t="s">
        <v>20</v>
      </c>
      <c r="G373" s="134" t="s">
        <v>22</v>
      </c>
      <c r="H373" s="123"/>
      <c r="I373" s="123"/>
      <c r="J373" s="112">
        <v>3.0</v>
      </c>
      <c r="K373" s="112"/>
      <c r="L373" s="111" t="s">
        <v>343</v>
      </c>
      <c r="M373" s="111" t="s">
        <v>337</v>
      </c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9"/>
      <c r="B374" s="124">
        <v>46091.0</v>
      </c>
      <c r="C374" s="133" t="s">
        <v>27</v>
      </c>
      <c r="D374" s="115" t="s">
        <v>17</v>
      </c>
      <c r="E374" s="115" t="s">
        <v>56</v>
      </c>
      <c r="F374" s="133" t="s">
        <v>20</v>
      </c>
      <c r="G374" s="133" t="s">
        <v>22</v>
      </c>
      <c r="H374" s="120"/>
      <c r="I374" s="120"/>
      <c r="J374" s="109">
        <v>0.0</v>
      </c>
      <c r="K374" s="109">
        <v>1.5</v>
      </c>
      <c r="L374" s="108" t="s">
        <v>344</v>
      </c>
      <c r="M374" s="108" t="s">
        <v>337</v>
      </c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9"/>
      <c r="B375" s="125">
        <v>46091.0</v>
      </c>
      <c r="C375" s="134" t="s">
        <v>27</v>
      </c>
      <c r="D375" s="134" t="s">
        <v>89</v>
      </c>
      <c r="E375" s="134" t="s">
        <v>62</v>
      </c>
      <c r="F375" s="134" t="s">
        <v>20</v>
      </c>
      <c r="G375" s="134" t="s">
        <v>22</v>
      </c>
      <c r="H375" s="123"/>
      <c r="I375" s="123"/>
      <c r="J375" s="112">
        <v>8.0</v>
      </c>
      <c r="K375" s="112">
        <v>2.0</v>
      </c>
      <c r="L375" s="111"/>
      <c r="M375" s="111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9"/>
      <c r="B376" s="124">
        <v>46091.0</v>
      </c>
      <c r="C376" s="133" t="s">
        <v>33</v>
      </c>
      <c r="D376" s="133" t="s">
        <v>89</v>
      </c>
      <c r="E376" s="133" t="s">
        <v>194</v>
      </c>
      <c r="F376" s="133" t="s">
        <v>20</v>
      </c>
      <c r="G376" s="133" t="s">
        <v>22</v>
      </c>
      <c r="H376" s="120"/>
      <c r="I376" s="120"/>
      <c r="J376" s="109">
        <v>4.0</v>
      </c>
      <c r="K376" s="109">
        <v>1.0</v>
      </c>
      <c r="L376" s="108"/>
      <c r="M376" s="108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9"/>
      <c r="B377" s="125">
        <v>46091.0</v>
      </c>
      <c r="C377" s="134" t="s">
        <v>33</v>
      </c>
      <c r="D377" s="134" t="s">
        <v>89</v>
      </c>
      <c r="E377" s="134" t="s">
        <v>62</v>
      </c>
      <c r="F377" s="134" t="s">
        <v>20</v>
      </c>
      <c r="G377" s="134" t="s">
        <v>22</v>
      </c>
      <c r="H377" s="123"/>
      <c r="I377" s="123"/>
      <c r="J377" s="112">
        <v>2.0</v>
      </c>
      <c r="K377" s="112"/>
      <c r="L377" s="111" t="s">
        <v>339</v>
      </c>
      <c r="M377" s="111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9"/>
      <c r="B378" s="124">
        <v>46091.0</v>
      </c>
      <c r="C378" s="133" t="s">
        <v>33</v>
      </c>
      <c r="D378" s="133" t="s">
        <v>89</v>
      </c>
      <c r="E378" s="133" t="s">
        <v>19</v>
      </c>
      <c r="F378" s="133" t="s">
        <v>24</v>
      </c>
      <c r="G378" s="133" t="s">
        <v>25</v>
      </c>
      <c r="H378" s="120"/>
      <c r="I378" s="120"/>
      <c r="J378" s="109">
        <v>2.0</v>
      </c>
      <c r="K378" s="109"/>
      <c r="L378" s="108"/>
      <c r="M378" s="108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9"/>
      <c r="B379" s="125">
        <v>46092.0</v>
      </c>
      <c r="C379" s="134" t="s">
        <v>10</v>
      </c>
      <c r="D379" s="134" t="s">
        <v>89</v>
      </c>
      <c r="E379" s="134" t="s">
        <v>11</v>
      </c>
      <c r="F379" s="134" t="s">
        <v>24</v>
      </c>
      <c r="G379" s="107" t="s">
        <v>31</v>
      </c>
      <c r="H379" s="123"/>
      <c r="I379" s="123"/>
      <c r="J379" s="112">
        <v>1.5</v>
      </c>
      <c r="K379" s="112"/>
      <c r="L379" s="111" t="s">
        <v>24</v>
      </c>
      <c r="M379" s="111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9"/>
      <c r="B380" s="124">
        <v>46092.0</v>
      </c>
      <c r="C380" s="133" t="s">
        <v>10</v>
      </c>
      <c r="D380" s="133" t="s">
        <v>89</v>
      </c>
      <c r="E380" s="133" t="s">
        <v>28</v>
      </c>
      <c r="F380" s="133" t="s">
        <v>24</v>
      </c>
      <c r="G380" s="115" t="s">
        <v>25</v>
      </c>
      <c r="H380" s="120"/>
      <c r="I380" s="120"/>
      <c r="J380" s="109">
        <v>1.0</v>
      </c>
      <c r="K380" s="109"/>
      <c r="L380" s="108"/>
      <c r="M380" s="108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9"/>
      <c r="B381" s="125">
        <v>46092.0</v>
      </c>
      <c r="C381" s="134" t="s">
        <v>10</v>
      </c>
      <c r="D381" s="134" t="s">
        <v>89</v>
      </c>
      <c r="E381" s="134" t="s">
        <v>28</v>
      </c>
      <c r="F381" s="134" t="s">
        <v>24</v>
      </c>
      <c r="G381" s="107" t="s">
        <v>31</v>
      </c>
      <c r="H381" s="123"/>
      <c r="I381" s="123"/>
      <c r="J381" s="112">
        <v>1.5</v>
      </c>
      <c r="K381" s="112"/>
      <c r="L381" s="111" t="s">
        <v>206</v>
      </c>
      <c r="M381" s="111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9"/>
      <c r="B382" s="124">
        <v>46092.0</v>
      </c>
      <c r="C382" s="133" t="s">
        <v>10</v>
      </c>
      <c r="D382" s="115" t="s">
        <v>17</v>
      </c>
      <c r="E382" s="115" t="s">
        <v>56</v>
      </c>
      <c r="F382" s="133" t="s">
        <v>20</v>
      </c>
      <c r="G382" s="133" t="s">
        <v>22</v>
      </c>
      <c r="H382" s="120"/>
      <c r="I382" s="120"/>
      <c r="J382" s="109">
        <v>3.5</v>
      </c>
      <c r="K382" s="109">
        <v>3.5</v>
      </c>
      <c r="L382" s="108" t="s">
        <v>337</v>
      </c>
      <c r="M382" s="108" t="s">
        <v>337</v>
      </c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9"/>
      <c r="B383" s="125">
        <v>46092.0</v>
      </c>
      <c r="C383" s="134" t="s">
        <v>18</v>
      </c>
      <c r="D383" s="107" t="s">
        <v>89</v>
      </c>
      <c r="E383" s="134" t="s">
        <v>62</v>
      </c>
      <c r="F383" s="134" t="s">
        <v>20</v>
      </c>
      <c r="G383" s="134" t="s">
        <v>22</v>
      </c>
      <c r="H383" s="123"/>
      <c r="I383" s="123"/>
      <c r="J383" s="112">
        <v>2.0</v>
      </c>
      <c r="K383" s="112"/>
      <c r="L383" s="111"/>
      <c r="M383" s="111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9"/>
      <c r="B384" s="124">
        <v>46092.0</v>
      </c>
      <c r="C384" s="133" t="s">
        <v>18</v>
      </c>
      <c r="D384" s="133" t="s">
        <v>89</v>
      </c>
      <c r="E384" s="133" t="s">
        <v>28</v>
      </c>
      <c r="F384" s="133" t="s">
        <v>24</v>
      </c>
      <c r="G384" s="133" t="s">
        <v>25</v>
      </c>
      <c r="H384" s="120"/>
      <c r="I384" s="120"/>
      <c r="J384" s="109">
        <v>1.0</v>
      </c>
      <c r="K384" s="109"/>
      <c r="L384" s="108"/>
      <c r="M384" s="108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9"/>
      <c r="B385" s="125">
        <v>46092.0</v>
      </c>
      <c r="C385" s="134" t="s">
        <v>18</v>
      </c>
      <c r="D385" s="134" t="s">
        <v>89</v>
      </c>
      <c r="E385" s="134" t="s">
        <v>19</v>
      </c>
      <c r="F385" s="134" t="s">
        <v>24</v>
      </c>
      <c r="G385" s="134" t="s">
        <v>25</v>
      </c>
      <c r="H385" s="123"/>
      <c r="I385" s="123"/>
      <c r="J385" s="112">
        <f>3-0.49</f>
        <v>2.51</v>
      </c>
      <c r="K385" s="112">
        <v>1.0</v>
      </c>
      <c r="L385" s="111"/>
      <c r="M385" s="111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9"/>
      <c r="B386" s="124">
        <v>46092.0</v>
      </c>
      <c r="C386" s="133" t="s">
        <v>18</v>
      </c>
      <c r="D386" s="133" t="s">
        <v>89</v>
      </c>
      <c r="E386" s="133" t="s">
        <v>39</v>
      </c>
      <c r="F386" s="133" t="s">
        <v>20</v>
      </c>
      <c r="G386" s="108" t="s">
        <v>47</v>
      </c>
      <c r="H386" s="120"/>
      <c r="I386" s="120"/>
      <c r="J386" s="109"/>
      <c r="K386" s="109">
        <v>1.0</v>
      </c>
      <c r="L386" s="108"/>
      <c r="M386" s="108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9"/>
      <c r="B387" s="125">
        <v>46092.0</v>
      </c>
      <c r="C387" s="134" t="s">
        <v>18</v>
      </c>
      <c r="D387" s="107" t="s">
        <v>17</v>
      </c>
      <c r="E387" s="107" t="s">
        <v>56</v>
      </c>
      <c r="F387" s="134" t="s">
        <v>20</v>
      </c>
      <c r="G387" s="134" t="s">
        <v>22</v>
      </c>
      <c r="H387" s="123"/>
      <c r="I387" s="123"/>
      <c r="J387" s="112">
        <v>2.0</v>
      </c>
      <c r="K387" s="112"/>
      <c r="L387" s="111" t="s">
        <v>337</v>
      </c>
      <c r="M387" s="111" t="s">
        <v>337</v>
      </c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9"/>
      <c r="B388" s="124">
        <v>46092.0</v>
      </c>
      <c r="C388" s="115" t="s">
        <v>38</v>
      </c>
      <c r="D388" s="133" t="s">
        <v>89</v>
      </c>
      <c r="E388" s="133" t="s">
        <v>39</v>
      </c>
      <c r="F388" s="115" t="s">
        <v>13</v>
      </c>
      <c r="G388" s="118" t="s">
        <v>13</v>
      </c>
      <c r="H388" s="118"/>
      <c r="I388" s="118"/>
      <c r="J388" s="109">
        <v>1.75</v>
      </c>
      <c r="K388" s="109"/>
      <c r="L388" s="108" t="s">
        <v>345</v>
      </c>
      <c r="M388" s="108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9"/>
      <c r="B389" s="125">
        <v>46092.0</v>
      </c>
      <c r="C389" s="134" t="s">
        <v>27</v>
      </c>
      <c r="D389" s="134" t="s">
        <v>89</v>
      </c>
      <c r="E389" s="134" t="s">
        <v>62</v>
      </c>
      <c r="F389" s="134" t="s">
        <v>20</v>
      </c>
      <c r="G389" s="134" t="s">
        <v>22</v>
      </c>
      <c r="H389" s="123"/>
      <c r="I389" s="123"/>
      <c r="J389" s="112">
        <v>8.0</v>
      </c>
      <c r="K389" s="112">
        <v>2.0</v>
      </c>
      <c r="L389" s="111"/>
      <c r="M389" s="111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9"/>
      <c r="B390" s="124">
        <v>46092.0</v>
      </c>
      <c r="C390" s="133" t="s">
        <v>18</v>
      </c>
      <c r="D390" s="133" t="s">
        <v>89</v>
      </c>
      <c r="E390" s="133" t="s">
        <v>19</v>
      </c>
      <c r="F390" s="133" t="s">
        <v>24</v>
      </c>
      <c r="G390" s="133" t="s">
        <v>25</v>
      </c>
      <c r="H390" s="120"/>
      <c r="I390" s="120"/>
      <c r="J390" s="109">
        <v>0.49</v>
      </c>
      <c r="K390" s="109"/>
      <c r="L390" s="108"/>
      <c r="M390" s="108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9"/>
      <c r="B391" s="125">
        <v>46092.0</v>
      </c>
      <c r="C391" s="134" t="s">
        <v>33</v>
      </c>
      <c r="D391" s="107" t="s">
        <v>100</v>
      </c>
      <c r="E391" s="134" t="s">
        <v>19</v>
      </c>
      <c r="F391" s="134" t="s">
        <v>24</v>
      </c>
      <c r="G391" s="134" t="s">
        <v>25</v>
      </c>
      <c r="H391" s="123"/>
      <c r="I391" s="123"/>
      <c r="J391" s="112">
        <v>1.0</v>
      </c>
      <c r="K391" s="112"/>
      <c r="L391" s="111"/>
      <c r="M391" s="111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9"/>
      <c r="B392" s="124">
        <v>46092.0</v>
      </c>
      <c r="C392" s="133" t="s">
        <v>33</v>
      </c>
      <c r="D392" s="133" t="s">
        <v>89</v>
      </c>
      <c r="E392" s="133" t="s">
        <v>194</v>
      </c>
      <c r="F392" s="133" t="s">
        <v>20</v>
      </c>
      <c r="G392" s="133" t="s">
        <v>22</v>
      </c>
      <c r="H392" s="120"/>
      <c r="I392" s="120"/>
      <c r="J392" s="109">
        <v>7.0</v>
      </c>
      <c r="K392" s="109"/>
      <c r="L392" s="108"/>
      <c r="M392" s="108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9"/>
      <c r="B393" s="125">
        <v>46092.0</v>
      </c>
      <c r="C393" s="134" t="s">
        <v>33</v>
      </c>
      <c r="D393" s="134" t="s">
        <v>89</v>
      </c>
      <c r="E393" s="134" t="s">
        <v>62</v>
      </c>
      <c r="F393" s="134" t="s">
        <v>20</v>
      </c>
      <c r="G393" s="134" t="s">
        <v>22</v>
      </c>
      <c r="H393" s="123"/>
      <c r="I393" s="123"/>
      <c r="J393" s="112"/>
      <c r="K393" s="112">
        <v>1.0</v>
      </c>
      <c r="L393" s="111"/>
      <c r="M393" s="111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9"/>
      <c r="B394" s="124">
        <v>46093.0</v>
      </c>
      <c r="C394" s="115" t="s">
        <v>10</v>
      </c>
      <c r="D394" s="115" t="s">
        <v>100</v>
      </c>
      <c r="E394" s="133" t="s">
        <v>19</v>
      </c>
      <c r="F394" s="133" t="s">
        <v>24</v>
      </c>
      <c r="G394" s="115" t="s">
        <v>31</v>
      </c>
      <c r="H394" s="120"/>
      <c r="I394" s="120"/>
      <c r="J394" s="135">
        <v>0.55</v>
      </c>
      <c r="K394" s="135"/>
      <c r="L394" s="115"/>
      <c r="M394" s="136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9"/>
      <c r="B395" s="125">
        <v>46093.0</v>
      </c>
      <c r="C395" s="107" t="s">
        <v>10</v>
      </c>
      <c r="D395" s="134" t="s">
        <v>89</v>
      </c>
      <c r="E395" s="134" t="s">
        <v>19</v>
      </c>
      <c r="F395" s="134" t="s">
        <v>24</v>
      </c>
      <c r="G395" s="107" t="s">
        <v>31</v>
      </c>
      <c r="H395" s="123"/>
      <c r="I395" s="123"/>
      <c r="J395" s="137">
        <v>3.55</v>
      </c>
      <c r="K395" s="137"/>
      <c r="L395" s="107" t="s">
        <v>24</v>
      </c>
      <c r="M395" s="138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9"/>
      <c r="B396" s="124">
        <v>46093.0</v>
      </c>
      <c r="C396" s="115" t="s">
        <v>10</v>
      </c>
      <c r="D396" s="115" t="s">
        <v>89</v>
      </c>
      <c r="E396" s="115" t="s">
        <v>28</v>
      </c>
      <c r="F396" s="133" t="s">
        <v>24</v>
      </c>
      <c r="G396" s="115" t="s">
        <v>31</v>
      </c>
      <c r="H396" s="120"/>
      <c r="I396" s="120"/>
      <c r="J396" s="135">
        <v>2.0</v>
      </c>
      <c r="K396" s="135"/>
      <c r="L396" s="115" t="s">
        <v>24</v>
      </c>
      <c r="M396" s="136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9"/>
      <c r="B397" s="125">
        <v>46093.0</v>
      </c>
      <c r="C397" s="107" t="s">
        <v>10</v>
      </c>
      <c r="D397" s="134" t="s">
        <v>89</v>
      </c>
      <c r="E397" s="107" t="s">
        <v>39</v>
      </c>
      <c r="F397" s="134" t="s">
        <v>24</v>
      </c>
      <c r="G397" s="107" t="s">
        <v>31</v>
      </c>
      <c r="H397" s="123"/>
      <c r="I397" s="123"/>
      <c r="J397" s="137">
        <v>1.1</v>
      </c>
      <c r="K397" s="137"/>
      <c r="L397" s="107" t="s">
        <v>346</v>
      </c>
      <c r="M397" s="138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9"/>
      <c r="B398" s="124">
        <v>46093.0</v>
      </c>
      <c r="C398" s="115" t="s">
        <v>10</v>
      </c>
      <c r="D398" s="115" t="s">
        <v>91</v>
      </c>
      <c r="E398" s="133" t="s">
        <v>39</v>
      </c>
      <c r="F398" s="133" t="s">
        <v>24</v>
      </c>
      <c r="G398" s="115" t="s">
        <v>31</v>
      </c>
      <c r="H398" s="120"/>
      <c r="I398" s="120"/>
      <c r="J398" s="135">
        <v>0.9</v>
      </c>
      <c r="K398" s="135"/>
      <c r="L398" s="115" t="s">
        <v>346</v>
      </c>
      <c r="M398" s="136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9"/>
      <c r="B399" s="125">
        <v>46093.0</v>
      </c>
      <c r="C399" s="107" t="s">
        <v>10</v>
      </c>
      <c r="D399" s="134" t="s">
        <v>89</v>
      </c>
      <c r="E399" s="134" t="s">
        <v>19</v>
      </c>
      <c r="F399" s="134" t="s">
        <v>24</v>
      </c>
      <c r="G399" s="107" t="s">
        <v>31</v>
      </c>
      <c r="H399" s="123"/>
      <c r="I399" s="123"/>
      <c r="J399" s="137"/>
      <c r="K399" s="137">
        <v>0.5</v>
      </c>
      <c r="L399" s="107" t="s">
        <v>347</v>
      </c>
      <c r="M399" s="138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9"/>
      <c r="B400" s="124">
        <v>46093.0</v>
      </c>
      <c r="C400" s="115" t="s">
        <v>10</v>
      </c>
      <c r="D400" s="115" t="s">
        <v>17</v>
      </c>
      <c r="E400" s="115" t="s">
        <v>132</v>
      </c>
      <c r="F400" s="133" t="s">
        <v>24</v>
      </c>
      <c r="G400" s="115" t="s">
        <v>31</v>
      </c>
      <c r="H400" s="120"/>
      <c r="I400" s="120"/>
      <c r="J400" s="135"/>
      <c r="K400" s="135">
        <v>1.5</v>
      </c>
      <c r="L400" s="115" t="s">
        <v>206</v>
      </c>
      <c r="M400" s="136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9"/>
      <c r="B401" s="125">
        <v>46093.0</v>
      </c>
      <c r="C401" s="107" t="s">
        <v>18</v>
      </c>
      <c r="D401" s="134" t="s">
        <v>89</v>
      </c>
      <c r="E401" s="107" t="s">
        <v>28</v>
      </c>
      <c r="F401" s="134" t="s">
        <v>24</v>
      </c>
      <c r="G401" s="134" t="s">
        <v>25</v>
      </c>
      <c r="H401" s="123"/>
      <c r="I401" s="123"/>
      <c r="J401" s="112">
        <v>0.5</v>
      </c>
      <c r="K401" s="112"/>
      <c r="L401" s="111"/>
      <c r="M401" s="111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9"/>
      <c r="B402" s="124">
        <v>46093.0</v>
      </c>
      <c r="C402" s="115" t="s">
        <v>18</v>
      </c>
      <c r="D402" s="133" t="s">
        <v>89</v>
      </c>
      <c r="E402" s="115" t="s">
        <v>39</v>
      </c>
      <c r="F402" s="133" t="s">
        <v>20</v>
      </c>
      <c r="G402" s="133" t="s">
        <v>22</v>
      </c>
      <c r="H402" s="120"/>
      <c r="I402" s="120"/>
      <c r="J402" s="109">
        <f>7*0.55</f>
        <v>3.85</v>
      </c>
      <c r="K402" s="109"/>
      <c r="L402" s="108"/>
      <c r="M402" s="108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9"/>
      <c r="B403" s="125">
        <v>46093.0</v>
      </c>
      <c r="C403" s="107" t="s">
        <v>18</v>
      </c>
      <c r="D403" s="107" t="s">
        <v>91</v>
      </c>
      <c r="E403" s="134" t="s">
        <v>39</v>
      </c>
      <c r="F403" s="134" t="s">
        <v>20</v>
      </c>
      <c r="G403" s="134" t="s">
        <v>22</v>
      </c>
      <c r="H403" s="123"/>
      <c r="I403" s="123"/>
      <c r="J403" s="137">
        <f>7*0.45</f>
        <v>3.15</v>
      </c>
      <c r="K403" s="137"/>
      <c r="L403" s="138"/>
      <c r="M403" s="138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9"/>
      <c r="B404" s="124">
        <v>46093.0</v>
      </c>
      <c r="C404" s="133" t="s">
        <v>18</v>
      </c>
      <c r="D404" s="133" t="s">
        <v>348</v>
      </c>
      <c r="E404" s="133" t="s">
        <v>80</v>
      </c>
      <c r="F404" s="133" t="s">
        <v>20</v>
      </c>
      <c r="G404" s="115" t="s">
        <v>35</v>
      </c>
      <c r="H404" s="120"/>
      <c r="I404" s="120"/>
      <c r="J404" s="135">
        <v>0.5</v>
      </c>
      <c r="K404" s="135"/>
      <c r="L404" s="136" t="s">
        <v>349</v>
      </c>
      <c r="M404" s="136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9"/>
      <c r="B405" s="125">
        <v>46093.0</v>
      </c>
      <c r="C405" s="134" t="s">
        <v>18</v>
      </c>
      <c r="D405" s="107" t="s">
        <v>17</v>
      </c>
      <c r="E405" s="107" t="s">
        <v>56</v>
      </c>
      <c r="F405" s="134" t="s">
        <v>20</v>
      </c>
      <c r="G405" s="134" t="s">
        <v>22</v>
      </c>
      <c r="H405" s="123"/>
      <c r="I405" s="123"/>
      <c r="J405" s="137"/>
      <c r="K405" s="137">
        <v>2.0</v>
      </c>
      <c r="L405" s="111" t="s">
        <v>337</v>
      </c>
      <c r="M405" s="111" t="s">
        <v>337</v>
      </c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9"/>
      <c r="B406" s="124">
        <v>46093.0</v>
      </c>
      <c r="C406" s="115" t="s">
        <v>18</v>
      </c>
      <c r="D406" s="115" t="s">
        <v>91</v>
      </c>
      <c r="E406" s="133" t="s">
        <v>39</v>
      </c>
      <c r="F406" s="133" t="s">
        <v>20</v>
      </c>
      <c r="G406" s="115" t="s">
        <v>30</v>
      </c>
      <c r="H406" s="120"/>
      <c r="I406" s="120"/>
      <c r="J406" s="135">
        <v>2.0</v>
      </c>
      <c r="K406" s="135">
        <v>2.0</v>
      </c>
      <c r="L406" s="115"/>
      <c r="M406" s="136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9"/>
      <c r="B407" s="125">
        <v>46093.0</v>
      </c>
      <c r="C407" s="107" t="s">
        <v>38</v>
      </c>
      <c r="D407" s="107" t="s">
        <v>91</v>
      </c>
      <c r="E407" s="134" t="s">
        <v>39</v>
      </c>
      <c r="F407" s="107" t="s">
        <v>13</v>
      </c>
      <c r="G407" s="132" t="s">
        <v>13</v>
      </c>
      <c r="H407" s="132"/>
      <c r="I407" s="132"/>
      <c r="J407" s="112">
        <f>(15/60)*6</f>
        <v>1.5</v>
      </c>
      <c r="K407" s="112"/>
      <c r="L407" s="111" t="s">
        <v>345</v>
      </c>
      <c r="M407" s="111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9"/>
      <c r="B408" s="124">
        <v>46093.0</v>
      </c>
      <c r="C408" s="115" t="s">
        <v>27</v>
      </c>
      <c r="D408" s="115" t="s">
        <v>89</v>
      </c>
      <c r="E408" s="115" t="s">
        <v>28</v>
      </c>
      <c r="F408" s="115" t="s">
        <v>24</v>
      </c>
      <c r="G408" s="115" t="s">
        <v>25</v>
      </c>
      <c r="H408" s="120"/>
      <c r="I408" s="120"/>
      <c r="J408" s="135">
        <v>1.0</v>
      </c>
      <c r="K408" s="135"/>
      <c r="L408" s="136"/>
      <c r="M408" s="136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9"/>
      <c r="B409" s="125">
        <v>46093.0</v>
      </c>
      <c r="C409" s="107" t="s">
        <v>27</v>
      </c>
      <c r="D409" s="134" t="s">
        <v>89</v>
      </c>
      <c r="E409" s="134" t="s">
        <v>62</v>
      </c>
      <c r="F409" s="134" t="s">
        <v>20</v>
      </c>
      <c r="G409" s="134" t="s">
        <v>22</v>
      </c>
      <c r="H409" s="123"/>
      <c r="I409" s="123"/>
      <c r="J409" s="137">
        <v>5.0</v>
      </c>
      <c r="K409" s="137"/>
      <c r="L409" s="138"/>
      <c r="M409" s="138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9"/>
      <c r="B410" s="124">
        <v>46093.0</v>
      </c>
      <c r="C410" s="115" t="s">
        <v>27</v>
      </c>
      <c r="D410" s="115" t="s">
        <v>17</v>
      </c>
      <c r="E410" s="115" t="s">
        <v>56</v>
      </c>
      <c r="F410" s="133" t="s">
        <v>20</v>
      </c>
      <c r="G410" s="133" t="s">
        <v>22</v>
      </c>
      <c r="H410" s="120"/>
      <c r="I410" s="120"/>
      <c r="J410" s="135">
        <v>1.5</v>
      </c>
      <c r="K410" s="135">
        <v>2.0</v>
      </c>
      <c r="L410" s="115" t="s">
        <v>350</v>
      </c>
      <c r="M410" s="108" t="s">
        <v>337</v>
      </c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9"/>
      <c r="B411" s="125">
        <v>46093.0</v>
      </c>
      <c r="C411" s="107" t="s">
        <v>27</v>
      </c>
      <c r="D411" s="134" t="s">
        <v>348</v>
      </c>
      <c r="E411" s="134" t="s">
        <v>80</v>
      </c>
      <c r="F411" s="134" t="s">
        <v>20</v>
      </c>
      <c r="G411" s="107" t="s">
        <v>35</v>
      </c>
      <c r="H411" s="123"/>
      <c r="I411" s="123"/>
      <c r="J411" s="137">
        <v>0.5</v>
      </c>
      <c r="K411" s="137"/>
      <c r="L411" s="138" t="s">
        <v>349</v>
      </c>
      <c r="M411" s="138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9"/>
      <c r="B412" s="124">
        <v>46093.0</v>
      </c>
      <c r="C412" s="133" t="s">
        <v>33</v>
      </c>
      <c r="D412" s="115" t="s">
        <v>100</v>
      </c>
      <c r="E412" s="133" t="s">
        <v>19</v>
      </c>
      <c r="F412" s="133" t="s">
        <v>24</v>
      </c>
      <c r="G412" s="133" t="s">
        <v>25</v>
      </c>
      <c r="H412" s="120"/>
      <c r="I412" s="120"/>
      <c r="J412" s="109">
        <v>1.0</v>
      </c>
      <c r="K412" s="109"/>
      <c r="L412" s="108"/>
      <c r="M412" s="108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9"/>
      <c r="B413" s="125">
        <v>46093.0</v>
      </c>
      <c r="C413" s="134" t="s">
        <v>33</v>
      </c>
      <c r="D413" s="134" t="s">
        <v>89</v>
      </c>
      <c r="E413" s="134" t="s">
        <v>194</v>
      </c>
      <c r="F413" s="134" t="s">
        <v>20</v>
      </c>
      <c r="G413" s="134" t="s">
        <v>22</v>
      </c>
      <c r="H413" s="123"/>
      <c r="I413" s="123"/>
      <c r="J413" s="112">
        <v>7.0</v>
      </c>
      <c r="K413" s="112"/>
      <c r="L413" s="111"/>
      <c r="M413" s="111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9"/>
      <c r="B414" s="124">
        <v>46093.0</v>
      </c>
      <c r="C414" s="133" t="s">
        <v>33</v>
      </c>
      <c r="D414" s="133" t="s">
        <v>89</v>
      </c>
      <c r="E414" s="133" t="s">
        <v>62</v>
      </c>
      <c r="F414" s="133" t="s">
        <v>20</v>
      </c>
      <c r="G414" s="133" t="s">
        <v>22</v>
      </c>
      <c r="H414" s="120"/>
      <c r="I414" s="120"/>
      <c r="J414" s="109"/>
      <c r="K414" s="109">
        <v>1.0</v>
      </c>
      <c r="L414" s="108"/>
      <c r="M414" s="108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9"/>
      <c r="B415" s="125">
        <v>46094.0</v>
      </c>
      <c r="C415" s="107" t="s">
        <v>10</v>
      </c>
      <c r="D415" s="107" t="s">
        <v>17</v>
      </c>
      <c r="E415" s="107" t="s">
        <v>56</v>
      </c>
      <c r="F415" s="139" t="s">
        <v>20</v>
      </c>
      <c r="G415" s="139" t="s">
        <v>22</v>
      </c>
      <c r="H415" s="132"/>
      <c r="I415" s="132"/>
      <c r="J415" s="137">
        <v>7.5</v>
      </c>
      <c r="K415" s="137"/>
      <c r="L415" s="111" t="s">
        <v>337</v>
      </c>
      <c r="M415" s="111" t="s">
        <v>337</v>
      </c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9"/>
      <c r="B416" s="124">
        <v>46094.0</v>
      </c>
      <c r="C416" s="115" t="s">
        <v>10</v>
      </c>
      <c r="D416" s="115" t="s">
        <v>17</v>
      </c>
      <c r="E416" s="115" t="s">
        <v>132</v>
      </c>
      <c r="F416" s="115" t="s">
        <v>24</v>
      </c>
      <c r="G416" s="115" t="s">
        <v>31</v>
      </c>
      <c r="H416" s="120"/>
      <c r="I416" s="120"/>
      <c r="J416" s="135">
        <v>0.5</v>
      </c>
      <c r="K416" s="135">
        <v>1.0</v>
      </c>
      <c r="L416" s="136"/>
      <c r="M416" s="136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9"/>
      <c r="B417" s="125">
        <v>46094.0</v>
      </c>
      <c r="C417" s="107" t="s">
        <v>10</v>
      </c>
      <c r="D417" s="134" t="s">
        <v>89</v>
      </c>
      <c r="E417" s="134" t="s">
        <v>39</v>
      </c>
      <c r="F417" s="107" t="s">
        <v>20</v>
      </c>
      <c r="G417" s="111" t="s">
        <v>47</v>
      </c>
      <c r="H417" s="123"/>
      <c r="I417" s="123"/>
      <c r="J417" s="137"/>
      <c r="K417" s="137">
        <v>1.0</v>
      </c>
      <c r="L417" s="138"/>
      <c r="M417" s="138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9"/>
      <c r="B418" s="124">
        <v>46094.0</v>
      </c>
      <c r="C418" s="115" t="s">
        <v>18</v>
      </c>
      <c r="D418" s="140" t="s">
        <v>93</v>
      </c>
      <c r="E418" s="133" t="s">
        <v>62</v>
      </c>
      <c r="F418" s="133" t="s">
        <v>20</v>
      </c>
      <c r="G418" s="133" t="s">
        <v>22</v>
      </c>
      <c r="H418" s="120"/>
      <c r="I418" s="120"/>
      <c r="J418" s="135">
        <f>5-1.77</f>
        <v>3.23</v>
      </c>
      <c r="K418" s="135"/>
      <c r="L418" s="136"/>
      <c r="M418" s="136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9"/>
      <c r="B419" s="125">
        <v>46094.0</v>
      </c>
      <c r="C419" s="107" t="s">
        <v>18</v>
      </c>
      <c r="D419" s="134" t="s">
        <v>89</v>
      </c>
      <c r="E419" s="134" t="s">
        <v>62</v>
      </c>
      <c r="F419" s="134" t="s">
        <v>20</v>
      </c>
      <c r="G419" s="134" t="s">
        <v>22</v>
      </c>
      <c r="H419" s="123"/>
      <c r="I419" s="123"/>
      <c r="J419" s="137">
        <v>1.77</v>
      </c>
      <c r="K419" s="137"/>
      <c r="L419" s="138"/>
      <c r="M419" s="138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9"/>
      <c r="B420" s="124">
        <v>46094.0</v>
      </c>
      <c r="C420" s="115" t="s">
        <v>18</v>
      </c>
      <c r="D420" s="133" t="s">
        <v>89</v>
      </c>
      <c r="E420" s="115" t="s">
        <v>39</v>
      </c>
      <c r="F420" s="133" t="s">
        <v>20</v>
      </c>
      <c r="G420" s="115" t="s">
        <v>22</v>
      </c>
      <c r="H420" s="120"/>
      <c r="I420" s="120"/>
      <c r="J420" s="135">
        <v>1.0</v>
      </c>
      <c r="K420" s="135"/>
      <c r="L420" s="136"/>
      <c r="M420" s="136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9"/>
      <c r="B421" s="125">
        <v>46094.0</v>
      </c>
      <c r="C421" s="107" t="s">
        <v>27</v>
      </c>
      <c r="D421" s="107" t="s">
        <v>17</v>
      </c>
      <c r="E421" s="107" t="s">
        <v>56</v>
      </c>
      <c r="F421" s="134" t="s">
        <v>20</v>
      </c>
      <c r="G421" s="134" t="s">
        <v>22</v>
      </c>
      <c r="H421" s="123"/>
      <c r="I421" s="123"/>
      <c r="J421" s="137">
        <v>1.0</v>
      </c>
      <c r="K421" s="137"/>
      <c r="L421" s="107" t="s">
        <v>351</v>
      </c>
      <c r="M421" s="111" t="s">
        <v>337</v>
      </c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9"/>
      <c r="B422" s="124">
        <v>46094.0</v>
      </c>
      <c r="C422" s="133" t="s">
        <v>33</v>
      </c>
      <c r="D422" s="133" t="s">
        <v>89</v>
      </c>
      <c r="E422" s="133" t="s">
        <v>194</v>
      </c>
      <c r="F422" s="133" t="s">
        <v>20</v>
      </c>
      <c r="G422" s="133" t="s">
        <v>22</v>
      </c>
      <c r="H422" s="120"/>
      <c r="I422" s="120"/>
      <c r="J422" s="135">
        <v>3.0</v>
      </c>
      <c r="K422" s="135"/>
      <c r="L422" s="136"/>
      <c r="M422" s="136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9"/>
      <c r="B423" s="125">
        <v>46094.0</v>
      </c>
      <c r="C423" s="107" t="s">
        <v>27</v>
      </c>
      <c r="D423" s="141" t="s">
        <v>93</v>
      </c>
      <c r="E423" s="134" t="s">
        <v>62</v>
      </c>
      <c r="F423" s="134" t="s">
        <v>20</v>
      </c>
      <c r="G423" s="134" t="s">
        <v>22</v>
      </c>
      <c r="H423" s="123"/>
      <c r="I423" s="123"/>
      <c r="J423" s="137">
        <v>7.0</v>
      </c>
      <c r="K423" s="137">
        <v>2.0</v>
      </c>
      <c r="L423" s="138"/>
      <c r="M423" s="138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9"/>
      <c r="B424" s="124">
        <v>46094.0</v>
      </c>
      <c r="C424" s="133" t="s">
        <v>33</v>
      </c>
      <c r="D424" s="140" t="s">
        <v>93</v>
      </c>
      <c r="E424" s="133" t="s">
        <v>62</v>
      </c>
      <c r="F424" s="133" t="s">
        <v>20</v>
      </c>
      <c r="G424" s="133" t="s">
        <v>22</v>
      </c>
      <c r="H424" s="120"/>
      <c r="I424" s="120"/>
      <c r="J424" s="135">
        <v>5.0</v>
      </c>
      <c r="K424" s="135">
        <v>2.0</v>
      </c>
      <c r="L424" s="136"/>
      <c r="M424" s="136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9"/>
      <c r="B425" s="142">
        <v>46097.0</v>
      </c>
      <c r="C425" s="141" t="s">
        <v>10</v>
      </c>
      <c r="D425" s="141" t="s">
        <v>93</v>
      </c>
      <c r="E425" s="141" t="s">
        <v>62</v>
      </c>
      <c r="F425" s="143" t="s">
        <v>20</v>
      </c>
      <c r="G425" s="107" t="s">
        <v>35</v>
      </c>
      <c r="H425" s="144"/>
      <c r="I425" s="144"/>
      <c r="J425" s="137">
        <v>0.375</v>
      </c>
      <c r="K425" s="137"/>
      <c r="L425" s="107" t="s">
        <v>352</v>
      </c>
      <c r="M425" s="138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9"/>
      <c r="B426" s="145">
        <v>46097.0</v>
      </c>
      <c r="C426" s="140" t="s">
        <v>10</v>
      </c>
      <c r="D426" s="140" t="s">
        <v>17</v>
      </c>
      <c r="E426" s="140" t="s">
        <v>132</v>
      </c>
      <c r="F426" s="140" t="s">
        <v>24</v>
      </c>
      <c r="G426" s="140" t="s">
        <v>25</v>
      </c>
      <c r="H426" s="146"/>
      <c r="I426" s="146"/>
      <c r="J426" s="135">
        <v>5.75</v>
      </c>
      <c r="K426" s="135"/>
      <c r="L426" s="115"/>
      <c r="M426" s="136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9"/>
      <c r="B427" s="147">
        <v>46097.0</v>
      </c>
      <c r="C427" s="141" t="s">
        <v>10</v>
      </c>
      <c r="D427" s="141" t="s">
        <v>17</v>
      </c>
      <c r="E427" s="141" t="s">
        <v>132</v>
      </c>
      <c r="F427" s="141" t="s">
        <v>24</v>
      </c>
      <c r="G427" s="141" t="s">
        <v>31</v>
      </c>
      <c r="H427" s="144"/>
      <c r="I427" s="144"/>
      <c r="J427" s="137">
        <v>1.5</v>
      </c>
      <c r="K427" s="137"/>
      <c r="L427" s="107"/>
      <c r="M427" s="138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9"/>
      <c r="B428" s="148">
        <v>46097.0</v>
      </c>
      <c r="C428" s="140" t="s">
        <v>18</v>
      </c>
      <c r="D428" s="140" t="s">
        <v>91</v>
      </c>
      <c r="E428" s="149" t="s">
        <v>39</v>
      </c>
      <c r="F428" s="140" t="s">
        <v>20</v>
      </c>
      <c r="G428" s="108" t="s">
        <v>47</v>
      </c>
      <c r="H428" s="146"/>
      <c r="I428" s="146"/>
      <c r="J428" s="135">
        <v>6.0</v>
      </c>
      <c r="K428" s="135"/>
      <c r="L428" s="115" t="s">
        <v>353</v>
      </c>
      <c r="M428" s="136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9"/>
      <c r="B429" s="150">
        <v>46097.0</v>
      </c>
      <c r="C429" s="107" t="s">
        <v>38</v>
      </c>
      <c r="D429" s="134" t="s">
        <v>91</v>
      </c>
      <c r="E429" s="134" t="s">
        <v>39</v>
      </c>
      <c r="F429" s="134" t="s">
        <v>13</v>
      </c>
      <c r="G429" s="134" t="s">
        <v>13</v>
      </c>
      <c r="H429" s="123"/>
      <c r="I429" s="123"/>
      <c r="J429" s="137">
        <f>(5/60)*6.5</f>
        <v>0.5416666667</v>
      </c>
      <c r="K429" s="137"/>
      <c r="L429" s="138" t="s">
        <v>354</v>
      </c>
      <c r="M429" s="138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9"/>
      <c r="B430" s="151">
        <v>46097.0</v>
      </c>
      <c r="C430" s="115" t="s">
        <v>38</v>
      </c>
      <c r="D430" s="133" t="s">
        <v>89</v>
      </c>
      <c r="E430" s="133" t="s">
        <v>39</v>
      </c>
      <c r="F430" s="133" t="s">
        <v>13</v>
      </c>
      <c r="G430" s="133" t="s">
        <v>13</v>
      </c>
      <c r="H430" s="120"/>
      <c r="I430" s="120"/>
      <c r="J430" s="135">
        <f>(5/60)*7.5</f>
        <v>0.625</v>
      </c>
      <c r="K430" s="135"/>
      <c r="L430" s="136" t="s">
        <v>354</v>
      </c>
      <c r="M430" s="136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9"/>
      <c r="B431" s="147">
        <v>46097.0</v>
      </c>
      <c r="C431" s="141" t="s">
        <v>27</v>
      </c>
      <c r="D431" s="141" t="s">
        <v>91</v>
      </c>
      <c r="E431" s="141" t="s">
        <v>39</v>
      </c>
      <c r="F431" s="143" t="s">
        <v>20</v>
      </c>
      <c r="G431" s="107" t="s">
        <v>35</v>
      </c>
      <c r="H431" s="144"/>
      <c r="I431" s="144"/>
      <c r="J431" s="137">
        <v>2.0</v>
      </c>
      <c r="K431" s="137"/>
      <c r="L431" s="107"/>
      <c r="M431" s="138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9"/>
      <c r="B432" s="152">
        <v>46097.0</v>
      </c>
      <c r="C432" s="140" t="s">
        <v>33</v>
      </c>
      <c r="D432" s="140" t="s">
        <v>93</v>
      </c>
      <c r="E432" s="149" t="s">
        <v>62</v>
      </c>
      <c r="F432" s="149" t="s">
        <v>20</v>
      </c>
      <c r="G432" s="140" t="s">
        <v>22</v>
      </c>
      <c r="H432" s="146"/>
      <c r="I432" s="146"/>
      <c r="J432" s="135">
        <v>4.17</v>
      </c>
      <c r="K432" s="135"/>
      <c r="L432" s="115" t="s">
        <v>355</v>
      </c>
      <c r="M432" s="136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9"/>
      <c r="B433" s="147">
        <v>46097.0</v>
      </c>
      <c r="C433" s="141" t="s">
        <v>33</v>
      </c>
      <c r="D433" s="141" t="s">
        <v>91</v>
      </c>
      <c r="E433" s="141" t="s">
        <v>39</v>
      </c>
      <c r="F433" s="143" t="s">
        <v>20</v>
      </c>
      <c r="G433" s="107" t="s">
        <v>35</v>
      </c>
      <c r="H433" s="144"/>
      <c r="I433" s="144"/>
      <c r="J433" s="137">
        <v>1.5</v>
      </c>
      <c r="K433" s="137"/>
      <c r="L433" s="107"/>
      <c r="M433" s="138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9"/>
      <c r="B434" s="152">
        <v>46097.0</v>
      </c>
      <c r="C434" s="140" t="s">
        <v>10</v>
      </c>
      <c r="D434" s="140" t="s">
        <v>93</v>
      </c>
      <c r="E434" s="140" t="s">
        <v>62</v>
      </c>
      <c r="F434" s="149" t="s">
        <v>20</v>
      </c>
      <c r="G434" s="115" t="s">
        <v>35</v>
      </c>
      <c r="H434" s="146"/>
      <c r="I434" s="146"/>
      <c r="J434" s="135">
        <v>0.375</v>
      </c>
      <c r="K434" s="135"/>
      <c r="L434" s="115" t="s">
        <v>352</v>
      </c>
      <c r="M434" s="136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9"/>
      <c r="B435" s="147">
        <v>46097.0</v>
      </c>
      <c r="C435" s="141" t="s">
        <v>33</v>
      </c>
      <c r="D435" s="141" t="s">
        <v>93</v>
      </c>
      <c r="E435" s="143" t="s">
        <v>62</v>
      </c>
      <c r="F435" s="143" t="s">
        <v>20</v>
      </c>
      <c r="G435" s="141" t="s">
        <v>22</v>
      </c>
      <c r="H435" s="144"/>
      <c r="I435" s="144"/>
      <c r="J435" s="137">
        <v>2.0</v>
      </c>
      <c r="K435" s="137"/>
      <c r="L435" s="107"/>
      <c r="M435" s="138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9"/>
      <c r="B436" s="152">
        <v>46097.0</v>
      </c>
      <c r="C436" s="140" t="s">
        <v>27</v>
      </c>
      <c r="D436" s="140" t="s">
        <v>91</v>
      </c>
      <c r="E436" s="149" t="s">
        <v>62</v>
      </c>
      <c r="F436" s="149" t="s">
        <v>20</v>
      </c>
      <c r="G436" s="140" t="s">
        <v>22</v>
      </c>
      <c r="H436" s="146"/>
      <c r="I436" s="146"/>
      <c r="J436" s="135">
        <v>3.0</v>
      </c>
      <c r="K436" s="135"/>
      <c r="L436" s="115"/>
      <c r="M436" s="136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9"/>
      <c r="B437" s="147">
        <v>46098.0</v>
      </c>
      <c r="C437" s="141" t="s">
        <v>18</v>
      </c>
      <c r="D437" s="141" t="s">
        <v>93</v>
      </c>
      <c r="E437" s="141" t="s">
        <v>62</v>
      </c>
      <c r="F437" s="143" t="s">
        <v>20</v>
      </c>
      <c r="G437" s="107" t="s">
        <v>35</v>
      </c>
      <c r="H437" s="144"/>
      <c r="I437" s="144"/>
      <c r="J437" s="137">
        <v>0.25</v>
      </c>
      <c r="K437" s="137"/>
      <c r="L437" s="107" t="s">
        <v>356</v>
      </c>
      <c r="M437" s="138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9"/>
      <c r="B438" s="152">
        <v>46098.0</v>
      </c>
      <c r="C438" s="140" t="s">
        <v>27</v>
      </c>
      <c r="D438" s="140" t="s">
        <v>93</v>
      </c>
      <c r="E438" s="140" t="s">
        <v>62</v>
      </c>
      <c r="F438" s="149" t="s">
        <v>20</v>
      </c>
      <c r="G438" s="115" t="s">
        <v>35</v>
      </c>
      <c r="H438" s="146"/>
      <c r="I438" s="146"/>
      <c r="J438" s="135">
        <v>0.25</v>
      </c>
      <c r="K438" s="135"/>
      <c r="L438" s="115" t="s">
        <v>356</v>
      </c>
      <c r="M438" s="136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9"/>
      <c r="B439" s="147">
        <v>46098.0</v>
      </c>
      <c r="C439" s="141" t="s">
        <v>33</v>
      </c>
      <c r="D439" s="141" t="s">
        <v>93</v>
      </c>
      <c r="E439" s="143" t="s">
        <v>62</v>
      </c>
      <c r="F439" s="143" t="s">
        <v>20</v>
      </c>
      <c r="G439" s="141" t="s">
        <v>22</v>
      </c>
      <c r="H439" s="144"/>
      <c r="I439" s="144"/>
      <c r="J439" s="137">
        <v>7.5</v>
      </c>
      <c r="K439" s="137"/>
      <c r="L439" s="138"/>
      <c r="M439" s="138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9"/>
      <c r="B440" s="152">
        <v>46098.0</v>
      </c>
      <c r="C440" s="140" t="s">
        <v>10</v>
      </c>
      <c r="D440" s="140" t="s">
        <v>95</v>
      </c>
      <c r="E440" s="140" t="s">
        <v>80</v>
      </c>
      <c r="F440" s="149" t="s">
        <v>20</v>
      </c>
      <c r="G440" s="115" t="s">
        <v>35</v>
      </c>
      <c r="H440" s="146"/>
      <c r="I440" s="146"/>
      <c r="J440" s="135">
        <v>0.5</v>
      </c>
      <c r="K440" s="135"/>
      <c r="L440" s="115" t="s">
        <v>357</v>
      </c>
      <c r="M440" s="136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9"/>
      <c r="B441" s="147">
        <v>46098.0</v>
      </c>
      <c r="C441" s="141" t="s">
        <v>10</v>
      </c>
      <c r="D441" s="141" t="s">
        <v>107</v>
      </c>
      <c r="E441" s="141" t="s">
        <v>151</v>
      </c>
      <c r="F441" s="141" t="s">
        <v>24</v>
      </c>
      <c r="G441" s="141" t="s">
        <v>31</v>
      </c>
      <c r="H441" s="144"/>
      <c r="I441" s="144"/>
      <c r="J441" s="137"/>
      <c r="K441" s="137">
        <v>0.42</v>
      </c>
      <c r="L441" s="107" t="s">
        <v>358</v>
      </c>
      <c r="M441" s="138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9"/>
      <c r="B442" s="152">
        <v>46098.0</v>
      </c>
      <c r="C442" s="140" t="s">
        <v>10</v>
      </c>
      <c r="D442" s="140" t="s">
        <v>107</v>
      </c>
      <c r="E442" s="140" t="s">
        <v>151</v>
      </c>
      <c r="F442" s="149" t="s">
        <v>20</v>
      </c>
      <c r="G442" s="140" t="s">
        <v>30</v>
      </c>
      <c r="H442" s="146"/>
      <c r="I442" s="146"/>
      <c r="J442" s="135"/>
      <c r="K442" s="135">
        <f>5/60</f>
        <v>0.08333333333</v>
      </c>
      <c r="L442" s="115" t="s">
        <v>359</v>
      </c>
      <c r="M442" s="136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9"/>
      <c r="B443" s="147">
        <v>46098.0</v>
      </c>
      <c r="C443" s="141" t="s">
        <v>10</v>
      </c>
      <c r="D443" s="141" t="s">
        <v>17</v>
      </c>
      <c r="E443" s="141" t="s">
        <v>132</v>
      </c>
      <c r="F443" s="141" t="s">
        <v>24</v>
      </c>
      <c r="G443" s="141" t="s">
        <v>31</v>
      </c>
      <c r="H443" s="144"/>
      <c r="I443" s="144"/>
      <c r="J443" s="137">
        <v>7.0</v>
      </c>
      <c r="K443" s="137"/>
      <c r="L443" s="138"/>
      <c r="M443" s="138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9"/>
      <c r="B444" s="152">
        <v>46098.0</v>
      </c>
      <c r="C444" s="140" t="s">
        <v>18</v>
      </c>
      <c r="D444" s="140" t="s">
        <v>95</v>
      </c>
      <c r="E444" s="140" t="s">
        <v>80</v>
      </c>
      <c r="F444" s="149" t="s">
        <v>20</v>
      </c>
      <c r="G444" s="115" t="s">
        <v>35</v>
      </c>
      <c r="H444" s="146"/>
      <c r="I444" s="146"/>
      <c r="J444" s="135">
        <v>0.5</v>
      </c>
      <c r="K444" s="135"/>
      <c r="L444" s="115" t="s">
        <v>357</v>
      </c>
      <c r="M444" s="136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9"/>
      <c r="B445" s="147">
        <v>46098.0</v>
      </c>
      <c r="C445" s="141" t="s">
        <v>18</v>
      </c>
      <c r="D445" s="141" t="s">
        <v>17</v>
      </c>
      <c r="E445" s="141" t="s">
        <v>96</v>
      </c>
      <c r="F445" s="141" t="s">
        <v>54</v>
      </c>
      <c r="G445" s="141" t="s">
        <v>54</v>
      </c>
      <c r="H445" s="144"/>
      <c r="I445" s="144"/>
      <c r="J445" s="137">
        <v>4.5</v>
      </c>
      <c r="K445" s="137"/>
      <c r="L445" s="107" t="s">
        <v>360</v>
      </c>
      <c r="M445" s="138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9"/>
      <c r="B446" s="152">
        <v>46098.0</v>
      </c>
      <c r="C446" s="140" t="s">
        <v>18</v>
      </c>
      <c r="D446" s="140" t="s">
        <v>93</v>
      </c>
      <c r="E446" s="140" t="s">
        <v>62</v>
      </c>
      <c r="F446" s="149" t="s">
        <v>20</v>
      </c>
      <c r="G446" s="115" t="s">
        <v>35</v>
      </c>
      <c r="H446" s="146"/>
      <c r="I446" s="146"/>
      <c r="J446" s="135">
        <v>0.75</v>
      </c>
      <c r="K446" s="135"/>
      <c r="L446" s="115" t="s">
        <v>356</v>
      </c>
      <c r="M446" s="136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9"/>
      <c r="B447" s="147">
        <v>46098.0</v>
      </c>
      <c r="C447" s="141" t="s">
        <v>18</v>
      </c>
      <c r="D447" s="141" t="s">
        <v>17</v>
      </c>
      <c r="E447" s="141" t="s">
        <v>96</v>
      </c>
      <c r="F447" s="141" t="s">
        <v>54</v>
      </c>
      <c r="G447" s="141" t="s">
        <v>54</v>
      </c>
      <c r="H447" s="144"/>
      <c r="I447" s="144"/>
      <c r="J447" s="137">
        <v>2.0</v>
      </c>
      <c r="K447" s="137"/>
      <c r="L447" s="107" t="s">
        <v>361</v>
      </c>
      <c r="M447" s="138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9"/>
      <c r="B448" s="152">
        <v>46098.0</v>
      </c>
      <c r="C448" s="140" t="s">
        <v>18</v>
      </c>
      <c r="D448" s="140" t="s">
        <v>95</v>
      </c>
      <c r="E448" s="140" t="s">
        <v>80</v>
      </c>
      <c r="F448" s="140" t="s">
        <v>20</v>
      </c>
      <c r="G448" s="115" t="s">
        <v>35</v>
      </c>
      <c r="H448" s="146"/>
      <c r="I448" s="146"/>
      <c r="J448" s="135">
        <v>0.5</v>
      </c>
      <c r="K448" s="135"/>
      <c r="L448" s="136"/>
      <c r="M448" s="136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9"/>
      <c r="B449" s="147">
        <v>46098.0</v>
      </c>
      <c r="C449" s="141" t="s">
        <v>18</v>
      </c>
      <c r="D449" s="141" t="s">
        <v>107</v>
      </c>
      <c r="E449" s="141" t="s">
        <v>151</v>
      </c>
      <c r="F449" s="141" t="s">
        <v>20</v>
      </c>
      <c r="G449" s="141" t="s">
        <v>22</v>
      </c>
      <c r="H449" s="144"/>
      <c r="I449" s="144"/>
      <c r="J449" s="137">
        <f>15/60</f>
        <v>0.25</v>
      </c>
      <c r="K449" s="137"/>
      <c r="L449" s="107"/>
      <c r="M449" s="138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9"/>
      <c r="B450" s="152">
        <v>46098.0</v>
      </c>
      <c r="C450" s="140" t="s">
        <v>38</v>
      </c>
      <c r="D450" s="140" t="s">
        <v>95</v>
      </c>
      <c r="E450" s="140" t="s">
        <v>80</v>
      </c>
      <c r="F450" s="149" t="s">
        <v>20</v>
      </c>
      <c r="G450" s="115" t="s">
        <v>35</v>
      </c>
      <c r="H450" s="146"/>
      <c r="I450" s="146"/>
      <c r="J450" s="135">
        <f>10/60</f>
        <v>0.1666666667</v>
      </c>
      <c r="K450" s="135"/>
      <c r="L450" s="115" t="s">
        <v>357</v>
      </c>
      <c r="M450" s="136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9"/>
      <c r="B451" s="147">
        <v>46098.0</v>
      </c>
      <c r="C451" s="141" t="s">
        <v>27</v>
      </c>
      <c r="D451" s="141" t="s">
        <v>17</v>
      </c>
      <c r="E451" s="141" t="s">
        <v>96</v>
      </c>
      <c r="F451" s="141" t="s">
        <v>54</v>
      </c>
      <c r="G451" s="141" t="s">
        <v>54</v>
      </c>
      <c r="H451" s="144"/>
      <c r="I451" s="144"/>
      <c r="J451" s="137">
        <v>4.5</v>
      </c>
      <c r="K451" s="137"/>
      <c r="L451" s="107" t="s">
        <v>360</v>
      </c>
      <c r="M451" s="138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9"/>
      <c r="B452" s="152">
        <v>46098.0</v>
      </c>
      <c r="C452" s="140" t="s">
        <v>27</v>
      </c>
      <c r="D452" s="140" t="s">
        <v>17</v>
      </c>
      <c r="E452" s="140" t="s">
        <v>96</v>
      </c>
      <c r="F452" s="140" t="s">
        <v>54</v>
      </c>
      <c r="G452" s="140" t="s">
        <v>54</v>
      </c>
      <c r="H452" s="146"/>
      <c r="I452" s="146"/>
      <c r="J452" s="135">
        <v>2.0</v>
      </c>
      <c r="K452" s="135"/>
      <c r="L452" s="115" t="s">
        <v>361</v>
      </c>
      <c r="M452" s="136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9"/>
      <c r="B453" s="147">
        <v>46098.0</v>
      </c>
      <c r="C453" s="141" t="s">
        <v>27</v>
      </c>
      <c r="D453" s="141" t="s">
        <v>91</v>
      </c>
      <c r="E453" s="141" t="s">
        <v>80</v>
      </c>
      <c r="F453" s="141" t="s">
        <v>20</v>
      </c>
      <c r="G453" s="107" t="s">
        <v>35</v>
      </c>
      <c r="H453" s="144"/>
      <c r="I453" s="144"/>
      <c r="J453" s="137">
        <v>0.5</v>
      </c>
      <c r="K453" s="137"/>
      <c r="L453" s="138"/>
      <c r="M453" s="138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9"/>
      <c r="B454" s="152">
        <v>46098.0</v>
      </c>
      <c r="C454" s="140" t="s">
        <v>27</v>
      </c>
      <c r="D454" s="140" t="s">
        <v>91</v>
      </c>
      <c r="E454" s="140" t="s">
        <v>62</v>
      </c>
      <c r="F454" s="149" t="s">
        <v>20</v>
      </c>
      <c r="G454" s="115" t="s">
        <v>35</v>
      </c>
      <c r="H454" s="146"/>
      <c r="I454" s="146"/>
      <c r="J454" s="135">
        <v>0.75</v>
      </c>
      <c r="K454" s="135"/>
      <c r="L454" s="115" t="s">
        <v>356</v>
      </c>
      <c r="M454" s="136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9"/>
      <c r="B455" s="147">
        <v>46098.0</v>
      </c>
      <c r="C455" s="141" t="s">
        <v>33</v>
      </c>
      <c r="D455" s="141" t="s">
        <v>91</v>
      </c>
      <c r="E455" s="141" t="s">
        <v>80</v>
      </c>
      <c r="F455" s="141" t="s">
        <v>20</v>
      </c>
      <c r="G455" s="107" t="s">
        <v>35</v>
      </c>
      <c r="H455" s="144"/>
      <c r="I455" s="144"/>
      <c r="J455" s="137">
        <v>0.5</v>
      </c>
      <c r="K455" s="137"/>
      <c r="L455" s="138"/>
      <c r="M455" s="138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9"/>
      <c r="B456" s="153">
        <v>46099.0</v>
      </c>
      <c r="C456" s="140" t="s">
        <v>10</v>
      </c>
      <c r="D456" s="140" t="s">
        <v>17</v>
      </c>
      <c r="E456" s="140" t="s">
        <v>132</v>
      </c>
      <c r="F456" s="140" t="s">
        <v>20</v>
      </c>
      <c r="G456" s="140" t="s">
        <v>22</v>
      </c>
      <c r="H456" s="146"/>
      <c r="I456" s="146"/>
      <c r="J456" s="135">
        <v>6.5</v>
      </c>
      <c r="K456" s="135"/>
      <c r="L456" s="136"/>
      <c r="M456" s="136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9"/>
      <c r="B457" s="154">
        <v>46099.0</v>
      </c>
      <c r="C457" s="141" t="s">
        <v>10</v>
      </c>
      <c r="D457" s="155" t="s">
        <v>136</v>
      </c>
      <c r="E457" s="141" t="s">
        <v>72</v>
      </c>
      <c r="F457" s="141" t="s">
        <v>20</v>
      </c>
      <c r="G457" s="141" t="s">
        <v>22</v>
      </c>
      <c r="H457" s="144"/>
      <c r="I457" s="144"/>
      <c r="J457" s="137">
        <v>1.0</v>
      </c>
      <c r="K457" s="137"/>
      <c r="L457" s="138"/>
      <c r="M457" s="138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9"/>
      <c r="B458" s="153">
        <v>46099.0</v>
      </c>
      <c r="C458" s="140" t="s">
        <v>10</v>
      </c>
      <c r="D458" s="140" t="s">
        <v>17</v>
      </c>
      <c r="E458" s="140" t="s">
        <v>96</v>
      </c>
      <c r="F458" s="140" t="s">
        <v>54</v>
      </c>
      <c r="G458" s="140" t="s">
        <v>54</v>
      </c>
      <c r="H458" s="146"/>
      <c r="I458" s="146"/>
      <c r="J458" s="135">
        <v>0.5</v>
      </c>
      <c r="K458" s="135"/>
      <c r="L458" s="136"/>
      <c r="M458" s="136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9"/>
      <c r="B459" s="156">
        <v>46099.0</v>
      </c>
      <c r="C459" s="141" t="s">
        <v>18</v>
      </c>
      <c r="D459" s="141" t="s">
        <v>17</v>
      </c>
      <c r="E459" s="141" t="s">
        <v>96</v>
      </c>
      <c r="F459" s="141" t="s">
        <v>54</v>
      </c>
      <c r="G459" s="141" t="s">
        <v>54</v>
      </c>
      <c r="H459" s="144"/>
      <c r="I459" s="144"/>
      <c r="J459" s="137">
        <v>1.75</v>
      </c>
      <c r="K459" s="137"/>
      <c r="L459" s="107" t="s">
        <v>362</v>
      </c>
      <c r="M459" s="138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9"/>
      <c r="B460" s="157">
        <v>46099.0</v>
      </c>
      <c r="C460" s="140" t="s">
        <v>18</v>
      </c>
      <c r="D460" s="140" t="s">
        <v>89</v>
      </c>
      <c r="E460" s="140" t="s">
        <v>39</v>
      </c>
      <c r="F460" s="140" t="s">
        <v>20</v>
      </c>
      <c r="G460" s="140" t="s">
        <v>30</v>
      </c>
      <c r="H460" s="146"/>
      <c r="I460" s="146"/>
      <c r="J460" s="135">
        <v>4.25</v>
      </c>
      <c r="K460" s="135"/>
      <c r="L460" s="136"/>
      <c r="M460" s="136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9"/>
      <c r="B461" s="156">
        <v>46099.0</v>
      </c>
      <c r="C461" s="141" t="s">
        <v>18</v>
      </c>
      <c r="D461" s="141" t="s">
        <v>89</v>
      </c>
      <c r="E461" s="141" t="s">
        <v>39</v>
      </c>
      <c r="F461" s="141" t="s">
        <v>20</v>
      </c>
      <c r="G461" s="111" t="s">
        <v>47</v>
      </c>
      <c r="H461" s="144"/>
      <c r="I461" s="144"/>
      <c r="J461" s="137">
        <v>2.0</v>
      </c>
      <c r="K461" s="137"/>
      <c r="L461" s="107" t="s">
        <v>353</v>
      </c>
      <c r="M461" s="138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9"/>
      <c r="B462" s="157">
        <v>46099.0</v>
      </c>
      <c r="C462" s="140" t="s">
        <v>38</v>
      </c>
      <c r="D462" s="140" t="s">
        <v>60</v>
      </c>
      <c r="E462" s="158" t="s">
        <v>28</v>
      </c>
      <c r="F462" s="149" t="s">
        <v>13</v>
      </c>
      <c r="G462" s="149" t="s">
        <v>13</v>
      </c>
      <c r="H462" s="146"/>
      <c r="I462" s="146"/>
      <c r="J462" s="135">
        <f>4.66*0.185</f>
        <v>0.8621</v>
      </c>
      <c r="K462" s="135"/>
      <c r="L462" s="136"/>
      <c r="M462" s="136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9"/>
      <c r="B463" s="156">
        <v>46099.0</v>
      </c>
      <c r="C463" s="141" t="s">
        <v>38</v>
      </c>
      <c r="D463" s="155" t="s">
        <v>98</v>
      </c>
      <c r="E463" s="155" t="s">
        <v>11</v>
      </c>
      <c r="F463" s="143" t="s">
        <v>13</v>
      </c>
      <c r="G463" s="143" t="s">
        <v>13</v>
      </c>
      <c r="H463" s="144"/>
      <c r="I463" s="144"/>
      <c r="J463" s="137">
        <f>4.66*0.18</f>
        <v>0.8388</v>
      </c>
      <c r="K463" s="137"/>
      <c r="L463" s="138"/>
      <c r="M463" s="138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9"/>
      <c r="B464" s="157">
        <v>46099.0</v>
      </c>
      <c r="C464" s="140" t="s">
        <v>38</v>
      </c>
      <c r="D464" s="158" t="s">
        <v>100</v>
      </c>
      <c r="E464" s="158" t="s">
        <v>28</v>
      </c>
      <c r="F464" s="149" t="s">
        <v>13</v>
      </c>
      <c r="G464" s="149" t="s">
        <v>13</v>
      </c>
      <c r="H464" s="146"/>
      <c r="I464" s="146"/>
      <c r="J464" s="135">
        <f>4.66*0.285</f>
        <v>1.3281</v>
      </c>
      <c r="K464" s="135"/>
      <c r="L464" s="136"/>
      <c r="M464" s="136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9"/>
      <c r="B465" s="156">
        <v>46099.0</v>
      </c>
      <c r="C465" s="141" t="s">
        <v>38</v>
      </c>
      <c r="D465" s="155" t="s">
        <v>100</v>
      </c>
      <c r="E465" s="155" t="s">
        <v>11</v>
      </c>
      <c r="F465" s="143" t="s">
        <v>13</v>
      </c>
      <c r="G465" s="143" t="s">
        <v>13</v>
      </c>
      <c r="H465" s="144"/>
      <c r="I465" s="144"/>
      <c r="J465" s="137">
        <v>0.75</v>
      </c>
      <c r="K465" s="137"/>
      <c r="L465" s="138"/>
      <c r="M465" s="138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9"/>
      <c r="B466" s="157">
        <v>46099.0</v>
      </c>
      <c r="C466" s="140" t="s">
        <v>38</v>
      </c>
      <c r="D466" s="140" t="s">
        <v>116</v>
      </c>
      <c r="E466" s="140" t="s">
        <v>11</v>
      </c>
      <c r="F466" s="149" t="s">
        <v>13</v>
      </c>
      <c r="G466" s="149" t="s">
        <v>13</v>
      </c>
      <c r="H466" s="146"/>
      <c r="I466" s="146"/>
      <c r="J466" s="135">
        <v>0.75</v>
      </c>
      <c r="K466" s="135"/>
      <c r="L466" s="136"/>
      <c r="M466" s="136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9"/>
      <c r="B467" s="156">
        <v>46099.0</v>
      </c>
      <c r="C467" s="141" t="s">
        <v>38</v>
      </c>
      <c r="D467" s="155" t="s">
        <v>136</v>
      </c>
      <c r="E467" s="155" t="s">
        <v>72</v>
      </c>
      <c r="F467" s="143" t="s">
        <v>13</v>
      </c>
      <c r="G467" s="143" t="s">
        <v>13</v>
      </c>
      <c r="H467" s="144"/>
      <c r="I467" s="144"/>
      <c r="J467" s="137">
        <f>4.66*0.1</f>
        <v>0.466</v>
      </c>
      <c r="K467" s="137"/>
      <c r="L467" s="138"/>
      <c r="M467" s="138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9"/>
      <c r="B468" s="157">
        <v>46099.0</v>
      </c>
      <c r="C468" s="140" t="s">
        <v>27</v>
      </c>
      <c r="D468" s="140" t="s">
        <v>17</v>
      </c>
      <c r="E468" s="140" t="s">
        <v>96</v>
      </c>
      <c r="F468" s="140" t="s">
        <v>54</v>
      </c>
      <c r="G468" s="140" t="s">
        <v>54</v>
      </c>
      <c r="H468" s="146"/>
      <c r="I468" s="146"/>
      <c r="J468" s="135">
        <v>1.75</v>
      </c>
      <c r="K468" s="135"/>
      <c r="L468" s="115" t="s">
        <v>361</v>
      </c>
      <c r="M468" s="136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9"/>
      <c r="B469" s="156">
        <v>46099.0</v>
      </c>
      <c r="C469" s="141" t="s">
        <v>27</v>
      </c>
      <c r="D469" s="141" t="s">
        <v>91</v>
      </c>
      <c r="E469" s="143" t="s">
        <v>62</v>
      </c>
      <c r="F469" s="143" t="s">
        <v>20</v>
      </c>
      <c r="G469" s="143" t="s">
        <v>22</v>
      </c>
      <c r="H469" s="144"/>
      <c r="I469" s="144"/>
      <c r="J469" s="137">
        <v>3.58</v>
      </c>
      <c r="K469" s="137"/>
      <c r="L469" s="138"/>
      <c r="M469" s="138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9"/>
      <c r="B470" s="157">
        <v>46099.0</v>
      </c>
      <c r="C470" s="140" t="s">
        <v>27</v>
      </c>
      <c r="D470" s="149" t="s">
        <v>89</v>
      </c>
      <c r="E470" s="149" t="s">
        <v>62</v>
      </c>
      <c r="F470" s="149" t="s">
        <v>20</v>
      </c>
      <c r="G470" s="115" t="s">
        <v>35</v>
      </c>
      <c r="H470" s="146"/>
      <c r="I470" s="146"/>
      <c r="J470" s="135">
        <f>1+0.5</f>
        <v>1.5</v>
      </c>
      <c r="K470" s="135"/>
      <c r="L470" s="136"/>
      <c r="M470" s="136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9"/>
      <c r="B471" s="156">
        <v>46099.0</v>
      </c>
      <c r="C471" s="141" t="s">
        <v>27</v>
      </c>
      <c r="D471" s="143" t="s">
        <v>89</v>
      </c>
      <c r="E471" s="141" t="s">
        <v>28</v>
      </c>
      <c r="F471" s="143" t="s">
        <v>20</v>
      </c>
      <c r="G471" s="141" t="s">
        <v>30</v>
      </c>
      <c r="H471" s="144"/>
      <c r="I471" s="144"/>
      <c r="J471" s="137">
        <v>1.5</v>
      </c>
      <c r="K471" s="137"/>
      <c r="L471" s="138"/>
      <c r="M471" s="138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9"/>
      <c r="B472" s="157">
        <v>46099.0</v>
      </c>
      <c r="C472" s="140" t="s">
        <v>33</v>
      </c>
      <c r="D472" s="149" t="s">
        <v>89</v>
      </c>
      <c r="E472" s="149" t="s">
        <v>62</v>
      </c>
      <c r="F472" s="149" t="s">
        <v>20</v>
      </c>
      <c r="G472" s="115" t="s">
        <v>35</v>
      </c>
      <c r="H472" s="146"/>
      <c r="I472" s="146"/>
      <c r="J472" s="135">
        <v>6.0</v>
      </c>
      <c r="K472" s="135"/>
      <c r="L472" s="136"/>
      <c r="M472" s="136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9"/>
      <c r="B473" s="156">
        <v>46099.0</v>
      </c>
      <c r="C473" s="141" t="s">
        <v>33</v>
      </c>
      <c r="D473" s="143" t="s">
        <v>89</v>
      </c>
      <c r="E473" s="141" t="s">
        <v>28</v>
      </c>
      <c r="F473" s="143" t="s">
        <v>20</v>
      </c>
      <c r="G473" s="107" t="s">
        <v>35</v>
      </c>
      <c r="H473" s="144"/>
      <c r="I473" s="144"/>
      <c r="J473" s="137">
        <v>1.0</v>
      </c>
      <c r="K473" s="137"/>
      <c r="L473" s="138"/>
      <c r="M473" s="138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9"/>
      <c r="B474" s="157">
        <v>46099.0</v>
      </c>
      <c r="C474" s="140" t="s">
        <v>33</v>
      </c>
      <c r="D474" s="140" t="s">
        <v>17</v>
      </c>
      <c r="E474" s="140" t="s">
        <v>96</v>
      </c>
      <c r="F474" s="140" t="s">
        <v>54</v>
      </c>
      <c r="G474" s="140" t="s">
        <v>54</v>
      </c>
      <c r="H474" s="146"/>
      <c r="I474" s="146"/>
      <c r="J474" s="135">
        <v>1.0</v>
      </c>
      <c r="K474" s="135"/>
      <c r="L474" s="136"/>
      <c r="M474" s="136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9"/>
      <c r="B475" s="142">
        <v>46100.0</v>
      </c>
      <c r="C475" s="141" t="s">
        <v>10</v>
      </c>
      <c r="D475" s="141" t="s">
        <v>17</v>
      </c>
      <c r="E475" s="141" t="s">
        <v>148</v>
      </c>
      <c r="F475" s="141" t="s">
        <v>20</v>
      </c>
      <c r="G475" s="141" t="s">
        <v>22</v>
      </c>
      <c r="H475" s="144"/>
      <c r="I475" s="144"/>
      <c r="J475" s="137">
        <v>8.0</v>
      </c>
      <c r="K475" s="137"/>
      <c r="L475" s="107" t="s">
        <v>363</v>
      </c>
      <c r="M475" s="138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9"/>
      <c r="B476" s="145">
        <v>46100.0</v>
      </c>
      <c r="C476" s="140" t="s">
        <v>18</v>
      </c>
      <c r="D476" s="140" t="s">
        <v>89</v>
      </c>
      <c r="E476" s="140" t="s">
        <v>39</v>
      </c>
      <c r="F476" s="140" t="s">
        <v>20</v>
      </c>
      <c r="G476" s="108" t="s">
        <v>47</v>
      </c>
      <c r="H476" s="146"/>
      <c r="I476" s="146"/>
      <c r="J476" s="135">
        <v>2.5</v>
      </c>
      <c r="K476" s="135"/>
      <c r="L476" s="115" t="s">
        <v>353</v>
      </c>
      <c r="M476" s="136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9"/>
      <c r="B477" s="142">
        <v>46100.0</v>
      </c>
      <c r="C477" s="141" t="s">
        <v>18</v>
      </c>
      <c r="D477" s="141" t="s">
        <v>17</v>
      </c>
      <c r="E477" s="141" t="s">
        <v>96</v>
      </c>
      <c r="F477" s="141" t="s">
        <v>54</v>
      </c>
      <c r="G477" s="141" t="s">
        <v>54</v>
      </c>
      <c r="H477" s="144"/>
      <c r="I477" s="144"/>
      <c r="J477" s="137">
        <v>1.0</v>
      </c>
      <c r="K477" s="137"/>
      <c r="L477" s="107" t="s">
        <v>364</v>
      </c>
      <c r="M477" s="138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9"/>
      <c r="B478" s="145">
        <v>46100.0</v>
      </c>
      <c r="C478" s="140" t="s">
        <v>18</v>
      </c>
      <c r="D478" s="158" t="s">
        <v>136</v>
      </c>
      <c r="E478" s="140" t="s">
        <v>72</v>
      </c>
      <c r="F478" s="149" t="s">
        <v>20</v>
      </c>
      <c r="G478" s="149" t="s">
        <v>22</v>
      </c>
      <c r="H478" s="146"/>
      <c r="I478" s="146"/>
      <c r="J478" s="135">
        <v>1.5</v>
      </c>
      <c r="K478" s="135"/>
      <c r="L478" s="115" t="s">
        <v>365</v>
      </c>
      <c r="M478" s="136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9"/>
      <c r="B479" s="142">
        <v>46100.0</v>
      </c>
      <c r="C479" s="141" t="s">
        <v>18</v>
      </c>
      <c r="D479" s="141" t="s">
        <v>17</v>
      </c>
      <c r="E479" s="141" t="s">
        <v>59</v>
      </c>
      <c r="F479" s="141" t="s">
        <v>20</v>
      </c>
      <c r="G479" s="141" t="s">
        <v>84</v>
      </c>
      <c r="H479" s="144"/>
      <c r="I479" s="144"/>
      <c r="J479" s="137">
        <v>2.0</v>
      </c>
      <c r="K479" s="137"/>
      <c r="L479" s="107" t="s">
        <v>366</v>
      </c>
      <c r="M479" s="138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9"/>
      <c r="B480" s="145">
        <v>46100.0</v>
      </c>
      <c r="C480" s="140" t="s">
        <v>18</v>
      </c>
      <c r="D480" s="158" t="s">
        <v>136</v>
      </c>
      <c r="E480" s="140" t="s">
        <v>72</v>
      </c>
      <c r="F480" s="149" t="s">
        <v>20</v>
      </c>
      <c r="G480" s="140" t="s">
        <v>30</v>
      </c>
      <c r="H480" s="146"/>
      <c r="I480" s="146"/>
      <c r="J480" s="135">
        <v>1.0</v>
      </c>
      <c r="K480" s="135"/>
      <c r="L480" s="115" t="s">
        <v>339</v>
      </c>
      <c r="M480" s="136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9"/>
      <c r="B481" s="142">
        <v>46100.0</v>
      </c>
      <c r="C481" s="141" t="s">
        <v>27</v>
      </c>
      <c r="D481" s="141" t="s">
        <v>9</v>
      </c>
      <c r="E481" s="141" t="s">
        <v>96</v>
      </c>
      <c r="F481" s="141" t="s">
        <v>54</v>
      </c>
      <c r="G481" s="141" t="s">
        <v>54</v>
      </c>
      <c r="H481" s="144"/>
      <c r="I481" s="144"/>
      <c r="J481" s="137">
        <v>1.0</v>
      </c>
      <c r="K481" s="137"/>
      <c r="L481" s="107" t="s">
        <v>367</v>
      </c>
      <c r="M481" s="138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9"/>
      <c r="B482" s="145">
        <v>46100.0</v>
      </c>
      <c r="C482" s="140" t="s">
        <v>27</v>
      </c>
      <c r="D482" s="149" t="s">
        <v>89</v>
      </c>
      <c r="E482" s="149" t="s">
        <v>19</v>
      </c>
      <c r="F482" s="140" t="s">
        <v>20</v>
      </c>
      <c r="G482" s="140" t="s">
        <v>30</v>
      </c>
      <c r="H482" s="146"/>
      <c r="I482" s="146"/>
      <c r="J482" s="135">
        <v>4.0</v>
      </c>
      <c r="K482" s="135"/>
      <c r="L482" s="115"/>
      <c r="M482" s="136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9"/>
      <c r="B483" s="142">
        <v>46100.0</v>
      </c>
      <c r="C483" s="141" t="s">
        <v>27</v>
      </c>
      <c r="D483" s="143" t="s">
        <v>89</v>
      </c>
      <c r="E483" s="141" t="s">
        <v>11</v>
      </c>
      <c r="F483" s="141" t="s">
        <v>20</v>
      </c>
      <c r="G483" s="141" t="s">
        <v>30</v>
      </c>
      <c r="H483" s="144"/>
      <c r="I483" s="144"/>
      <c r="J483" s="137">
        <v>2.0</v>
      </c>
      <c r="K483" s="137"/>
      <c r="L483" s="107"/>
      <c r="M483" s="138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9"/>
      <c r="B484" s="145">
        <v>46100.0</v>
      </c>
      <c r="C484" s="140" t="s">
        <v>33</v>
      </c>
      <c r="D484" s="140" t="s">
        <v>17</v>
      </c>
      <c r="E484" s="140" t="s">
        <v>96</v>
      </c>
      <c r="F484" s="140" t="s">
        <v>59</v>
      </c>
      <c r="G484" s="140" t="s">
        <v>60</v>
      </c>
      <c r="H484" s="146"/>
      <c r="I484" s="146"/>
      <c r="J484" s="135">
        <v>2.0</v>
      </c>
      <c r="K484" s="135"/>
      <c r="L484" s="115" t="s">
        <v>368</v>
      </c>
      <c r="M484" s="136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9"/>
      <c r="B485" s="142">
        <v>46100.0</v>
      </c>
      <c r="C485" s="141" t="s">
        <v>33</v>
      </c>
      <c r="D485" s="143" t="s">
        <v>89</v>
      </c>
      <c r="E485" s="143" t="s">
        <v>19</v>
      </c>
      <c r="F485" s="141" t="s">
        <v>20</v>
      </c>
      <c r="G485" s="107" t="s">
        <v>35</v>
      </c>
      <c r="H485" s="144"/>
      <c r="I485" s="144"/>
      <c r="J485" s="137">
        <v>2.0</v>
      </c>
      <c r="K485" s="137"/>
      <c r="L485" s="107"/>
      <c r="M485" s="138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9"/>
      <c r="B486" s="145">
        <v>46100.0</v>
      </c>
      <c r="C486" s="140" t="s">
        <v>27</v>
      </c>
      <c r="D486" s="149" t="s">
        <v>89</v>
      </c>
      <c r="E486" s="140" t="s">
        <v>28</v>
      </c>
      <c r="F486" s="140" t="s">
        <v>20</v>
      </c>
      <c r="G486" s="140" t="s">
        <v>30</v>
      </c>
      <c r="H486" s="146"/>
      <c r="I486" s="146"/>
      <c r="J486" s="135">
        <v>1.0</v>
      </c>
      <c r="K486" s="135"/>
      <c r="L486" s="115"/>
      <c r="M486" s="136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9"/>
      <c r="B487" s="142">
        <v>46104.0</v>
      </c>
      <c r="C487" s="141" t="s">
        <v>10</v>
      </c>
      <c r="D487" s="141" t="s">
        <v>17</v>
      </c>
      <c r="E487" s="141" t="s">
        <v>148</v>
      </c>
      <c r="F487" s="141" t="s">
        <v>20</v>
      </c>
      <c r="G487" s="141" t="s">
        <v>22</v>
      </c>
      <c r="H487" s="144"/>
      <c r="I487" s="144"/>
      <c r="J487" s="137">
        <v>8.0</v>
      </c>
      <c r="K487" s="137">
        <v>2.0</v>
      </c>
      <c r="L487" s="107" t="s">
        <v>363</v>
      </c>
      <c r="M487" s="138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9"/>
      <c r="B488" s="145">
        <v>46104.0</v>
      </c>
      <c r="C488" s="140" t="s">
        <v>18</v>
      </c>
      <c r="D488" s="140" t="s">
        <v>60</v>
      </c>
      <c r="E488" s="158" t="s">
        <v>28</v>
      </c>
      <c r="F488" s="140" t="s">
        <v>20</v>
      </c>
      <c r="G488" s="140" t="s">
        <v>22</v>
      </c>
      <c r="H488" s="146"/>
      <c r="I488" s="146"/>
      <c r="J488" s="135">
        <v>8.0</v>
      </c>
      <c r="K488" s="135">
        <v>0.5</v>
      </c>
      <c r="L488" s="115"/>
      <c r="M488" s="136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9"/>
      <c r="B489" s="142">
        <v>46104.0</v>
      </c>
      <c r="C489" s="141" t="s">
        <v>18</v>
      </c>
      <c r="D489" s="155" t="s">
        <v>136</v>
      </c>
      <c r="E489" s="141" t="s">
        <v>72</v>
      </c>
      <c r="F489" s="143" t="s">
        <v>20</v>
      </c>
      <c r="G489" s="143" t="s">
        <v>22</v>
      </c>
      <c r="H489" s="144"/>
      <c r="I489" s="144"/>
      <c r="J489" s="137"/>
      <c r="K489" s="137">
        <v>1.5</v>
      </c>
      <c r="L489" s="107" t="s">
        <v>369</v>
      </c>
      <c r="M489" s="138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9"/>
      <c r="B490" s="145">
        <v>46104.0</v>
      </c>
      <c r="C490" s="140" t="s">
        <v>38</v>
      </c>
      <c r="D490" s="158" t="s">
        <v>98</v>
      </c>
      <c r="E490" s="158" t="s">
        <v>11</v>
      </c>
      <c r="F490" s="140" t="s">
        <v>13</v>
      </c>
      <c r="G490" s="140" t="s">
        <v>13</v>
      </c>
      <c r="H490" s="146"/>
      <c r="I490" s="146"/>
      <c r="J490" s="135">
        <f>0.3*(1.5)</f>
        <v>0.45</v>
      </c>
      <c r="K490" s="135"/>
      <c r="L490" s="115"/>
      <c r="M490" s="136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9"/>
      <c r="B491" s="142">
        <v>46104.0</v>
      </c>
      <c r="C491" s="141" t="s">
        <v>38</v>
      </c>
      <c r="D491" s="141" t="s">
        <v>60</v>
      </c>
      <c r="E491" s="155" t="s">
        <v>28</v>
      </c>
      <c r="F491" s="141" t="s">
        <v>13</v>
      </c>
      <c r="G491" s="141" t="s">
        <v>13</v>
      </c>
      <c r="H491" s="144"/>
      <c r="I491" s="144"/>
      <c r="J491" s="137">
        <f>0.4*1.5</f>
        <v>0.6</v>
      </c>
      <c r="K491" s="137"/>
      <c r="L491" s="107"/>
      <c r="M491" s="138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9"/>
      <c r="B492" s="145">
        <v>46104.0</v>
      </c>
      <c r="C492" s="140" t="s">
        <v>38</v>
      </c>
      <c r="D492" s="149" t="s">
        <v>89</v>
      </c>
      <c r="E492" s="140" t="s">
        <v>103</v>
      </c>
      <c r="F492" s="140" t="s">
        <v>13</v>
      </c>
      <c r="G492" s="140" t="s">
        <v>13</v>
      </c>
      <c r="H492" s="146"/>
      <c r="I492" s="146"/>
      <c r="J492" s="135">
        <f t="shared" ref="J492:J493" si="1">0.3*(1.5)</f>
        <v>0.45</v>
      </c>
      <c r="K492" s="135"/>
      <c r="L492" s="115"/>
      <c r="M492" s="136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9"/>
      <c r="B493" s="142">
        <v>46104.0</v>
      </c>
      <c r="C493" s="141" t="s">
        <v>38</v>
      </c>
      <c r="D493" s="155" t="s">
        <v>98</v>
      </c>
      <c r="E493" s="155" t="s">
        <v>11</v>
      </c>
      <c r="F493" s="141" t="s">
        <v>13</v>
      </c>
      <c r="G493" s="141" t="s">
        <v>13</v>
      </c>
      <c r="H493" s="144"/>
      <c r="I493" s="144"/>
      <c r="J493" s="137">
        <f t="shared" si="1"/>
        <v>0.45</v>
      </c>
      <c r="K493" s="137"/>
      <c r="L493" s="107"/>
      <c r="M493" s="138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9"/>
      <c r="B494" s="145">
        <v>46104.0</v>
      </c>
      <c r="C494" s="140" t="s">
        <v>38</v>
      </c>
      <c r="D494" s="140" t="s">
        <v>60</v>
      </c>
      <c r="E494" s="158" t="s">
        <v>28</v>
      </c>
      <c r="F494" s="140" t="s">
        <v>13</v>
      </c>
      <c r="G494" s="140" t="s">
        <v>13</v>
      </c>
      <c r="H494" s="146"/>
      <c r="I494" s="146"/>
      <c r="J494" s="135">
        <f>0.4*1.5</f>
        <v>0.6</v>
      </c>
      <c r="K494" s="135"/>
      <c r="L494" s="115"/>
      <c r="M494" s="136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9"/>
      <c r="B495" s="142">
        <v>46104.0</v>
      </c>
      <c r="C495" s="141" t="s">
        <v>27</v>
      </c>
      <c r="D495" s="141" t="s">
        <v>89</v>
      </c>
      <c r="E495" s="141" t="s">
        <v>103</v>
      </c>
      <c r="F495" s="141" t="s">
        <v>20</v>
      </c>
      <c r="G495" s="141" t="s">
        <v>30</v>
      </c>
      <c r="H495" s="144"/>
      <c r="I495" s="144"/>
      <c r="J495" s="137">
        <v>1.0</v>
      </c>
      <c r="K495" s="137"/>
      <c r="L495" s="107"/>
      <c r="M495" s="138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9"/>
      <c r="B496" s="145">
        <v>46104.0</v>
      </c>
      <c r="C496" s="140" t="s">
        <v>27</v>
      </c>
      <c r="D496" s="140" t="s">
        <v>89</v>
      </c>
      <c r="E496" s="149" t="s">
        <v>19</v>
      </c>
      <c r="F496" s="140" t="s">
        <v>20</v>
      </c>
      <c r="G496" s="140" t="s">
        <v>30</v>
      </c>
      <c r="H496" s="146"/>
      <c r="I496" s="146"/>
      <c r="J496" s="135">
        <v>2.0</v>
      </c>
      <c r="K496" s="135"/>
      <c r="L496" s="115"/>
      <c r="M496" s="136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9"/>
      <c r="B497" s="142">
        <v>46104.0</v>
      </c>
      <c r="C497" s="141" t="s">
        <v>27</v>
      </c>
      <c r="D497" s="155" t="s">
        <v>136</v>
      </c>
      <c r="E497" s="141" t="s">
        <v>72</v>
      </c>
      <c r="F497" s="141" t="s">
        <v>20</v>
      </c>
      <c r="G497" s="141" t="s">
        <v>30</v>
      </c>
      <c r="H497" s="144"/>
      <c r="I497" s="144"/>
      <c r="J497" s="137">
        <v>1.0</v>
      </c>
      <c r="K497" s="137"/>
      <c r="L497" s="107"/>
      <c r="M497" s="138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9"/>
      <c r="B498" s="145">
        <v>46104.0</v>
      </c>
      <c r="C498" s="140" t="s">
        <v>27</v>
      </c>
      <c r="D498" s="158" t="s">
        <v>136</v>
      </c>
      <c r="E498" s="140" t="s">
        <v>72</v>
      </c>
      <c r="F498" s="140" t="s">
        <v>24</v>
      </c>
      <c r="G498" s="140" t="s">
        <v>25</v>
      </c>
      <c r="H498" s="146"/>
      <c r="I498" s="146"/>
      <c r="J498" s="135">
        <v>1.5</v>
      </c>
      <c r="K498" s="135"/>
      <c r="L498" s="115"/>
      <c r="M498" s="136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9"/>
      <c r="B499" s="142">
        <v>46104.0</v>
      </c>
      <c r="C499" s="141" t="s">
        <v>27</v>
      </c>
      <c r="D499" s="141" t="s">
        <v>110</v>
      </c>
      <c r="E499" s="141" t="s">
        <v>80</v>
      </c>
      <c r="F499" s="141" t="s">
        <v>20</v>
      </c>
      <c r="G499" s="107" t="s">
        <v>35</v>
      </c>
      <c r="H499" s="144"/>
      <c r="I499" s="144"/>
      <c r="J499" s="137">
        <v>1.0</v>
      </c>
      <c r="K499" s="137"/>
      <c r="L499" s="107" t="s">
        <v>370</v>
      </c>
      <c r="M499" s="138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9"/>
      <c r="B500" s="145">
        <v>46104.0</v>
      </c>
      <c r="C500" s="140" t="s">
        <v>27</v>
      </c>
      <c r="D500" s="140" t="s">
        <v>89</v>
      </c>
      <c r="E500" s="140" t="s">
        <v>39</v>
      </c>
      <c r="F500" s="140" t="s">
        <v>20</v>
      </c>
      <c r="G500" s="115" t="s">
        <v>35</v>
      </c>
      <c r="H500" s="146"/>
      <c r="I500" s="146"/>
      <c r="J500" s="135">
        <v>0.5</v>
      </c>
      <c r="K500" s="135"/>
      <c r="L500" s="115"/>
      <c r="M500" s="136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9"/>
      <c r="B501" s="142">
        <v>46104.0</v>
      </c>
      <c r="C501" s="141" t="s">
        <v>27</v>
      </c>
      <c r="D501" s="141" t="s">
        <v>60</v>
      </c>
      <c r="E501" s="155" t="s">
        <v>28</v>
      </c>
      <c r="F501" s="141" t="s">
        <v>24</v>
      </c>
      <c r="G501" s="141" t="s">
        <v>25</v>
      </c>
      <c r="H501" s="144"/>
      <c r="I501" s="144"/>
      <c r="J501" s="137">
        <v>1.0</v>
      </c>
      <c r="K501" s="137">
        <v>1.25</v>
      </c>
      <c r="L501" s="107"/>
      <c r="M501" s="138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9"/>
      <c r="B502" s="145">
        <v>46104.0</v>
      </c>
      <c r="C502" s="140" t="s">
        <v>27</v>
      </c>
      <c r="D502" s="140" t="s">
        <v>89</v>
      </c>
      <c r="E502" s="140" t="s">
        <v>39</v>
      </c>
      <c r="F502" s="140" t="s">
        <v>20</v>
      </c>
      <c r="G502" s="115" t="s">
        <v>35</v>
      </c>
      <c r="H502" s="146"/>
      <c r="I502" s="146"/>
      <c r="J502" s="135"/>
      <c r="K502" s="135">
        <f>(9/34)*0.75</f>
        <v>0.1985294118</v>
      </c>
      <c r="L502" s="115" t="s">
        <v>371</v>
      </c>
      <c r="M502" s="136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9"/>
      <c r="B503" s="142">
        <v>46104.0</v>
      </c>
      <c r="C503" s="141" t="s">
        <v>27</v>
      </c>
      <c r="D503" s="143" t="s">
        <v>89</v>
      </c>
      <c r="E503" s="143" t="s">
        <v>19</v>
      </c>
      <c r="F503" s="141" t="s">
        <v>20</v>
      </c>
      <c r="G503" s="107" t="s">
        <v>35</v>
      </c>
      <c r="H503" s="144"/>
      <c r="I503" s="144"/>
      <c r="J503" s="137"/>
      <c r="K503" s="137">
        <f>(8/34)*0.75</f>
        <v>0.1764705882</v>
      </c>
      <c r="L503" s="107" t="s">
        <v>371</v>
      </c>
      <c r="M503" s="138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9"/>
      <c r="B504" s="145">
        <v>46104.0</v>
      </c>
      <c r="C504" s="140" t="s">
        <v>27</v>
      </c>
      <c r="D504" s="149" t="s">
        <v>89</v>
      </c>
      <c r="E504" s="149" t="s">
        <v>62</v>
      </c>
      <c r="F504" s="140" t="s">
        <v>20</v>
      </c>
      <c r="G504" s="115" t="s">
        <v>35</v>
      </c>
      <c r="H504" s="146"/>
      <c r="I504" s="146"/>
      <c r="J504" s="135"/>
      <c r="K504" s="135">
        <f>(13/34)*0.75</f>
        <v>0.2867647059</v>
      </c>
      <c r="L504" s="115" t="s">
        <v>371</v>
      </c>
      <c r="M504" s="136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9"/>
      <c r="B505" s="142">
        <v>46104.0</v>
      </c>
      <c r="C505" s="141" t="s">
        <v>27</v>
      </c>
      <c r="D505" s="143" t="s">
        <v>89</v>
      </c>
      <c r="E505" s="143" t="s">
        <v>11</v>
      </c>
      <c r="F505" s="141" t="s">
        <v>20</v>
      </c>
      <c r="G505" s="107" t="s">
        <v>35</v>
      </c>
      <c r="H505" s="144"/>
      <c r="I505" s="144"/>
      <c r="J505" s="137"/>
      <c r="K505" s="137">
        <f>(4/34)*0.75</f>
        <v>0.08823529412</v>
      </c>
      <c r="L505" s="107" t="s">
        <v>371</v>
      </c>
      <c r="M505" s="138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9"/>
      <c r="B506" s="145">
        <v>46104.0</v>
      </c>
      <c r="C506" s="140" t="s">
        <v>27</v>
      </c>
      <c r="D506" s="140" t="s">
        <v>89</v>
      </c>
      <c r="E506" s="140" t="s">
        <v>39</v>
      </c>
      <c r="F506" s="140" t="s">
        <v>20</v>
      </c>
      <c r="G506" s="115" t="s">
        <v>35</v>
      </c>
      <c r="H506" s="146"/>
      <c r="I506" s="146"/>
      <c r="J506" s="135"/>
      <c r="K506" s="135">
        <f>(9/34)*0.75</f>
        <v>0.1985294118</v>
      </c>
      <c r="L506" s="115" t="s">
        <v>371</v>
      </c>
      <c r="M506" s="136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9"/>
      <c r="B507" s="142">
        <v>46104.0</v>
      </c>
      <c r="C507" s="141" t="s">
        <v>27</v>
      </c>
      <c r="D507" s="143" t="s">
        <v>89</v>
      </c>
      <c r="E507" s="143" t="s">
        <v>19</v>
      </c>
      <c r="F507" s="141" t="s">
        <v>20</v>
      </c>
      <c r="G507" s="107" t="s">
        <v>35</v>
      </c>
      <c r="H507" s="144"/>
      <c r="I507" s="144"/>
      <c r="J507" s="137"/>
      <c r="K507" s="137">
        <f>(8/34)*0.75</f>
        <v>0.1764705882</v>
      </c>
      <c r="L507" s="107" t="s">
        <v>371</v>
      </c>
      <c r="M507" s="138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9"/>
      <c r="B508" s="145">
        <v>46104.0</v>
      </c>
      <c r="C508" s="140" t="s">
        <v>27</v>
      </c>
      <c r="D508" s="149" t="s">
        <v>89</v>
      </c>
      <c r="E508" s="149" t="s">
        <v>62</v>
      </c>
      <c r="F508" s="140" t="s">
        <v>20</v>
      </c>
      <c r="G508" s="115" t="s">
        <v>35</v>
      </c>
      <c r="H508" s="146"/>
      <c r="I508" s="146"/>
      <c r="J508" s="135"/>
      <c r="K508" s="135">
        <f>(13/34)*0.75</f>
        <v>0.2867647059</v>
      </c>
      <c r="L508" s="115" t="s">
        <v>371</v>
      </c>
      <c r="M508" s="136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9"/>
      <c r="B509" s="142">
        <v>46104.0</v>
      </c>
      <c r="C509" s="141" t="s">
        <v>27</v>
      </c>
      <c r="D509" s="143" t="s">
        <v>89</v>
      </c>
      <c r="E509" s="143" t="s">
        <v>11</v>
      </c>
      <c r="F509" s="141" t="s">
        <v>20</v>
      </c>
      <c r="G509" s="107" t="s">
        <v>35</v>
      </c>
      <c r="H509" s="144"/>
      <c r="I509" s="144"/>
      <c r="J509" s="137"/>
      <c r="K509" s="137">
        <f>(4/34)*0.75</f>
        <v>0.08823529412</v>
      </c>
      <c r="L509" s="107" t="s">
        <v>371</v>
      </c>
      <c r="M509" s="138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9"/>
      <c r="B510" s="145">
        <v>46104.0</v>
      </c>
      <c r="C510" s="140" t="s">
        <v>33</v>
      </c>
      <c r="D510" s="149" t="s">
        <v>89</v>
      </c>
      <c r="E510" s="149" t="s">
        <v>19</v>
      </c>
      <c r="F510" s="140" t="s">
        <v>20</v>
      </c>
      <c r="G510" s="140" t="s">
        <v>30</v>
      </c>
      <c r="H510" s="146"/>
      <c r="I510" s="146"/>
      <c r="J510" s="135">
        <v>2.0</v>
      </c>
      <c r="K510" s="135"/>
      <c r="L510" s="115"/>
      <c r="M510" s="136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9"/>
      <c r="B511" s="142">
        <v>46104.0</v>
      </c>
      <c r="C511" s="141" t="s">
        <v>33</v>
      </c>
      <c r="D511" s="143" t="s">
        <v>89</v>
      </c>
      <c r="E511" s="143" t="s">
        <v>19</v>
      </c>
      <c r="F511" s="141" t="s">
        <v>20</v>
      </c>
      <c r="G511" s="107" t="s">
        <v>35</v>
      </c>
      <c r="H511" s="144"/>
      <c r="I511" s="144"/>
      <c r="J511" s="137">
        <v>1.5</v>
      </c>
      <c r="K511" s="137"/>
      <c r="L511" s="107"/>
      <c r="M511" s="138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9"/>
      <c r="B512" s="145">
        <v>46104.0</v>
      </c>
      <c r="C512" s="140" t="s">
        <v>33</v>
      </c>
      <c r="D512" s="158" t="s">
        <v>136</v>
      </c>
      <c r="E512" s="140" t="s">
        <v>72</v>
      </c>
      <c r="F512" s="140" t="s">
        <v>20</v>
      </c>
      <c r="G512" s="140" t="s">
        <v>30</v>
      </c>
      <c r="H512" s="146"/>
      <c r="I512" s="146"/>
      <c r="J512" s="135">
        <v>1.0</v>
      </c>
      <c r="K512" s="135"/>
      <c r="L512" s="115" t="s">
        <v>372</v>
      </c>
      <c r="M512" s="136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9"/>
      <c r="B513" s="142">
        <v>46104.0</v>
      </c>
      <c r="C513" s="141" t="s">
        <v>33</v>
      </c>
      <c r="D513" s="141" t="s">
        <v>110</v>
      </c>
      <c r="E513" s="141" t="s">
        <v>80</v>
      </c>
      <c r="F513" s="141" t="s">
        <v>20</v>
      </c>
      <c r="G513" s="107" t="s">
        <v>35</v>
      </c>
      <c r="H513" s="144"/>
      <c r="I513" s="144"/>
      <c r="J513" s="137">
        <v>1.0</v>
      </c>
      <c r="K513" s="137"/>
      <c r="L513" s="107" t="s">
        <v>370</v>
      </c>
      <c r="M513" s="138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9"/>
      <c r="B514" s="145">
        <v>46104.0</v>
      </c>
      <c r="C514" s="140" t="s">
        <v>33</v>
      </c>
      <c r="D514" s="140" t="s">
        <v>89</v>
      </c>
      <c r="E514" s="140" t="s">
        <v>39</v>
      </c>
      <c r="F514" s="140" t="s">
        <v>20</v>
      </c>
      <c r="G514" s="115" t="s">
        <v>35</v>
      </c>
      <c r="H514" s="146"/>
      <c r="I514" s="146"/>
      <c r="J514" s="135">
        <v>0.5</v>
      </c>
      <c r="K514" s="135"/>
      <c r="L514" s="115"/>
      <c r="M514" s="136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9"/>
      <c r="B515" s="142">
        <v>46104.0</v>
      </c>
      <c r="C515" s="141" t="s">
        <v>33</v>
      </c>
      <c r="D515" s="141" t="s">
        <v>60</v>
      </c>
      <c r="E515" s="155" t="s">
        <v>28</v>
      </c>
      <c r="F515" s="141" t="s">
        <v>24</v>
      </c>
      <c r="G515" s="141" t="s">
        <v>25</v>
      </c>
      <c r="H515" s="144"/>
      <c r="I515" s="144"/>
      <c r="J515" s="137">
        <v>3.25</v>
      </c>
      <c r="K515" s="137"/>
      <c r="L515" s="107"/>
      <c r="M515" s="138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9"/>
      <c r="B516" s="145">
        <v>46105.0</v>
      </c>
      <c r="C516" s="140" t="s">
        <v>10</v>
      </c>
      <c r="D516" s="158" t="s">
        <v>98</v>
      </c>
      <c r="E516" s="158" t="s">
        <v>11</v>
      </c>
      <c r="F516" s="140" t="s">
        <v>20</v>
      </c>
      <c r="G516" s="140" t="s">
        <v>22</v>
      </c>
      <c r="H516" s="146"/>
      <c r="I516" s="146"/>
      <c r="J516" s="135">
        <v>2.0</v>
      </c>
      <c r="K516" s="135"/>
      <c r="L516" s="115" t="s">
        <v>373</v>
      </c>
      <c r="M516" s="136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9"/>
      <c r="B517" s="142">
        <v>46105.0</v>
      </c>
      <c r="C517" s="141" t="s">
        <v>10</v>
      </c>
      <c r="D517" s="141" t="s">
        <v>17</v>
      </c>
      <c r="E517" s="141" t="s">
        <v>96</v>
      </c>
      <c r="F517" s="141" t="s">
        <v>54</v>
      </c>
      <c r="G517" s="141" t="s">
        <v>54</v>
      </c>
      <c r="H517" s="144"/>
      <c r="I517" s="144"/>
      <c r="J517" s="137">
        <v>0.5</v>
      </c>
      <c r="K517" s="137"/>
      <c r="L517" s="107" t="s">
        <v>374</v>
      </c>
      <c r="M517" s="138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9"/>
      <c r="B518" s="145">
        <v>46105.0</v>
      </c>
      <c r="C518" s="140" t="s">
        <v>10</v>
      </c>
      <c r="D518" s="140" t="s">
        <v>17</v>
      </c>
      <c r="E518" s="140" t="s">
        <v>148</v>
      </c>
      <c r="F518" s="140" t="s">
        <v>20</v>
      </c>
      <c r="G518" s="140" t="s">
        <v>22</v>
      </c>
      <c r="H518" s="146"/>
      <c r="I518" s="146"/>
      <c r="J518" s="135">
        <v>7.5</v>
      </c>
      <c r="K518" s="135"/>
      <c r="L518" s="115"/>
      <c r="M518" s="136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9"/>
      <c r="B519" s="142">
        <v>46105.0</v>
      </c>
      <c r="C519" s="141" t="s">
        <v>18</v>
      </c>
      <c r="D519" s="141" t="s">
        <v>98</v>
      </c>
      <c r="E519" s="141" t="s">
        <v>153</v>
      </c>
      <c r="F519" s="141" t="s">
        <v>20</v>
      </c>
      <c r="G519" s="141" t="s">
        <v>22</v>
      </c>
      <c r="H519" s="144"/>
      <c r="I519" s="144"/>
      <c r="J519" s="137">
        <v>0.5</v>
      </c>
      <c r="K519" s="137"/>
      <c r="L519" s="107" t="s">
        <v>21</v>
      </c>
      <c r="M519" s="138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9"/>
      <c r="B520" s="145">
        <v>46105.0</v>
      </c>
      <c r="C520" s="140" t="s">
        <v>18</v>
      </c>
      <c r="D520" s="140" t="s">
        <v>60</v>
      </c>
      <c r="E520" s="140" t="s">
        <v>28</v>
      </c>
      <c r="F520" s="140" t="s">
        <v>20</v>
      </c>
      <c r="G520" s="140" t="s">
        <v>22</v>
      </c>
      <c r="H520" s="146"/>
      <c r="I520" s="146"/>
      <c r="J520" s="135">
        <v>7.5</v>
      </c>
      <c r="K520" s="135">
        <v>0.5</v>
      </c>
      <c r="L520" s="115"/>
      <c r="M520" s="136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9"/>
      <c r="B521" s="142">
        <v>46105.0</v>
      </c>
      <c r="C521" s="141" t="s">
        <v>27</v>
      </c>
      <c r="D521" s="141" t="s">
        <v>98</v>
      </c>
      <c r="E521" s="141" t="s">
        <v>153</v>
      </c>
      <c r="F521" s="141" t="s">
        <v>20</v>
      </c>
      <c r="G521" s="141" t="s">
        <v>22</v>
      </c>
      <c r="H521" s="144"/>
      <c r="I521" s="144"/>
      <c r="J521" s="137">
        <v>8.0</v>
      </c>
      <c r="K521" s="137">
        <v>2.0</v>
      </c>
      <c r="L521" s="107"/>
      <c r="M521" s="138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9"/>
      <c r="B522" s="145">
        <v>46105.0</v>
      </c>
      <c r="C522" s="140" t="s">
        <v>33</v>
      </c>
      <c r="D522" s="140" t="s">
        <v>60</v>
      </c>
      <c r="E522" s="140" t="s">
        <v>28</v>
      </c>
      <c r="F522" s="140" t="s">
        <v>24</v>
      </c>
      <c r="G522" s="140" t="s">
        <v>25</v>
      </c>
      <c r="H522" s="146"/>
      <c r="I522" s="146"/>
      <c r="J522" s="135">
        <v>5.0</v>
      </c>
      <c r="K522" s="135"/>
      <c r="L522" s="115"/>
      <c r="M522" s="136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9"/>
      <c r="B523" s="142">
        <v>46105.0</v>
      </c>
      <c r="C523" s="141" t="s">
        <v>33</v>
      </c>
      <c r="D523" s="155" t="s">
        <v>136</v>
      </c>
      <c r="E523" s="141" t="s">
        <v>72</v>
      </c>
      <c r="F523" s="141" t="s">
        <v>24</v>
      </c>
      <c r="G523" s="141" t="s">
        <v>25</v>
      </c>
      <c r="H523" s="144"/>
      <c r="I523" s="144"/>
      <c r="J523" s="137">
        <v>2.5</v>
      </c>
      <c r="K523" s="137">
        <v>0.5</v>
      </c>
      <c r="L523" s="107"/>
      <c r="M523" s="138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9"/>
      <c r="B524" s="145">
        <v>46105.0</v>
      </c>
      <c r="C524" s="140" t="s">
        <v>33</v>
      </c>
      <c r="D524" s="140" t="s">
        <v>98</v>
      </c>
      <c r="E524" s="140" t="s">
        <v>153</v>
      </c>
      <c r="F524" s="140" t="s">
        <v>20</v>
      </c>
      <c r="G524" s="140" t="s">
        <v>22</v>
      </c>
      <c r="H524" s="146"/>
      <c r="I524" s="146"/>
      <c r="J524" s="135"/>
      <c r="K524" s="135">
        <v>0.5</v>
      </c>
      <c r="L524" s="115" t="s">
        <v>21</v>
      </c>
      <c r="M524" s="136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9"/>
      <c r="B525" s="142">
        <v>46105.0</v>
      </c>
      <c r="C525" s="141" t="s">
        <v>33</v>
      </c>
      <c r="D525" s="141" t="s">
        <v>26</v>
      </c>
      <c r="E525" s="141" t="s">
        <v>130</v>
      </c>
      <c r="F525" s="141" t="s">
        <v>54</v>
      </c>
      <c r="G525" s="141" t="s">
        <v>54</v>
      </c>
      <c r="H525" s="144"/>
      <c r="I525" s="144"/>
      <c r="J525" s="137">
        <v>0.5</v>
      </c>
      <c r="K525" s="137"/>
      <c r="L525" s="107" t="s">
        <v>375</v>
      </c>
      <c r="M525" s="138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9"/>
      <c r="B526" s="124">
        <v>46106.0</v>
      </c>
      <c r="C526" s="115" t="s">
        <v>10</v>
      </c>
      <c r="D526" s="115" t="s">
        <v>60</v>
      </c>
      <c r="E526" s="115" t="s">
        <v>28</v>
      </c>
      <c r="F526" s="115" t="s">
        <v>24</v>
      </c>
      <c r="G526" s="115" t="s">
        <v>31</v>
      </c>
      <c r="H526" s="120"/>
      <c r="I526" s="120"/>
      <c r="J526" s="135">
        <v>3.0</v>
      </c>
      <c r="K526" s="135">
        <v>2.0</v>
      </c>
      <c r="L526" s="115"/>
      <c r="M526" s="136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9"/>
      <c r="B527" s="125">
        <v>46106.0</v>
      </c>
      <c r="C527" s="107" t="s">
        <v>10</v>
      </c>
      <c r="D527" s="139" t="s">
        <v>136</v>
      </c>
      <c r="E527" s="107" t="s">
        <v>72</v>
      </c>
      <c r="F527" s="107" t="s">
        <v>24</v>
      </c>
      <c r="G527" s="107" t="s">
        <v>31</v>
      </c>
      <c r="H527" s="123"/>
      <c r="I527" s="123"/>
      <c r="J527" s="137">
        <v>1.0</v>
      </c>
      <c r="K527" s="137"/>
      <c r="L527" s="107"/>
      <c r="M527" s="138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9"/>
      <c r="B528" s="124">
        <v>46106.0</v>
      </c>
      <c r="C528" s="115" t="s">
        <v>10</v>
      </c>
      <c r="D528" s="159" t="s">
        <v>98</v>
      </c>
      <c r="E528" s="159" t="s">
        <v>11</v>
      </c>
      <c r="F528" s="115" t="s">
        <v>24</v>
      </c>
      <c r="G528" s="115" t="s">
        <v>31</v>
      </c>
      <c r="H528" s="120"/>
      <c r="I528" s="120"/>
      <c r="J528" s="135">
        <v>1.5</v>
      </c>
      <c r="K528" s="135"/>
      <c r="L528" s="115"/>
      <c r="M528" s="136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9"/>
      <c r="B529" s="125">
        <v>46106.0</v>
      </c>
      <c r="C529" s="107" t="s">
        <v>10</v>
      </c>
      <c r="D529" s="107" t="s">
        <v>17</v>
      </c>
      <c r="E529" s="107" t="s">
        <v>111</v>
      </c>
      <c r="F529" s="107" t="s">
        <v>59</v>
      </c>
      <c r="G529" s="111" t="s">
        <v>57</v>
      </c>
      <c r="H529" s="123"/>
      <c r="I529" s="123"/>
      <c r="J529" s="137">
        <v>2.5</v>
      </c>
      <c r="K529" s="137"/>
      <c r="L529" s="107"/>
      <c r="M529" s="138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9"/>
      <c r="B530" s="145">
        <v>46106.0</v>
      </c>
      <c r="C530" s="140" t="s">
        <v>18</v>
      </c>
      <c r="D530" s="158" t="s">
        <v>98</v>
      </c>
      <c r="E530" s="158" t="s">
        <v>11</v>
      </c>
      <c r="F530" s="140" t="s">
        <v>20</v>
      </c>
      <c r="G530" s="140" t="s">
        <v>22</v>
      </c>
      <c r="H530" s="146"/>
      <c r="I530" s="146"/>
      <c r="J530" s="135">
        <v>6.0</v>
      </c>
      <c r="K530" s="135"/>
      <c r="L530" s="115"/>
      <c r="M530" s="136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9"/>
      <c r="B531" s="142">
        <v>46106.0</v>
      </c>
      <c r="C531" s="141" t="s">
        <v>18</v>
      </c>
      <c r="D531" s="141" t="s">
        <v>89</v>
      </c>
      <c r="E531" s="141" t="s">
        <v>103</v>
      </c>
      <c r="F531" s="141" t="s">
        <v>20</v>
      </c>
      <c r="G531" s="141" t="s">
        <v>22</v>
      </c>
      <c r="H531" s="144"/>
      <c r="I531" s="144"/>
      <c r="J531" s="137">
        <v>2.0</v>
      </c>
      <c r="K531" s="137">
        <v>2.0</v>
      </c>
      <c r="L531" s="107"/>
      <c r="M531" s="138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9"/>
      <c r="B532" s="145">
        <v>46106.0</v>
      </c>
      <c r="C532" s="140" t="s">
        <v>27</v>
      </c>
      <c r="D532" s="140" t="s">
        <v>98</v>
      </c>
      <c r="E532" s="140" t="s">
        <v>153</v>
      </c>
      <c r="F532" s="140" t="s">
        <v>20</v>
      </c>
      <c r="G532" s="140" t="s">
        <v>22</v>
      </c>
      <c r="H532" s="146"/>
      <c r="I532" s="146"/>
      <c r="J532" s="135">
        <v>5.5</v>
      </c>
      <c r="K532" s="135"/>
      <c r="L532" s="115"/>
      <c r="M532" s="136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9"/>
      <c r="B533" s="142">
        <v>46106.0</v>
      </c>
      <c r="C533" s="141" t="s">
        <v>27</v>
      </c>
      <c r="D533" s="141" t="s">
        <v>98</v>
      </c>
      <c r="E533" s="141" t="s">
        <v>153</v>
      </c>
      <c r="F533" s="141" t="s">
        <v>20</v>
      </c>
      <c r="G533" s="107" t="s">
        <v>35</v>
      </c>
      <c r="H533" s="144"/>
      <c r="I533" s="144"/>
      <c r="J533" s="137">
        <v>0.5</v>
      </c>
      <c r="K533" s="137"/>
      <c r="L533" s="107"/>
      <c r="M533" s="138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9"/>
      <c r="B534" s="145">
        <v>46106.0</v>
      </c>
      <c r="C534" s="140" t="s">
        <v>27</v>
      </c>
      <c r="D534" s="158" t="s">
        <v>98</v>
      </c>
      <c r="E534" s="158" t="s">
        <v>11</v>
      </c>
      <c r="F534" s="140" t="s">
        <v>24</v>
      </c>
      <c r="G534" s="140" t="s">
        <v>25</v>
      </c>
      <c r="H534" s="146"/>
      <c r="I534" s="146"/>
      <c r="J534" s="135">
        <v>2.0</v>
      </c>
      <c r="K534" s="135">
        <v>2.0</v>
      </c>
      <c r="L534" s="115"/>
      <c r="M534" s="136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9"/>
      <c r="B535" s="142">
        <v>46106.0</v>
      </c>
      <c r="C535" s="141" t="s">
        <v>33</v>
      </c>
      <c r="D535" s="141" t="s">
        <v>60</v>
      </c>
      <c r="E535" s="141" t="s">
        <v>28</v>
      </c>
      <c r="F535" s="141" t="s">
        <v>24</v>
      </c>
      <c r="G535" s="141" t="s">
        <v>25</v>
      </c>
      <c r="H535" s="144"/>
      <c r="I535" s="144"/>
      <c r="J535" s="137">
        <v>3.5</v>
      </c>
      <c r="K535" s="137"/>
      <c r="L535" s="107"/>
      <c r="M535" s="138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9"/>
      <c r="B536" s="145">
        <v>46106.0</v>
      </c>
      <c r="C536" s="140" t="s">
        <v>33</v>
      </c>
      <c r="D536" s="158" t="s">
        <v>98</v>
      </c>
      <c r="E536" s="158" t="s">
        <v>11</v>
      </c>
      <c r="F536" s="140" t="s">
        <v>24</v>
      </c>
      <c r="G536" s="140" t="s">
        <v>25</v>
      </c>
      <c r="H536" s="146"/>
      <c r="I536" s="146"/>
      <c r="J536" s="135">
        <v>4.0</v>
      </c>
      <c r="K536" s="135"/>
      <c r="L536" s="115"/>
      <c r="M536" s="136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9"/>
      <c r="B537" s="142">
        <v>46106.0</v>
      </c>
      <c r="C537" s="141" t="s">
        <v>33</v>
      </c>
      <c r="D537" s="155" t="s">
        <v>136</v>
      </c>
      <c r="E537" s="141" t="s">
        <v>72</v>
      </c>
      <c r="F537" s="141" t="s">
        <v>24</v>
      </c>
      <c r="G537" s="141" t="s">
        <v>25</v>
      </c>
      <c r="H537" s="144"/>
      <c r="I537" s="144"/>
      <c r="J537" s="137">
        <v>0.5</v>
      </c>
      <c r="K537" s="137"/>
      <c r="L537" s="107" t="s">
        <v>376</v>
      </c>
      <c r="M537" s="138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9"/>
      <c r="B538" s="145">
        <v>46106.0</v>
      </c>
      <c r="C538" s="140" t="s">
        <v>33</v>
      </c>
      <c r="D538" s="140" t="s">
        <v>98</v>
      </c>
      <c r="E538" s="140" t="s">
        <v>153</v>
      </c>
      <c r="F538" s="140" t="s">
        <v>20</v>
      </c>
      <c r="G538" s="140" t="s">
        <v>22</v>
      </c>
      <c r="H538" s="146"/>
      <c r="I538" s="146"/>
      <c r="J538" s="135">
        <v>0.5</v>
      </c>
      <c r="K538" s="135"/>
      <c r="L538" s="115"/>
      <c r="M538" s="136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9"/>
      <c r="B539" s="142">
        <v>46106.0</v>
      </c>
      <c r="C539" s="141" t="s">
        <v>33</v>
      </c>
      <c r="D539" s="141" t="s">
        <v>98</v>
      </c>
      <c r="E539" s="141" t="s">
        <v>153</v>
      </c>
      <c r="F539" s="141" t="s">
        <v>20</v>
      </c>
      <c r="G539" s="107" t="s">
        <v>35</v>
      </c>
      <c r="H539" s="144"/>
      <c r="I539" s="144"/>
      <c r="J539" s="137">
        <v>0.5</v>
      </c>
      <c r="K539" s="137"/>
      <c r="L539" s="107"/>
      <c r="M539" s="138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9"/>
      <c r="B540" s="124">
        <v>46107.0</v>
      </c>
      <c r="C540" s="115" t="s">
        <v>10</v>
      </c>
      <c r="D540" s="115" t="s">
        <v>136</v>
      </c>
      <c r="E540" s="115" t="s">
        <v>145</v>
      </c>
      <c r="F540" s="115" t="s">
        <v>20</v>
      </c>
      <c r="G540" s="115" t="s">
        <v>22</v>
      </c>
      <c r="H540" s="120"/>
      <c r="I540" s="120"/>
      <c r="J540" s="135">
        <v>8.0</v>
      </c>
      <c r="K540" s="135">
        <v>2.0</v>
      </c>
      <c r="L540" s="115"/>
      <c r="M540" s="136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9"/>
      <c r="B541" s="142">
        <v>46107.0</v>
      </c>
      <c r="C541" s="141" t="s">
        <v>18</v>
      </c>
      <c r="D541" s="141" t="s">
        <v>89</v>
      </c>
      <c r="E541" s="141" t="s">
        <v>103</v>
      </c>
      <c r="F541" s="141" t="s">
        <v>20</v>
      </c>
      <c r="G541" s="141" t="s">
        <v>22</v>
      </c>
      <c r="H541" s="144"/>
      <c r="I541" s="144"/>
      <c r="J541" s="137">
        <v>1.0</v>
      </c>
      <c r="K541" s="137"/>
      <c r="L541" s="107"/>
      <c r="M541" s="138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9"/>
      <c r="B542" s="145">
        <v>46107.0</v>
      </c>
      <c r="C542" s="140" t="s">
        <v>18</v>
      </c>
      <c r="D542" s="140" t="s">
        <v>100</v>
      </c>
      <c r="E542" s="140" t="s">
        <v>11</v>
      </c>
      <c r="F542" s="140" t="s">
        <v>20</v>
      </c>
      <c r="G542" s="140" t="s">
        <v>22</v>
      </c>
      <c r="H542" s="146"/>
      <c r="I542" s="146"/>
      <c r="J542" s="135">
        <v>4.5</v>
      </c>
      <c r="K542" s="135"/>
      <c r="L542" s="115" t="s">
        <v>377</v>
      </c>
      <c r="M542" s="136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9"/>
      <c r="B543" s="142">
        <v>46107.0</v>
      </c>
      <c r="C543" s="141" t="s">
        <v>18</v>
      </c>
      <c r="D543" s="141" t="s">
        <v>100</v>
      </c>
      <c r="E543" s="141" t="s">
        <v>11</v>
      </c>
      <c r="F543" s="141" t="s">
        <v>20</v>
      </c>
      <c r="G543" s="141" t="s">
        <v>22</v>
      </c>
      <c r="H543" s="144"/>
      <c r="I543" s="144"/>
      <c r="J543" s="137">
        <v>2.0</v>
      </c>
      <c r="K543" s="137"/>
      <c r="L543" s="107" t="s">
        <v>377</v>
      </c>
      <c r="M543" s="138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9"/>
      <c r="B544" s="145">
        <v>46107.0</v>
      </c>
      <c r="C544" s="140" t="s">
        <v>18</v>
      </c>
      <c r="D544" s="140" t="s">
        <v>100</v>
      </c>
      <c r="E544" s="140" t="s">
        <v>28</v>
      </c>
      <c r="F544" s="140" t="s">
        <v>20</v>
      </c>
      <c r="G544" s="140" t="s">
        <v>22</v>
      </c>
      <c r="H544" s="146"/>
      <c r="I544" s="146"/>
      <c r="J544" s="135">
        <v>0.5</v>
      </c>
      <c r="K544" s="135">
        <v>2.0</v>
      </c>
      <c r="L544" s="115"/>
      <c r="M544" s="136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9"/>
      <c r="B545" s="142">
        <v>46107.0</v>
      </c>
      <c r="C545" s="141" t="s">
        <v>27</v>
      </c>
      <c r="D545" s="141" t="s">
        <v>60</v>
      </c>
      <c r="E545" s="141" t="s">
        <v>28</v>
      </c>
      <c r="F545" s="141" t="s">
        <v>24</v>
      </c>
      <c r="G545" s="141" t="s">
        <v>25</v>
      </c>
      <c r="H545" s="144"/>
      <c r="I545" s="144"/>
      <c r="J545" s="137">
        <v>4.5</v>
      </c>
      <c r="K545" s="137"/>
      <c r="L545" s="107"/>
      <c r="M545" s="138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9"/>
      <c r="B546" s="145">
        <v>46107.0</v>
      </c>
      <c r="C546" s="140" t="s">
        <v>27</v>
      </c>
      <c r="D546" s="140" t="s">
        <v>89</v>
      </c>
      <c r="E546" s="140" t="s">
        <v>103</v>
      </c>
      <c r="F546" s="140" t="s">
        <v>24</v>
      </c>
      <c r="G546" s="140" t="s">
        <v>25</v>
      </c>
      <c r="H546" s="146"/>
      <c r="I546" s="146"/>
      <c r="J546" s="135">
        <v>0.5</v>
      </c>
      <c r="K546" s="135"/>
      <c r="L546" s="115"/>
      <c r="M546" s="136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9"/>
      <c r="B547" s="142">
        <v>46107.0</v>
      </c>
      <c r="C547" s="141" t="s">
        <v>27</v>
      </c>
      <c r="D547" s="155" t="s">
        <v>136</v>
      </c>
      <c r="E547" s="141" t="s">
        <v>145</v>
      </c>
      <c r="F547" s="141" t="s">
        <v>20</v>
      </c>
      <c r="G547" s="141" t="s">
        <v>22</v>
      </c>
      <c r="H547" s="144"/>
      <c r="I547" s="144"/>
      <c r="J547" s="137">
        <v>3.0</v>
      </c>
      <c r="K547" s="137">
        <v>2.0</v>
      </c>
      <c r="L547" s="107"/>
      <c r="M547" s="138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9"/>
      <c r="B548" s="145">
        <v>46107.0</v>
      </c>
      <c r="C548" s="140" t="s">
        <v>27</v>
      </c>
      <c r="D548" s="140" t="s">
        <v>89</v>
      </c>
      <c r="E548" s="140" t="s">
        <v>103</v>
      </c>
      <c r="F548" s="140" t="s">
        <v>24</v>
      </c>
      <c r="G548" s="140" t="s">
        <v>25</v>
      </c>
      <c r="H548" s="146"/>
      <c r="I548" s="146"/>
      <c r="J548" s="135">
        <v>1.5</v>
      </c>
      <c r="K548" s="135"/>
      <c r="L548" s="115"/>
      <c r="M548" s="136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9"/>
      <c r="B549" s="142">
        <v>46107.0</v>
      </c>
      <c r="C549" s="141" t="s">
        <v>33</v>
      </c>
      <c r="D549" s="141" t="s">
        <v>60</v>
      </c>
      <c r="E549" s="141" t="s">
        <v>28</v>
      </c>
      <c r="F549" s="141" t="s">
        <v>24</v>
      </c>
      <c r="G549" s="141" t="s">
        <v>25</v>
      </c>
      <c r="H549" s="144"/>
      <c r="I549" s="144"/>
      <c r="J549" s="137">
        <v>3.5</v>
      </c>
      <c r="K549" s="137"/>
      <c r="L549" s="107"/>
      <c r="M549" s="138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9"/>
      <c r="B550" s="145">
        <v>46107.0</v>
      </c>
      <c r="C550" s="140" t="s">
        <v>33</v>
      </c>
      <c r="D550" s="158" t="s">
        <v>136</v>
      </c>
      <c r="E550" s="140" t="s">
        <v>145</v>
      </c>
      <c r="F550" s="140" t="s">
        <v>20</v>
      </c>
      <c r="G550" s="140" t="s">
        <v>22</v>
      </c>
      <c r="H550" s="146"/>
      <c r="I550" s="146"/>
      <c r="J550" s="135">
        <v>3.0</v>
      </c>
      <c r="K550" s="135">
        <v>2.0</v>
      </c>
      <c r="L550" s="115"/>
      <c r="M550" s="136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9"/>
      <c r="B551" s="125">
        <v>46108.0</v>
      </c>
      <c r="C551" s="107" t="s">
        <v>10</v>
      </c>
      <c r="D551" s="107" t="s">
        <v>136</v>
      </c>
      <c r="E551" s="107" t="s">
        <v>150</v>
      </c>
      <c r="F551" s="107" t="s">
        <v>20</v>
      </c>
      <c r="G551" s="107" t="s">
        <v>21</v>
      </c>
      <c r="H551" s="123"/>
      <c r="I551" s="123"/>
      <c r="J551" s="137">
        <v>3.0</v>
      </c>
      <c r="K551" s="137"/>
      <c r="L551" s="107"/>
      <c r="M551" s="138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9"/>
      <c r="B552" s="124">
        <v>46108.0</v>
      </c>
      <c r="C552" s="115" t="s">
        <v>10</v>
      </c>
      <c r="D552" s="115" t="s">
        <v>136</v>
      </c>
      <c r="E552" s="115" t="s">
        <v>145</v>
      </c>
      <c r="F552" s="115" t="s">
        <v>20</v>
      </c>
      <c r="G552" s="115" t="s">
        <v>22</v>
      </c>
      <c r="H552" s="120"/>
      <c r="I552" s="120"/>
      <c r="J552" s="135">
        <v>5.0</v>
      </c>
      <c r="K552" s="135">
        <v>2.0</v>
      </c>
      <c r="L552" s="115"/>
      <c r="M552" s="136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9"/>
      <c r="B553" s="142">
        <v>46108.0</v>
      </c>
      <c r="C553" s="141" t="s">
        <v>18</v>
      </c>
      <c r="D553" s="155" t="s">
        <v>136</v>
      </c>
      <c r="E553" s="141" t="s">
        <v>145</v>
      </c>
      <c r="F553" s="141" t="s">
        <v>20</v>
      </c>
      <c r="G553" s="141" t="s">
        <v>22</v>
      </c>
      <c r="H553" s="144"/>
      <c r="I553" s="144"/>
      <c r="J553" s="137">
        <v>1.0</v>
      </c>
      <c r="K553" s="137"/>
      <c r="L553" s="107"/>
      <c r="M553" s="138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9"/>
      <c r="B554" s="145">
        <v>46108.0</v>
      </c>
      <c r="C554" s="140" t="s">
        <v>18</v>
      </c>
      <c r="D554" s="140" t="s">
        <v>100</v>
      </c>
      <c r="E554" s="140" t="s">
        <v>28</v>
      </c>
      <c r="F554" s="140" t="s">
        <v>20</v>
      </c>
      <c r="G554" s="140" t="s">
        <v>22</v>
      </c>
      <c r="H554" s="146"/>
      <c r="I554" s="146"/>
      <c r="J554" s="135">
        <v>6.0</v>
      </c>
      <c r="K554" s="135">
        <v>2.0</v>
      </c>
      <c r="L554" s="115"/>
      <c r="M554" s="136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9"/>
      <c r="B555" s="142">
        <v>46108.0</v>
      </c>
      <c r="C555" s="141" t="s">
        <v>18</v>
      </c>
      <c r="D555" s="141" t="s">
        <v>17</v>
      </c>
      <c r="E555" s="141" t="s">
        <v>99</v>
      </c>
      <c r="F555" s="141" t="s">
        <v>20</v>
      </c>
      <c r="G555" s="141" t="s">
        <v>35</v>
      </c>
      <c r="H555" s="144"/>
      <c r="I555" s="144"/>
      <c r="J555" s="137">
        <v>1.0</v>
      </c>
      <c r="K555" s="137"/>
      <c r="L555" s="107" t="s">
        <v>378</v>
      </c>
      <c r="M555" s="138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9"/>
      <c r="B556" s="145">
        <v>46108.0</v>
      </c>
      <c r="C556" s="140" t="s">
        <v>45</v>
      </c>
      <c r="D556" s="158" t="s">
        <v>136</v>
      </c>
      <c r="E556" s="140" t="s">
        <v>145</v>
      </c>
      <c r="F556" s="140" t="s">
        <v>20</v>
      </c>
      <c r="G556" s="140" t="s">
        <v>22</v>
      </c>
      <c r="H556" s="146"/>
      <c r="I556" s="146"/>
      <c r="J556" s="135">
        <v>7.0</v>
      </c>
      <c r="K556" s="135"/>
      <c r="L556" s="115"/>
      <c r="M556" s="136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9"/>
      <c r="B557" s="142">
        <v>46108.0</v>
      </c>
      <c r="C557" s="141" t="s">
        <v>45</v>
      </c>
      <c r="D557" s="155" t="s">
        <v>136</v>
      </c>
      <c r="E557" s="141" t="s">
        <v>145</v>
      </c>
      <c r="F557" s="141" t="s">
        <v>20</v>
      </c>
      <c r="G557" s="141" t="s">
        <v>22</v>
      </c>
      <c r="H557" s="144"/>
      <c r="I557" s="144"/>
      <c r="J557" s="137">
        <v>7.5</v>
      </c>
      <c r="K557" s="137"/>
      <c r="L557" s="107"/>
      <c r="M557" s="138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9"/>
      <c r="B558" s="145">
        <v>46108.0</v>
      </c>
      <c r="C558" s="140" t="s">
        <v>38</v>
      </c>
      <c r="D558" s="140" t="s">
        <v>112</v>
      </c>
      <c r="E558" s="140" t="s">
        <v>149</v>
      </c>
      <c r="F558" s="140" t="s">
        <v>13</v>
      </c>
      <c r="G558" s="140" t="s">
        <v>13</v>
      </c>
      <c r="H558" s="146"/>
      <c r="I558" s="146"/>
      <c r="J558" s="135"/>
      <c r="K558" s="135"/>
      <c r="L558" s="115"/>
      <c r="M558" s="136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9"/>
      <c r="B559" s="142">
        <v>46108.0</v>
      </c>
      <c r="C559" s="141" t="s">
        <v>38</v>
      </c>
      <c r="D559" s="141" t="s">
        <v>100</v>
      </c>
      <c r="E559" s="141" t="s">
        <v>19</v>
      </c>
      <c r="F559" s="141" t="s">
        <v>13</v>
      </c>
      <c r="G559" s="141" t="s">
        <v>13</v>
      </c>
      <c r="H559" s="144"/>
      <c r="I559" s="144"/>
      <c r="J559" s="137"/>
      <c r="K559" s="137"/>
      <c r="L559" s="107"/>
      <c r="M559" s="138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9"/>
      <c r="B560" s="145">
        <v>46108.0</v>
      </c>
      <c r="C560" s="140" t="s">
        <v>27</v>
      </c>
      <c r="D560" s="158" t="s">
        <v>136</v>
      </c>
      <c r="E560" s="140" t="s">
        <v>145</v>
      </c>
      <c r="F560" s="140" t="s">
        <v>20</v>
      </c>
      <c r="G560" s="140" t="s">
        <v>22</v>
      </c>
      <c r="H560" s="146"/>
      <c r="I560" s="146"/>
      <c r="J560" s="135">
        <v>8.0</v>
      </c>
      <c r="K560" s="135">
        <v>2.0</v>
      </c>
      <c r="L560" s="115"/>
      <c r="M560" s="136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9"/>
      <c r="B561" s="142">
        <v>46108.0</v>
      </c>
      <c r="C561" s="141" t="s">
        <v>33</v>
      </c>
      <c r="D561" s="155" t="s">
        <v>136</v>
      </c>
      <c r="E561" s="141" t="s">
        <v>145</v>
      </c>
      <c r="F561" s="141" t="s">
        <v>20</v>
      </c>
      <c r="G561" s="141" t="s">
        <v>22</v>
      </c>
      <c r="H561" s="144"/>
      <c r="I561" s="144"/>
      <c r="J561" s="137">
        <v>8.0</v>
      </c>
      <c r="K561" s="137">
        <v>2.0</v>
      </c>
      <c r="L561" s="107"/>
      <c r="M561" s="138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9"/>
      <c r="B562" s="124">
        <v>46109.0</v>
      </c>
      <c r="C562" s="115" t="s">
        <v>10</v>
      </c>
      <c r="D562" s="115" t="s">
        <v>136</v>
      </c>
      <c r="E562" s="115" t="s">
        <v>145</v>
      </c>
      <c r="F562" s="115" t="s">
        <v>20</v>
      </c>
      <c r="G562" s="115" t="s">
        <v>22</v>
      </c>
      <c r="H562" s="120"/>
      <c r="I562" s="120"/>
      <c r="J562" s="135"/>
      <c r="K562" s="135">
        <v>6.0</v>
      </c>
      <c r="L562" s="115"/>
      <c r="M562" s="136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9"/>
      <c r="B563" s="125">
        <v>46109.0</v>
      </c>
      <c r="C563" s="107" t="s">
        <v>18</v>
      </c>
      <c r="D563" s="107" t="s">
        <v>100</v>
      </c>
      <c r="E563" s="107" t="s">
        <v>28</v>
      </c>
      <c r="F563" s="107" t="s">
        <v>20</v>
      </c>
      <c r="G563" s="107" t="s">
        <v>22</v>
      </c>
      <c r="H563" s="123"/>
      <c r="I563" s="123"/>
      <c r="J563" s="137"/>
      <c r="K563" s="137">
        <v>1.0</v>
      </c>
      <c r="L563" s="107"/>
      <c r="M563" s="138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9"/>
      <c r="B564" s="124">
        <v>46109.0</v>
      </c>
      <c r="C564" s="115" t="s">
        <v>18</v>
      </c>
      <c r="D564" s="115" t="s">
        <v>100</v>
      </c>
      <c r="E564" s="115" t="s">
        <v>19</v>
      </c>
      <c r="F564" s="115" t="s">
        <v>20</v>
      </c>
      <c r="G564" s="115" t="s">
        <v>22</v>
      </c>
      <c r="H564" s="120"/>
      <c r="I564" s="120"/>
      <c r="J564" s="135"/>
      <c r="K564" s="135">
        <v>4.0</v>
      </c>
      <c r="L564" s="115"/>
      <c r="M564" s="136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9"/>
      <c r="B565" s="125">
        <v>46109.0</v>
      </c>
      <c r="C565" s="107" t="s">
        <v>18</v>
      </c>
      <c r="D565" s="107" t="s">
        <v>17</v>
      </c>
      <c r="E565" s="107" t="s">
        <v>59</v>
      </c>
      <c r="F565" s="107" t="s">
        <v>20</v>
      </c>
      <c r="G565" s="107" t="s">
        <v>22</v>
      </c>
      <c r="H565" s="123"/>
      <c r="I565" s="123"/>
      <c r="J565" s="137"/>
      <c r="K565" s="137">
        <v>1.0</v>
      </c>
      <c r="L565" s="107" t="s">
        <v>379</v>
      </c>
      <c r="M565" s="138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9"/>
      <c r="B566" s="124">
        <v>46109.0</v>
      </c>
      <c r="C566" s="115" t="s">
        <v>18</v>
      </c>
      <c r="D566" s="115" t="s">
        <v>136</v>
      </c>
      <c r="E566" s="115" t="s">
        <v>145</v>
      </c>
      <c r="F566" s="115" t="s">
        <v>20</v>
      </c>
      <c r="G566" s="115" t="s">
        <v>30</v>
      </c>
      <c r="H566" s="120"/>
      <c r="I566" s="120"/>
      <c r="J566" s="135"/>
      <c r="K566" s="135">
        <v>0.75</v>
      </c>
      <c r="L566" s="115" t="s">
        <v>380</v>
      </c>
      <c r="M566" s="136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9"/>
      <c r="B567" s="125">
        <v>46109.0</v>
      </c>
      <c r="C567" s="107" t="s">
        <v>18</v>
      </c>
      <c r="D567" s="107" t="s">
        <v>17</v>
      </c>
      <c r="E567" s="107" t="s">
        <v>96</v>
      </c>
      <c r="F567" s="107" t="s">
        <v>54</v>
      </c>
      <c r="G567" s="107" t="s">
        <v>54</v>
      </c>
      <c r="H567" s="123"/>
      <c r="I567" s="123"/>
      <c r="J567" s="137"/>
      <c r="K567" s="137">
        <v>0.25</v>
      </c>
      <c r="L567" s="107"/>
      <c r="M567" s="138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9"/>
      <c r="B568" s="124">
        <v>46109.0</v>
      </c>
      <c r="C568" s="115" t="s">
        <v>27</v>
      </c>
      <c r="D568" s="115" t="s">
        <v>136</v>
      </c>
      <c r="E568" s="115" t="s">
        <v>145</v>
      </c>
      <c r="F568" s="115" t="s">
        <v>20</v>
      </c>
      <c r="G568" s="115" t="s">
        <v>30</v>
      </c>
      <c r="H568" s="120"/>
      <c r="I568" s="120"/>
      <c r="J568" s="160"/>
      <c r="K568" s="135">
        <v>7.0</v>
      </c>
      <c r="L568" s="115"/>
      <c r="M568" s="136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9"/>
      <c r="B569" s="125">
        <v>46109.0</v>
      </c>
      <c r="C569" s="107" t="s">
        <v>33</v>
      </c>
      <c r="D569" s="107" t="s">
        <v>136</v>
      </c>
      <c r="E569" s="107" t="s">
        <v>145</v>
      </c>
      <c r="F569" s="107" t="s">
        <v>20</v>
      </c>
      <c r="G569" s="107" t="s">
        <v>30</v>
      </c>
      <c r="H569" s="123"/>
      <c r="I569" s="123"/>
      <c r="J569" s="161"/>
      <c r="K569" s="137">
        <v>7.0</v>
      </c>
      <c r="L569" s="107" t="s">
        <v>381</v>
      </c>
      <c r="M569" s="138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9"/>
      <c r="B570" s="124">
        <v>46111.0</v>
      </c>
      <c r="C570" s="115" t="s">
        <v>10</v>
      </c>
      <c r="D570" s="115" t="s">
        <v>136</v>
      </c>
      <c r="E570" s="115" t="s">
        <v>145</v>
      </c>
      <c r="F570" s="133" t="s">
        <v>20</v>
      </c>
      <c r="G570" s="133" t="s">
        <v>22</v>
      </c>
      <c r="H570" s="120"/>
      <c r="I570" s="120"/>
      <c r="J570" s="135">
        <v>3.0</v>
      </c>
      <c r="K570" s="135"/>
      <c r="L570" s="115"/>
      <c r="M570" s="136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9"/>
      <c r="B571" s="125">
        <v>46111.0</v>
      </c>
      <c r="C571" s="107" t="s">
        <v>10</v>
      </c>
      <c r="D571" s="107" t="s">
        <v>89</v>
      </c>
      <c r="E571" s="134" t="s">
        <v>103</v>
      </c>
      <c r="F571" s="107" t="s">
        <v>24</v>
      </c>
      <c r="G571" s="107" t="s">
        <v>31</v>
      </c>
      <c r="H571" s="123"/>
      <c r="I571" s="123"/>
      <c r="J571" s="137">
        <v>1.0</v>
      </c>
      <c r="K571" s="137"/>
      <c r="L571" s="107" t="s">
        <v>206</v>
      </c>
      <c r="M571" s="138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9"/>
      <c r="B572" s="124">
        <v>46111.0</v>
      </c>
      <c r="C572" s="115" t="s">
        <v>10</v>
      </c>
      <c r="D572" s="115" t="s">
        <v>98</v>
      </c>
      <c r="E572" s="159" t="s">
        <v>11</v>
      </c>
      <c r="F572" s="115" t="s">
        <v>24</v>
      </c>
      <c r="G572" s="115" t="s">
        <v>31</v>
      </c>
      <c r="H572" s="120"/>
      <c r="I572" s="120"/>
      <c r="J572" s="135">
        <v>3.0</v>
      </c>
      <c r="K572" s="135"/>
      <c r="L572" s="115" t="s">
        <v>24</v>
      </c>
      <c r="M572" s="136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9"/>
      <c r="B573" s="125">
        <v>46111.0</v>
      </c>
      <c r="C573" s="107" t="s">
        <v>10</v>
      </c>
      <c r="D573" s="134" t="s">
        <v>136</v>
      </c>
      <c r="E573" s="134" t="s">
        <v>72</v>
      </c>
      <c r="F573" s="107" t="s">
        <v>24</v>
      </c>
      <c r="G573" s="107" t="s">
        <v>31</v>
      </c>
      <c r="H573" s="123"/>
      <c r="I573" s="123"/>
      <c r="J573" s="137"/>
      <c r="K573" s="137">
        <v>1.0</v>
      </c>
      <c r="L573" s="107" t="s">
        <v>24</v>
      </c>
      <c r="M573" s="138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9"/>
      <c r="B574" s="124">
        <v>46111.0</v>
      </c>
      <c r="C574" s="115" t="s">
        <v>10</v>
      </c>
      <c r="D574" s="115" t="s">
        <v>60</v>
      </c>
      <c r="E574" s="115" t="s">
        <v>28</v>
      </c>
      <c r="F574" s="115" t="s">
        <v>24</v>
      </c>
      <c r="G574" s="115" t="s">
        <v>31</v>
      </c>
      <c r="H574" s="120"/>
      <c r="I574" s="120"/>
      <c r="J574" s="135">
        <v>1.0</v>
      </c>
      <c r="K574" s="135">
        <v>1.0</v>
      </c>
      <c r="L574" s="115" t="s">
        <v>24</v>
      </c>
      <c r="M574" s="136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9"/>
      <c r="B575" s="125">
        <v>46111.0</v>
      </c>
      <c r="C575" s="107" t="s">
        <v>27</v>
      </c>
      <c r="D575" s="107" t="s">
        <v>60</v>
      </c>
      <c r="E575" s="107" t="s">
        <v>28</v>
      </c>
      <c r="F575" s="107" t="s">
        <v>24</v>
      </c>
      <c r="G575" s="107" t="s">
        <v>25</v>
      </c>
      <c r="H575" s="123"/>
      <c r="I575" s="123"/>
      <c r="J575" s="137">
        <v>2.5</v>
      </c>
      <c r="K575" s="137">
        <v>2.0</v>
      </c>
      <c r="L575" s="107"/>
      <c r="M575" s="107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9"/>
      <c r="B576" s="124">
        <v>46111.0</v>
      </c>
      <c r="C576" s="115" t="s">
        <v>27</v>
      </c>
      <c r="D576" s="115" t="s">
        <v>136</v>
      </c>
      <c r="E576" s="115" t="s">
        <v>145</v>
      </c>
      <c r="F576" s="115" t="s">
        <v>20</v>
      </c>
      <c r="G576" s="115" t="s">
        <v>30</v>
      </c>
      <c r="H576" s="120"/>
      <c r="I576" s="120"/>
      <c r="J576" s="135">
        <v>1.0</v>
      </c>
      <c r="K576" s="135"/>
      <c r="L576" s="115"/>
      <c r="M576" s="136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9"/>
      <c r="B577" s="125">
        <v>46111.0</v>
      </c>
      <c r="C577" s="107" t="s">
        <v>27</v>
      </c>
      <c r="D577" s="107" t="s">
        <v>100</v>
      </c>
      <c r="E577" s="107" t="s">
        <v>28</v>
      </c>
      <c r="F577" s="107" t="s">
        <v>24</v>
      </c>
      <c r="G577" s="107" t="s">
        <v>25</v>
      </c>
      <c r="H577" s="123"/>
      <c r="I577" s="123"/>
      <c r="J577" s="137">
        <v>3.0</v>
      </c>
      <c r="K577" s="137"/>
      <c r="L577" s="107"/>
      <c r="M577" s="138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9"/>
      <c r="B578" s="124">
        <v>46111.0</v>
      </c>
      <c r="C578" s="133" t="s">
        <v>27</v>
      </c>
      <c r="D578" s="133" t="s">
        <v>136</v>
      </c>
      <c r="E578" s="133" t="s">
        <v>72</v>
      </c>
      <c r="F578" s="133" t="s">
        <v>20</v>
      </c>
      <c r="G578" s="133" t="s">
        <v>22</v>
      </c>
      <c r="H578" s="120"/>
      <c r="I578" s="120"/>
      <c r="J578" s="135">
        <v>0.5</v>
      </c>
      <c r="K578" s="135"/>
      <c r="L578" s="115"/>
      <c r="M578" s="136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9"/>
      <c r="B579" s="125">
        <v>46111.0</v>
      </c>
      <c r="C579" s="134" t="s">
        <v>27</v>
      </c>
      <c r="D579" s="134" t="s">
        <v>100</v>
      </c>
      <c r="E579" s="134" t="s">
        <v>11</v>
      </c>
      <c r="F579" s="107" t="s">
        <v>24</v>
      </c>
      <c r="G579" s="107" t="s">
        <v>25</v>
      </c>
      <c r="H579" s="123"/>
      <c r="I579" s="123"/>
      <c r="J579" s="137">
        <v>1.0</v>
      </c>
      <c r="K579" s="137"/>
      <c r="L579" s="107"/>
      <c r="M579" s="138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9"/>
      <c r="B580" s="124">
        <v>46111.0</v>
      </c>
      <c r="C580" s="115" t="s">
        <v>33</v>
      </c>
      <c r="D580" s="133" t="s">
        <v>136</v>
      </c>
      <c r="E580" s="133" t="s">
        <v>72</v>
      </c>
      <c r="F580" s="115" t="s">
        <v>24</v>
      </c>
      <c r="G580" s="115" t="s">
        <v>25</v>
      </c>
      <c r="H580" s="120"/>
      <c r="I580" s="120"/>
      <c r="J580" s="135">
        <v>1.5</v>
      </c>
      <c r="K580" s="135"/>
      <c r="L580" s="115"/>
      <c r="M580" s="136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9"/>
      <c r="B581" s="125">
        <v>46111.0</v>
      </c>
      <c r="C581" s="107" t="s">
        <v>33</v>
      </c>
      <c r="D581" s="107" t="s">
        <v>98</v>
      </c>
      <c r="E581" s="139" t="s">
        <v>11</v>
      </c>
      <c r="F581" s="107" t="s">
        <v>24</v>
      </c>
      <c r="G581" s="107" t="s">
        <v>25</v>
      </c>
      <c r="H581" s="123"/>
      <c r="I581" s="123"/>
      <c r="J581" s="137">
        <v>1.5</v>
      </c>
      <c r="K581" s="137"/>
      <c r="L581" s="107"/>
      <c r="M581" s="138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9"/>
      <c r="B582" s="124">
        <v>46111.0</v>
      </c>
      <c r="C582" s="115" t="s">
        <v>33</v>
      </c>
      <c r="D582" s="115" t="s">
        <v>60</v>
      </c>
      <c r="E582" s="115" t="s">
        <v>28</v>
      </c>
      <c r="F582" s="115" t="s">
        <v>24</v>
      </c>
      <c r="G582" s="115" t="s">
        <v>25</v>
      </c>
      <c r="H582" s="120"/>
      <c r="I582" s="120"/>
      <c r="J582" s="135">
        <v>2.5</v>
      </c>
      <c r="K582" s="135"/>
      <c r="L582" s="115"/>
      <c r="M582" s="136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9"/>
      <c r="B583" s="125">
        <v>46111.0</v>
      </c>
      <c r="C583" s="107" t="s">
        <v>33</v>
      </c>
      <c r="D583" s="107" t="s">
        <v>136</v>
      </c>
      <c r="E583" s="107" t="s">
        <v>145</v>
      </c>
      <c r="F583" s="107" t="s">
        <v>20</v>
      </c>
      <c r="G583" s="107" t="s">
        <v>30</v>
      </c>
      <c r="H583" s="123"/>
      <c r="I583" s="123"/>
      <c r="J583" s="137">
        <v>2.5</v>
      </c>
      <c r="K583" s="137">
        <v>2.0</v>
      </c>
      <c r="L583" s="107"/>
      <c r="M583" s="138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9"/>
      <c r="B584" s="157">
        <v>46112.0</v>
      </c>
      <c r="C584" s="140" t="s">
        <v>33</v>
      </c>
      <c r="D584" s="140" t="s">
        <v>98</v>
      </c>
      <c r="E584" s="140" t="s">
        <v>11</v>
      </c>
      <c r="F584" s="140" t="s">
        <v>20</v>
      </c>
      <c r="G584" s="140" t="s">
        <v>30</v>
      </c>
      <c r="H584" s="146"/>
      <c r="I584" s="146"/>
      <c r="J584" s="135">
        <v>2.0</v>
      </c>
      <c r="K584" s="135"/>
      <c r="L584" s="115"/>
      <c r="M584" s="136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9"/>
      <c r="B585" s="125">
        <v>46112.0</v>
      </c>
      <c r="C585" s="107" t="s">
        <v>10</v>
      </c>
      <c r="D585" s="134" t="s">
        <v>136</v>
      </c>
      <c r="E585" s="134" t="s">
        <v>72</v>
      </c>
      <c r="F585" s="107" t="s">
        <v>24</v>
      </c>
      <c r="G585" s="107" t="s">
        <v>31</v>
      </c>
      <c r="H585" s="123"/>
      <c r="I585" s="123"/>
      <c r="J585" s="137">
        <v>1.0</v>
      </c>
      <c r="K585" s="137"/>
      <c r="L585" s="107" t="s">
        <v>382</v>
      </c>
      <c r="M585" s="138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9"/>
      <c r="B586" s="124">
        <v>46112.0</v>
      </c>
      <c r="C586" s="115" t="s">
        <v>10</v>
      </c>
      <c r="D586" s="115" t="s">
        <v>89</v>
      </c>
      <c r="E586" s="115" t="s">
        <v>83</v>
      </c>
      <c r="F586" s="115" t="s">
        <v>24</v>
      </c>
      <c r="G586" s="115" t="s">
        <v>31</v>
      </c>
      <c r="H586" s="120"/>
      <c r="I586" s="120"/>
      <c r="J586" s="135">
        <v>0.5</v>
      </c>
      <c r="K586" s="135"/>
      <c r="L586" s="115" t="s">
        <v>206</v>
      </c>
      <c r="M586" s="136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9"/>
      <c r="B587" s="125">
        <v>46112.0</v>
      </c>
      <c r="C587" s="107" t="s">
        <v>10</v>
      </c>
      <c r="D587" s="107" t="s">
        <v>100</v>
      </c>
      <c r="E587" s="107" t="s">
        <v>28</v>
      </c>
      <c r="F587" s="107" t="s">
        <v>24</v>
      </c>
      <c r="G587" s="107" t="s">
        <v>31</v>
      </c>
      <c r="H587" s="123"/>
      <c r="I587" s="123"/>
      <c r="J587" s="137">
        <v>3.0</v>
      </c>
      <c r="K587" s="137"/>
      <c r="L587" s="107" t="s">
        <v>206</v>
      </c>
      <c r="M587" s="138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9"/>
      <c r="B588" s="124">
        <v>46112.0</v>
      </c>
      <c r="C588" s="115" t="s">
        <v>10</v>
      </c>
      <c r="D588" s="115" t="s">
        <v>136</v>
      </c>
      <c r="E588" s="115" t="s">
        <v>145</v>
      </c>
      <c r="F588" s="115" t="s">
        <v>20</v>
      </c>
      <c r="G588" s="115" t="s">
        <v>22</v>
      </c>
      <c r="H588" s="120"/>
      <c r="I588" s="120"/>
      <c r="J588" s="135">
        <v>3.0</v>
      </c>
      <c r="K588" s="135"/>
      <c r="L588" s="115"/>
      <c r="M588" s="136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9"/>
      <c r="B589" s="125">
        <v>46112.0</v>
      </c>
      <c r="C589" s="107" t="s">
        <v>10</v>
      </c>
      <c r="D589" s="107" t="s">
        <v>89</v>
      </c>
      <c r="E589" s="134" t="s">
        <v>103</v>
      </c>
      <c r="F589" s="107" t="s">
        <v>24</v>
      </c>
      <c r="G589" s="107" t="s">
        <v>31</v>
      </c>
      <c r="H589" s="123"/>
      <c r="I589" s="123"/>
      <c r="J589" s="137">
        <v>0.5</v>
      </c>
      <c r="K589" s="137">
        <v>0.5</v>
      </c>
      <c r="L589" s="107"/>
      <c r="M589" s="138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9"/>
      <c r="B590" s="124">
        <v>46112.0</v>
      </c>
      <c r="C590" s="115" t="s">
        <v>10</v>
      </c>
      <c r="D590" s="115" t="s">
        <v>56</v>
      </c>
      <c r="E590" s="115" t="s">
        <v>132</v>
      </c>
      <c r="F590" s="115" t="s">
        <v>20</v>
      </c>
      <c r="G590" s="115" t="s">
        <v>22</v>
      </c>
      <c r="H590" s="120"/>
      <c r="I590" s="120"/>
      <c r="J590" s="135"/>
      <c r="K590" s="135">
        <v>1.5</v>
      </c>
      <c r="L590" s="115"/>
      <c r="M590" s="136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9"/>
      <c r="B591" s="125">
        <v>46112.0</v>
      </c>
      <c r="C591" s="107" t="s">
        <v>18</v>
      </c>
      <c r="D591" s="107" t="s">
        <v>136</v>
      </c>
      <c r="E591" s="107" t="s">
        <v>145</v>
      </c>
      <c r="F591" s="107" t="s">
        <v>20</v>
      </c>
      <c r="G591" s="107" t="s">
        <v>30</v>
      </c>
      <c r="H591" s="123"/>
      <c r="I591" s="123"/>
      <c r="J591" s="137">
        <v>2.0</v>
      </c>
      <c r="K591" s="137"/>
      <c r="L591" s="107"/>
      <c r="M591" s="138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9"/>
      <c r="B592" s="124">
        <v>46112.0</v>
      </c>
      <c r="C592" s="115" t="s">
        <v>18</v>
      </c>
      <c r="D592" s="115" t="s">
        <v>60</v>
      </c>
      <c r="E592" s="115" t="s">
        <v>28</v>
      </c>
      <c r="F592" s="115" t="s">
        <v>20</v>
      </c>
      <c r="G592" s="115" t="s">
        <v>35</v>
      </c>
      <c r="H592" s="120"/>
      <c r="I592" s="120"/>
      <c r="J592" s="135">
        <v>3.5</v>
      </c>
      <c r="K592" s="135"/>
      <c r="L592" s="115" t="s">
        <v>383</v>
      </c>
      <c r="M592" s="136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9"/>
      <c r="B593" s="125">
        <v>46112.0</v>
      </c>
      <c r="C593" s="107" t="s">
        <v>18</v>
      </c>
      <c r="D593" s="107" t="s">
        <v>112</v>
      </c>
      <c r="E593" s="107" t="s">
        <v>56</v>
      </c>
      <c r="F593" s="107" t="s">
        <v>20</v>
      </c>
      <c r="G593" s="107" t="s">
        <v>22</v>
      </c>
      <c r="H593" s="123"/>
      <c r="I593" s="123"/>
      <c r="J593" s="137">
        <v>0.5</v>
      </c>
      <c r="K593" s="137"/>
      <c r="L593" s="107"/>
      <c r="M593" s="138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9"/>
      <c r="B594" s="124">
        <v>46112.0</v>
      </c>
      <c r="C594" s="115" t="s">
        <v>18</v>
      </c>
      <c r="D594" s="115" t="s">
        <v>136</v>
      </c>
      <c r="E594" s="115" t="s">
        <v>150</v>
      </c>
      <c r="F594" s="115" t="s">
        <v>20</v>
      </c>
      <c r="G594" s="115" t="s">
        <v>21</v>
      </c>
      <c r="H594" s="120"/>
      <c r="I594" s="120"/>
      <c r="J594" s="135">
        <v>3.0</v>
      </c>
      <c r="K594" s="135"/>
      <c r="L594" s="115"/>
      <c r="M594" s="136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9"/>
      <c r="B595" s="125">
        <v>46112.0</v>
      </c>
      <c r="C595" s="107" t="s">
        <v>18</v>
      </c>
      <c r="D595" s="107" t="s">
        <v>17</v>
      </c>
      <c r="E595" s="107" t="s">
        <v>96</v>
      </c>
      <c r="F595" s="107" t="s">
        <v>54</v>
      </c>
      <c r="G595" s="107" t="s">
        <v>54</v>
      </c>
      <c r="H595" s="123"/>
      <c r="I595" s="123"/>
      <c r="J595" s="137">
        <v>1.0</v>
      </c>
      <c r="K595" s="137"/>
      <c r="L595" s="107" t="s">
        <v>384</v>
      </c>
      <c r="M595" s="138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9"/>
      <c r="B596" s="145">
        <v>46112.0</v>
      </c>
      <c r="C596" s="140" t="s">
        <v>38</v>
      </c>
      <c r="D596" s="140" t="s">
        <v>89</v>
      </c>
      <c r="E596" s="140" t="s">
        <v>39</v>
      </c>
      <c r="F596" s="140" t="s">
        <v>13</v>
      </c>
      <c r="G596" s="140" t="s">
        <v>13</v>
      </c>
      <c r="H596" s="146"/>
      <c r="I596" s="146"/>
      <c r="J596" s="135">
        <f>5/60</f>
        <v>0.08333333333</v>
      </c>
      <c r="K596" s="135"/>
      <c r="L596" s="115" t="s">
        <v>385</v>
      </c>
      <c r="M596" s="136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9"/>
      <c r="B597" s="125">
        <v>46112.0</v>
      </c>
      <c r="C597" s="107" t="s">
        <v>27</v>
      </c>
      <c r="D597" s="107" t="s">
        <v>136</v>
      </c>
      <c r="E597" s="107" t="s">
        <v>145</v>
      </c>
      <c r="F597" s="107" t="s">
        <v>20</v>
      </c>
      <c r="G597" s="107" t="s">
        <v>30</v>
      </c>
      <c r="H597" s="123"/>
      <c r="I597" s="123"/>
      <c r="J597" s="137">
        <v>3.0</v>
      </c>
      <c r="K597" s="137"/>
      <c r="L597" s="107"/>
      <c r="M597" s="138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9"/>
      <c r="B598" s="124">
        <v>46112.0</v>
      </c>
      <c r="C598" s="115" t="s">
        <v>27</v>
      </c>
      <c r="D598" s="115" t="s">
        <v>100</v>
      </c>
      <c r="E598" s="115" t="s">
        <v>28</v>
      </c>
      <c r="F598" s="115" t="s">
        <v>20</v>
      </c>
      <c r="G598" s="115" t="s">
        <v>30</v>
      </c>
      <c r="H598" s="120"/>
      <c r="I598" s="120"/>
      <c r="J598" s="135">
        <v>2.5</v>
      </c>
      <c r="K598" s="135"/>
      <c r="L598" s="115"/>
      <c r="M598" s="136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9"/>
      <c r="B599" s="125">
        <v>46112.0</v>
      </c>
      <c r="C599" s="107" t="s">
        <v>27</v>
      </c>
      <c r="D599" s="134" t="s">
        <v>89</v>
      </c>
      <c r="E599" s="134" t="s">
        <v>39</v>
      </c>
      <c r="F599" s="107" t="s">
        <v>20</v>
      </c>
      <c r="G599" s="107" t="s">
        <v>30</v>
      </c>
      <c r="H599" s="123"/>
      <c r="I599" s="123"/>
      <c r="J599" s="137">
        <v>1.5</v>
      </c>
      <c r="K599" s="137"/>
      <c r="L599" s="107"/>
      <c r="M599" s="138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9"/>
      <c r="B600" s="124">
        <v>46112.0</v>
      </c>
      <c r="C600" s="115" t="s">
        <v>27</v>
      </c>
      <c r="D600" s="115" t="s">
        <v>100</v>
      </c>
      <c r="E600" s="115" t="s">
        <v>28</v>
      </c>
      <c r="F600" s="115" t="s">
        <v>20</v>
      </c>
      <c r="G600" s="115" t="s">
        <v>30</v>
      </c>
      <c r="H600" s="120"/>
      <c r="I600" s="120"/>
      <c r="J600" s="135">
        <v>1.0</v>
      </c>
      <c r="K600" s="135"/>
      <c r="L600" s="115"/>
      <c r="M600" s="136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9"/>
      <c r="B601" s="125">
        <v>46112.0</v>
      </c>
      <c r="C601" s="107" t="s">
        <v>27</v>
      </c>
      <c r="D601" s="107" t="s">
        <v>89</v>
      </c>
      <c r="E601" s="107" t="s">
        <v>11</v>
      </c>
      <c r="F601" s="107" t="s">
        <v>20</v>
      </c>
      <c r="G601" s="107" t="s">
        <v>30</v>
      </c>
      <c r="H601" s="123"/>
      <c r="I601" s="123"/>
      <c r="J601" s="137"/>
      <c r="K601" s="137">
        <v>1.0</v>
      </c>
      <c r="L601" s="107"/>
      <c r="M601" s="138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9"/>
      <c r="B602" s="124">
        <v>46112.0</v>
      </c>
      <c r="C602" s="115" t="s">
        <v>27</v>
      </c>
      <c r="D602" s="115" t="s">
        <v>17</v>
      </c>
      <c r="E602" s="115" t="s">
        <v>96</v>
      </c>
      <c r="F602" s="115" t="s">
        <v>54</v>
      </c>
      <c r="G602" s="115" t="s">
        <v>54</v>
      </c>
      <c r="H602" s="120"/>
      <c r="I602" s="120"/>
      <c r="J602" s="135"/>
      <c r="K602" s="135">
        <v>1.0</v>
      </c>
      <c r="L602" s="115"/>
      <c r="M602" s="136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9"/>
      <c r="B603" s="125">
        <v>46112.0</v>
      </c>
      <c r="C603" s="107" t="s">
        <v>33</v>
      </c>
      <c r="D603" s="134" t="s">
        <v>136</v>
      </c>
      <c r="E603" s="134" t="s">
        <v>72</v>
      </c>
      <c r="F603" s="107" t="s">
        <v>24</v>
      </c>
      <c r="G603" s="107" t="s">
        <v>25</v>
      </c>
      <c r="H603" s="123"/>
      <c r="I603" s="123"/>
      <c r="J603" s="137">
        <v>3.0</v>
      </c>
      <c r="K603" s="137"/>
      <c r="L603" s="107"/>
      <c r="M603" s="138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9"/>
      <c r="B604" s="124">
        <v>46112.0</v>
      </c>
      <c r="C604" s="115" t="s">
        <v>33</v>
      </c>
      <c r="D604" s="115" t="s">
        <v>60</v>
      </c>
      <c r="E604" s="115" t="s">
        <v>28</v>
      </c>
      <c r="F604" s="115" t="s">
        <v>20</v>
      </c>
      <c r="G604" s="115" t="s">
        <v>30</v>
      </c>
      <c r="H604" s="120"/>
      <c r="I604" s="120"/>
      <c r="J604" s="135">
        <v>2.0</v>
      </c>
      <c r="K604" s="135"/>
      <c r="L604" s="115"/>
      <c r="M604" s="136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9"/>
      <c r="B605" s="125">
        <v>46112.0</v>
      </c>
      <c r="C605" s="107" t="s">
        <v>33</v>
      </c>
      <c r="D605" s="107" t="s">
        <v>98</v>
      </c>
      <c r="E605" s="139" t="s">
        <v>11</v>
      </c>
      <c r="F605" s="107" t="s">
        <v>24</v>
      </c>
      <c r="G605" s="107" t="s">
        <v>25</v>
      </c>
      <c r="H605" s="123"/>
      <c r="I605" s="123"/>
      <c r="J605" s="137">
        <v>2.0</v>
      </c>
      <c r="K605" s="137"/>
      <c r="L605" s="107"/>
      <c r="M605" s="138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9"/>
      <c r="B606" s="124">
        <v>46112.0</v>
      </c>
      <c r="C606" s="115" t="s">
        <v>33</v>
      </c>
      <c r="D606" s="149" t="s">
        <v>89</v>
      </c>
      <c r="E606" s="149" t="s">
        <v>19</v>
      </c>
      <c r="F606" s="115" t="s">
        <v>20</v>
      </c>
      <c r="G606" s="115" t="s">
        <v>35</v>
      </c>
      <c r="H606" s="120"/>
      <c r="I606" s="120"/>
      <c r="J606" s="135">
        <v>1.0</v>
      </c>
      <c r="K606" s="135"/>
      <c r="L606" s="115"/>
      <c r="M606" s="136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9"/>
      <c r="B607" s="125">
        <v>46112.0</v>
      </c>
      <c r="C607" s="107" t="s">
        <v>33</v>
      </c>
      <c r="D607" s="107" t="s">
        <v>100</v>
      </c>
      <c r="E607" s="107" t="s">
        <v>19</v>
      </c>
      <c r="F607" s="107" t="s">
        <v>20</v>
      </c>
      <c r="G607" s="107" t="s">
        <v>35</v>
      </c>
      <c r="H607" s="123"/>
      <c r="I607" s="123"/>
      <c r="J607" s="137"/>
      <c r="K607" s="137">
        <v>1.0</v>
      </c>
      <c r="L607" s="107"/>
      <c r="M607" s="138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9"/>
      <c r="B608" s="124">
        <v>46112.0</v>
      </c>
      <c r="C608" s="115" t="s">
        <v>33</v>
      </c>
      <c r="D608" s="115" t="s">
        <v>89</v>
      </c>
      <c r="E608" s="133" t="s">
        <v>103</v>
      </c>
      <c r="F608" s="115" t="s">
        <v>24</v>
      </c>
      <c r="G608" s="115" t="s">
        <v>25</v>
      </c>
      <c r="H608" s="120"/>
      <c r="I608" s="120"/>
      <c r="J608" s="135"/>
      <c r="K608" s="135">
        <v>1.0</v>
      </c>
      <c r="L608" s="115"/>
      <c r="M608" s="136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9"/>
      <c r="B609" s="125">
        <v>46112.0</v>
      </c>
      <c r="C609" s="107" t="s">
        <v>45</v>
      </c>
      <c r="D609" s="134" t="s">
        <v>136</v>
      </c>
      <c r="E609" s="134" t="s">
        <v>72</v>
      </c>
      <c r="F609" s="107" t="s">
        <v>20</v>
      </c>
      <c r="G609" s="107" t="s">
        <v>35</v>
      </c>
      <c r="H609" s="123"/>
      <c r="I609" s="123"/>
      <c r="J609" s="137">
        <v>0.5</v>
      </c>
      <c r="K609" s="137"/>
      <c r="L609" s="107"/>
      <c r="M609" s="138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9"/>
      <c r="B610" s="124">
        <v>46113.0</v>
      </c>
      <c r="C610" s="115" t="s">
        <v>10</v>
      </c>
      <c r="D610" s="115" t="s">
        <v>100</v>
      </c>
      <c r="E610" s="115" t="s">
        <v>11</v>
      </c>
      <c r="F610" s="115" t="s">
        <v>24</v>
      </c>
      <c r="G610" s="115" t="s">
        <v>31</v>
      </c>
      <c r="H610" s="120"/>
      <c r="I610" s="120"/>
      <c r="J610" s="135">
        <v>2.0</v>
      </c>
      <c r="K610" s="135"/>
      <c r="L610" s="115" t="s">
        <v>386</v>
      </c>
      <c r="M610" s="136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9"/>
      <c r="B611" s="125">
        <v>46113.0</v>
      </c>
      <c r="C611" s="107" t="s">
        <v>10</v>
      </c>
      <c r="D611" s="107" t="s">
        <v>100</v>
      </c>
      <c r="E611" s="107" t="s">
        <v>19</v>
      </c>
      <c r="F611" s="107" t="s">
        <v>24</v>
      </c>
      <c r="G611" s="107" t="s">
        <v>31</v>
      </c>
      <c r="H611" s="123"/>
      <c r="I611" s="123"/>
      <c r="J611" s="137">
        <v>1.5</v>
      </c>
      <c r="K611" s="137"/>
      <c r="L611" s="107" t="s">
        <v>387</v>
      </c>
      <c r="M611" s="138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9"/>
      <c r="B612" s="124">
        <v>46113.0</v>
      </c>
      <c r="C612" s="115" t="s">
        <v>10</v>
      </c>
      <c r="D612" s="115" t="s">
        <v>89</v>
      </c>
      <c r="E612" s="115" t="s">
        <v>80</v>
      </c>
      <c r="F612" s="115" t="s">
        <v>20</v>
      </c>
      <c r="G612" s="115" t="s">
        <v>35</v>
      </c>
      <c r="H612" s="120"/>
      <c r="I612" s="120"/>
      <c r="J612" s="135">
        <v>1.5</v>
      </c>
      <c r="K612" s="135"/>
      <c r="L612" s="115"/>
      <c r="M612" s="136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9"/>
      <c r="B613" s="125">
        <v>46113.0</v>
      </c>
      <c r="C613" s="107" t="s">
        <v>10</v>
      </c>
      <c r="D613" s="107" t="s">
        <v>89</v>
      </c>
      <c r="E613" s="107" t="s">
        <v>80</v>
      </c>
      <c r="F613" s="107" t="s">
        <v>20</v>
      </c>
      <c r="G613" s="107" t="s">
        <v>35</v>
      </c>
      <c r="H613" s="123"/>
      <c r="I613" s="123"/>
      <c r="J613" s="137">
        <v>1.5</v>
      </c>
      <c r="K613" s="137"/>
      <c r="L613" s="107" t="s">
        <v>388</v>
      </c>
      <c r="M613" s="138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9"/>
      <c r="B614" s="124">
        <v>46113.0</v>
      </c>
      <c r="C614" s="115" t="s">
        <v>10</v>
      </c>
      <c r="D614" s="115" t="s">
        <v>136</v>
      </c>
      <c r="E614" s="115" t="s">
        <v>145</v>
      </c>
      <c r="F614" s="115" t="s">
        <v>20</v>
      </c>
      <c r="G614" s="115" t="s">
        <v>22</v>
      </c>
      <c r="H614" s="120"/>
      <c r="I614" s="120"/>
      <c r="J614" s="135">
        <v>1.5</v>
      </c>
      <c r="K614" s="135">
        <v>2.0</v>
      </c>
      <c r="L614" s="115"/>
      <c r="M614" s="136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9"/>
      <c r="B615" s="125">
        <v>46113.0</v>
      </c>
      <c r="C615" s="107" t="s">
        <v>18</v>
      </c>
      <c r="D615" s="107" t="s">
        <v>17</v>
      </c>
      <c r="E615" s="107" t="s">
        <v>96</v>
      </c>
      <c r="F615" s="107" t="s">
        <v>54</v>
      </c>
      <c r="G615" s="107" t="s">
        <v>54</v>
      </c>
      <c r="H615" s="123"/>
      <c r="I615" s="123"/>
      <c r="J615" s="137">
        <v>6.5</v>
      </c>
      <c r="K615" s="137"/>
      <c r="L615" s="107"/>
      <c r="M615" s="138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9"/>
      <c r="B616" s="124">
        <v>46113.0</v>
      </c>
      <c r="C616" s="115" t="s">
        <v>18</v>
      </c>
      <c r="D616" s="115" t="s">
        <v>89</v>
      </c>
      <c r="E616" s="115" t="s">
        <v>11</v>
      </c>
      <c r="F616" s="115" t="s">
        <v>20</v>
      </c>
      <c r="G616" s="115" t="s">
        <v>35</v>
      </c>
      <c r="H616" s="120"/>
      <c r="I616" s="120"/>
      <c r="J616" s="135">
        <v>1.0</v>
      </c>
      <c r="K616" s="135"/>
      <c r="L616" s="115" t="s">
        <v>389</v>
      </c>
      <c r="M616" s="136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9"/>
      <c r="B617" s="125">
        <v>46113.0</v>
      </c>
      <c r="C617" s="107" t="s">
        <v>18</v>
      </c>
      <c r="D617" s="107" t="s">
        <v>112</v>
      </c>
      <c r="E617" s="107" t="s">
        <v>56</v>
      </c>
      <c r="F617" s="107" t="s">
        <v>20</v>
      </c>
      <c r="G617" s="107" t="s">
        <v>22</v>
      </c>
      <c r="H617" s="123"/>
      <c r="I617" s="123"/>
      <c r="J617" s="137">
        <v>0.5</v>
      </c>
      <c r="K617" s="137"/>
      <c r="L617" s="107"/>
      <c r="M617" s="138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9"/>
      <c r="B618" s="124">
        <v>46113.0</v>
      </c>
      <c r="C618" s="115" t="s">
        <v>27</v>
      </c>
      <c r="D618" s="115" t="s">
        <v>89</v>
      </c>
      <c r="E618" s="115" t="s">
        <v>146</v>
      </c>
      <c r="F618" s="115" t="s">
        <v>20</v>
      </c>
      <c r="G618" s="115" t="s">
        <v>22</v>
      </c>
      <c r="H618" s="120"/>
      <c r="I618" s="120"/>
      <c r="J618" s="135">
        <v>2.0</v>
      </c>
      <c r="K618" s="135"/>
      <c r="L618" s="115"/>
      <c r="M618" s="136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9"/>
      <c r="B619" s="125">
        <v>46113.0</v>
      </c>
      <c r="C619" s="107" t="s">
        <v>27</v>
      </c>
      <c r="D619" s="107" t="s">
        <v>100</v>
      </c>
      <c r="E619" s="107" t="s">
        <v>28</v>
      </c>
      <c r="F619" s="107" t="s">
        <v>24</v>
      </c>
      <c r="G619" s="107" t="s">
        <v>25</v>
      </c>
      <c r="H619" s="123"/>
      <c r="I619" s="123"/>
      <c r="J619" s="137">
        <v>2.5</v>
      </c>
      <c r="K619" s="137"/>
      <c r="L619" s="107"/>
      <c r="M619" s="138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9"/>
      <c r="B620" s="124">
        <v>46113.0</v>
      </c>
      <c r="C620" s="115" t="s">
        <v>27</v>
      </c>
      <c r="D620" s="115" t="s">
        <v>17</v>
      </c>
      <c r="E620" s="115" t="s">
        <v>96</v>
      </c>
      <c r="F620" s="115" t="s">
        <v>20</v>
      </c>
      <c r="G620" s="115" t="s">
        <v>21</v>
      </c>
      <c r="H620" s="120"/>
      <c r="I620" s="120"/>
      <c r="J620" s="135">
        <v>1.5</v>
      </c>
      <c r="K620" s="135"/>
      <c r="L620" s="115" t="s">
        <v>390</v>
      </c>
      <c r="M620" s="136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9"/>
      <c r="B621" s="125">
        <v>46113.0</v>
      </c>
      <c r="C621" s="107" t="s">
        <v>27</v>
      </c>
      <c r="D621" s="107" t="s">
        <v>100</v>
      </c>
      <c r="E621" s="107" t="s">
        <v>153</v>
      </c>
      <c r="F621" s="107" t="s">
        <v>20</v>
      </c>
      <c r="G621" s="107" t="s">
        <v>22</v>
      </c>
      <c r="H621" s="123"/>
      <c r="I621" s="123"/>
      <c r="J621" s="137">
        <v>3.0</v>
      </c>
      <c r="K621" s="137"/>
      <c r="L621" s="107"/>
      <c r="M621" s="138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9"/>
      <c r="B622" s="124">
        <v>46113.0</v>
      </c>
      <c r="C622" s="115" t="s">
        <v>33</v>
      </c>
      <c r="D622" s="115" t="s">
        <v>100</v>
      </c>
      <c r="E622" s="115" t="s">
        <v>11</v>
      </c>
      <c r="F622" s="115" t="s">
        <v>24</v>
      </c>
      <c r="G622" s="115" t="s">
        <v>25</v>
      </c>
      <c r="H622" s="120"/>
      <c r="I622" s="120"/>
      <c r="J622" s="135">
        <v>1.0</v>
      </c>
      <c r="K622" s="135"/>
      <c r="L622" s="115"/>
      <c r="M622" s="136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9"/>
      <c r="B623" s="125">
        <v>46113.0</v>
      </c>
      <c r="C623" s="107" t="s">
        <v>33</v>
      </c>
      <c r="D623" s="107" t="s">
        <v>100</v>
      </c>
      <c r="E623" s="107" t="s">
        <v>19</v>
      </c>
      <c r="F623" s="107" t="s">
        <v>24</v>
      </c>
      <c r="G623" s="107" t="s">
        <v>25</v>
      </c>
      <c r="H623" s="123"/>
      <c r="I623" s="123"/>
      <c r="J623" s="137">
        <v>1.0</v>
      </c>
      <c r="K623" s="137"/>
      <c r="L623" s="107"/>
      <c r="M623" s="138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9"/>
      <c r="B624" s="124">
        <v>46113.0</v>
      </c>
      <c r="C624" s="115" t="s">
        <v>33</v>
      </c>
      <c r="D624" s="115" t="s">
        <v>98</v>
      </c>
      <c r="E624" s="159" t="s">
        <v>11</v>
      </c>
      <c r="F624" s="115" t="s">
        <v>20</v>
      </c>
      <c r="G624" s="115" t="s">
        <v>35</v>
      </c>
      <c r="H624" s="120"/>
      <c r="I624" s="120"/>
      <c r="J624" s="135">
        <v>1.5</v>
      </c>
      <c r="K624" s="135"/>
      <c r="L624" s="115"/>
      <c r="M624" s="136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9"/>
      <c r="B625" s="125">
        <v>46113.0</v>
      </c>
      <c r="C625" s="107" t="s">
        <v>33</v>
      </c>
      <c r="D625" s="107" t="s">
        <v>89</v>
      </c>
      <c r="E625" s="134" t="s">
        <v>103</v>
      </c>
      <c r="F625" s="107" t="s">
        <v>20</v>
      </c>
      <c r="G625" s="107" t="s">
        <v>35</v>
      </c>
      <c r="H625" s="123"/>
      <c r="I625" s="123"/>
      <c r="J625" s="137">
        <v>0.5</v>
      </c>
      <c r="K625" s="137"/>
      <c r="L625" s="107"/>
      <c r="M625" s="138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9"/>
      <c r="B626" s="124">
        <v>46113.0</v>
      </c>
      <c r="C626" s="115" t="s">
        <v>33</v>
      </c>
      <c r="D626" s="115" t="s">
        <v>100</v>
      </c>
      <c r="E626" s="115" t="s">
        <v>28</v>
      </c>
      <c r="F626" s="115" t="s">
        <v>24</v>
      </c>
      <c r="G626" s="115" t="s">
        <v>25</v>
      </c>
      <c r="H626" s="120"/>
      <c r="I626" s="120"/>
      <c r="J626" s="135">
        <v>3.0</v>
      </c>
      <c r="K626" s="135"/>
      <c r="L626" s="115"/>
      <c r="M626" s="136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9"/>
      <c r="B627" s="125">
        <v>46113.0</v>
      </c>
      <c r="C627" s="107" t="s">
        <v>33</v>
      </c>
      <c r="D627" s="107" t="s">
        <v>17</v>
      </c>
      <c r="E627" s="107" t="s">
        <v>96</v>
      </c>
      <c r="F627" s="107" t="s">
        <v>54</v>
      </c>
      <c r="G627" s="107" t="s">
        <v>54</v>
      </c>
      <c r="H627" s="123"/>
      <c r="I627" s="123"/>
      <c r="J627" s="137">
        <v>1.0</v>
      </c>
      <c r="K627" s="137"/>
      <c r="L627" s="107"/>
      <c r="M627" s="138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9"/>
      <c r="B628" s="124">
        <v>46114.0</v>
      </c>
      <c r="C628" s="115" t="s">
        <v>10</v>
      </c>
      <c r="D628" s="115" t="s">
        <v>120</v>
      </c>
      <c r="E628" s="115" t="s">
        <v>56</v>
      </c>
      <c r="F628" s="115" t="s">
        <v>20</v>
      </c>
      <c r="G628" s="115" t="s">
        <v>21</v>
      </c>
      <c r="H628" s="120"/>
      <c r="I628" s="120"/>
      <c r="J628" s="135">
        <v>2.5</v>
      </c>
      <c r="K628" s="135"/>
      <c r="L628" s="115"/>
      <c r="M628" s="136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9"/>
      <c r="B629" s="125">
        <v>46114.0</v>
      </c>
      <c r="C629" s="107" t="s">
        <v>10</v>
      </c>
      <c r="D629" s="107" t="s">
        <v>112</v>
      </c>
      <c r="E629" s="107" t="s">
        <v>56</v>
      </c>
      <c r="F629" s="107" t="s">
        <v>24</v>
      </c>
      <c r="G629" s="107" t="s">
        <v>31</v>
      </c>
      <c r="H629" s="123"/>
      <c r="I629" s="123"/>
      <c r="J629" s="137">
        <v>2.0</v>
      </c>
      <c r="K629" s="137"/>
      <c r="L629" s="107" t="s">
        <v>206</v>
      </c>
      <c r="M629" s="138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9"/>
      <c r="B630" s="124">
        <v>46114.0</v>
      </c>
      <c r="C630" s="115" t="s">
        <v>10</v>
      </c>
      <c r="D630" s="115" t="s">
        <v>100</v>
      </c>
      <c r="E630" s="115" t="s">
        <v>11</v>
      </c>
      <c r="F630" s="115" t="s">
        <v>24</v>
      </c>
      <c r="G630" s="115" t="s">
        <v>31</v>
      </c>
      <c r="H630" s="120"/>
      <c r="I630" s="120"/>
      <c r="J630" s="135">
        <v>1.0</v>
      </c>
      <c r="K630" s="135"/>
      <c r="L630" s="115" t="s">
        <v>24</v>
      </c>
      <c r="M630" s="136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9"/>
      <c r="B631" s="125">
        <v>46114.0</v>
      </c>
      <c r="C631" s="107" t="s">
        <v>10</v>
      </c>
      <c r="D631" s="107" t="s">
        <v>100</v>
      </c>
      <c r="E631" s="107" t="s">
        <v>19</v>
      </c>
      <c r="F631" s="107" t="s">
        <v>24</v>
      </c>
      <c r="G631" s="107" t="s">
        <v>31</v>
      </c>
      <c r="H631" s="123"/>
      <c r="I631" s="123"/>
      <c r="J631" s="137">
        <v>1.0</v>
      </c>
      <c r="K631" s="137"/>
      <c r="L631" s="107" t="s">
        <v>24</v>
      </c>
      <c r="M631" s="138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9"/>
      <c r="B632" s="124">
        <v>46114.0</v>
      </c>
      <c r="C632" s="115" t="s">
        <v>10</v>
      </c>
      <c r="D632" s="115" t="s">
        <v>112</v>
      </c>
      <c r="E632" s="115" t="s">
        <v>56</v>
      </c>
      <c r="F632" s="115" t="s">
        <v>24</v>
      </c>
      <c r="G632" s="115" t="s">
        <v>31</v>
      </c>
      <c r="H632" s="120"/>
      <c r="I632" s="120"/>
      <c r="J632" s="135">
        <v>0.5</v>
      </c>
      <c r="K632" s="135"/>
      <c r="L632" s="115" t="s">
        <v>391</v>
      </c>
      <c r="M632" s="136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9"/>
      <c r="B633" s="125">
        <v>46114.0</v>
      </c>
      <c r="C633" s="107" t="s">
        <v>10</v>
      </c>
      <c r="D633" s="107" t="s">
        <v>17</v>
      </c>
      <c r="E633" s="107" t="s">
        <v>96</v>
      </c>
      <c r="F633" s="107" t="s">
        <v>59</v>
      </c>
      <c r="G633" s="111" t="s">
        <v>57</v>
      </c>
      <c r="H633" s="123"/>
      <c r="I633" s="123"/>
      <c r="J633" s="137">
        <v>1.0</v>
      </c>
      <c r="K633" s="137"/>
      <c r="L633" s="107"/>
      <c r="M633" s="138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9"/>
      <c r="B634" s="124">
        <v>46114.0</v>
      </c>
      <c r="C634" s="115" t="s">
        <v>18</v>
      </c>
      <c r="D634" s="115" t="s">
        <v>100</v>
      </c>
      <c r="E634" s="115" t="s">
        <v>28</v>
      </c>
      <c r="F634" s="115" t="s">
        <v>20</v>
      </c>
      <c r="G634" s="115" t="s">
        <v>35</v>
      </c>
      <c r="H634" s="120"/>
      <c r="I634" s="120"/>
      <c r="J634" s="135">
        <v>2.0</v>
      </c>
      <c r="K634" s="135"/>
      <c r="L634" s="115"/>
      <c r="M634" s="136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9"/>
      <c r="B635" s="125">
        <v>46114.0</v>
      </c>
      <c r="C635" s="107" t="s">
        <v>18</v>
      </c>
      <c r="D635" s="107" t="s">
        <v>17</v>
      </c>
      <c r="E635" s="107" t="s">
        <v>96</v>
      </c>
      <c r="F635" s="107" t="s">
        <v>59</v>
      </c>
      <c r="G635" s="107" t="s">
        <v>21</v>
      </c>
      <c r="H635" s="123"/>
      <c r="I635" s="123"/>
      <c r="J635" s="137">
        <v>2.0</v>
      </c>
      <c r="K635" s="137"/>
      <c r="L635" s="107" t="s">
        <v>84</v>
      </c>
      <c r="M635" s="138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9"/>
      <c r="B636" s="124">
        <v>46114.0</v>
      </c>
      <c r="C636" s="115" t="s">
        <v>18</v>
      </c>
      <c r="D636" s="115" t="s">
        <v>136</v>
      </c>
      <c r="E636" s="115" t="s">
        <v>150</v>
      </c>
      <c r="F636" s="115" t="s">
        <v>20</v>
      </c>
      <c r="G636" s="115" t="s">
        <v>63</v>
      </c>
      <c r="H636" s="120"/>
      <c r="I636" s="120"/>
      <c r="J636" s="135">
        <v>2.0</v>
      </c>
      <c r="K636" s="135"/>
      <c r="L636" s="115" t="s">
        <v>392</v>
      </c>
      <c r="M636" s="136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9"/>
      <c r="B637" s="125">
        <v>46114.0</v>
      </c>
      <c r="C637" s="107" t="s">
        <v>18</v>
      </c>
      <c r="D637" s="107" t="s">
        <v>112</v>
      </c>
      <c r="E637" s="107" t="s">
        <v>56</v>
      </c>
      <c r="F637" s="107" t="s">
        <v>20</v>
      </c>
      <c r="G637" s="107" t="s">
        <v>22</v>
      </c>
      <c r="H637" s="123"/>
      <c r="I637" s="123"/>
      <c r="J637" s="137">
        <v>2.0</v>
      </c>
      <c r="K637" s="137"/>
      <c r="L637" s="107"/>
      <c r="M637" s="138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9"/>
      <c r="B638" s="124">
        <v>46114.0</v>
      </c>
      <c r="C638" s="115" t="s">
        <v>27</v>
      </c>
      <c r="D638" s="115" t="s">
        <v>100</v>
      </c>
      <c r="E638" s="115" t="s">
        <v>28</v>
      </c>
      <c r="F638" s="115" t="s">
        <v>20</v>
      </c>
      <c r="G638" s="115" t="s">
        <v>30</v>
      </c>
      <c r="H638" s="120"/>
      <c r="I638" s="120"/>
      <c r="J638" s="135">
        <v>4.0</v>
      </c>
      <c r="K638" s="135"/>
      <c r="L638" s="115"/>
      <c r="M638" s="136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9"/>
      <c r="B639" s="125">
        <v>46114.0</v>
      </c>
      <c r="C639" s="107" t="s">
        <v>27</v>
      </c>
      <c r="D639" s="107" t="s">
        <v>100</v>
      </c>
      <c r="E639" s="107" t="s">
        <v>28</v>
      </c>
      <c r="F639" s="107" t="s">
        <v>20</v>
      </c>
      <c r="G639" s="107" t="s">
        <v>35</v>
      </c>
      <c r="H639" s="123"/>
      <c r="I639" s="123"/>
      <c r="J639" s="137">
        <v>1.0</v>
      </c>
      <c r="K639" s="137"/>
      <c r="L639" s="107"/>
      <c r="M639" s="138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9"/>
      <c r="B640" s="124">
        <v>46114.0</v>
      </c>
      <c r="C640" s="115" t="s">
        <v>27</v>
      </c>
      <c r="D640" s="115" t="s">
        <v>100</v>
      </c>
      <c r="E640" s="115" t="s">
        <v>153</v>
      </c>
      <c r="F640" s="115" t="s">
        <v>20</v>
      </c>
      <c r="G640" s="115" t="s">
        <v>22</v>
      </c>
      <c r="H640" s="120"/>
      <c r="I640" s="120"/>
      <c r="J640" s="135">
        <v>3.0</v>
      </c>
      <c r="K640" s="135"/>
      <c r="L640" s="115"/>
      <c r="M640" s="136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9"/>
      <c r="B641" s="125">
        <v>46114.0</v>
      </c>
      <c r="C641" s="107" t="s">
        <v>33</v>
      </c>
      <c r="D641" s="107" t="s">
        <v>112</v>
      </c>
      <c r="E641" s="107" t="s">
        <v>56</v>
      </c>
      <c r="F641" s="107" t="s">
        <v>24</v>
      </c>
      <c r="G641" s="107" t="s">
        <v>25</v>
      </c>
      <c r="H641" s="123"/>
      <c r="I641" s="123"/>
      <c r="J641" s="137">
        <v>1.5</v>
      </c>
      <c r="K641" s="137"/>
      <c r="L641" s="107"/>
      <c r="M641" s="138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9"/>
      <c r="B642" s="124">
        <v>46114.0</v>
      </c>
      <c r="C642" s="115" t="s">
        <v>33</v>
      </c>
      <c r="D642" s="115" t="s">
        <v>100</v>
      </c>
      <c r="E642" s="115" t="s">
        <v>11</v>
      </c>
      <c r="F642" s="115" t="s">
        <v>24</v>
      </c>
      <c r="G642" s="115" t="s">
        <v>25</v>
      </c>
      <c r="H642" s="120"/>
      <c r="I642" s="120"/>
      <c r="J642" s="135">
        <v>1.5</v>
      </c>
      <c r="K642" s="135"/>
      <c r="L642" s="115"/>
      <c r="M642" s="136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9"/>
      <c r="B643" s="125">
        <v>46114.0</v>
      </c>
      <c r="C643" s="107" t="s">
        <v>33</v>
      </c>
      <c r="D643" s="107" t="s">
        <v>100</v>
      </c>
      <c r="E643" s="107" t="s">
        <v>19</v>
      </c>
      <c r="F643" s="107" t="s">
        <v>24</v>
      </c>
      <c r="G643" s="107" t="s">
        <v>25</v>
      </c>
      <c r="H643" s="123"/>
      <c r="I643" s="123"/>
      <c r="J643" s="137">
        <v>2.0</v>
      </c>
      <c r="K643" s="137"/>
      <c r="L643" s="107"/>
      <c r="M643" s="138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9"/>
      <c r="B644" s="124">
        <v>46114.0</v>
      </c>
      <c r="C644" s="115" t="s">
        <v>33</v>
      </c>
      <c r="D644" s="115" t="s">
        <v>100</v>
      </c>
      <c r="E644" s="115" t="s">
        <v>28</v>
      </c>
      <c r="F644" s="115" t="s">
        <v>24</v>
      </c>
      <c r="G644" s="115" t="s">
        <v>25</v>
      </c>
      <c r="H644" s="120"/>
      <c r="I644" s="120"/>
      <c r="J644" s="135">
        <v>1.0</v>
      </c>
      <c r="K644" s="135"/>
      <c r="L644" s="115"/>
      <c r="M644" s="136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9"/>
      <c r="B645" s="125">
        <v>46114.0</v>
      </c>
      <c r="C645" s="107" t="s">
        <v>33</v>
      </c>
      <c r="D645" s="107" t="s">
        <v>98</v>
      </c>
      <c r="E645" s="107" t="s">
        <v>11</v>
      </c>
      <c r="F645" s="107" t="s">
        <v>20</v>
      </c>
      <c r="G645" s="107" t="s">
        <v>30</v>
      </c>
      <c r="H645" s="123"/>
      <c r="I645" s="123"/>
      <c r="J645" s="137">
        <v>1.0</v>
      </c>
      <c r="K645" s="137"/>
      <c r="L645" s="107"/>
      <c r="M645" s="138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9"/>
      <c r="B646" s="145">
        <v>46119.0</v>
      </c>
      <c r="C646" s="140" t="s">
        <v>10</v>
      </c>
      <c r="D646" s="140" t="s">
        <v>112</v>
      </c>
      <c r="E646" s="140" t="s">
        <v>56</v>
      </c>
      <c r="F646" s="140" t="s">
        <v>24</v>
      </c>
      <c r="G646" s="140" t="s">
        <v>25</v>
      </c>
      <c r="H646" s="146"/>
      <c r="I646" s="146"/>
      <c r="J646" s="135">
        <v>4.0</v>
      </c>
      <c r="K646" s="135"/>
      <c r="L646" s="115"/>
      <c r="M646" s="136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9"/>
      <c r="B647" s="142">
        <v>46119.0</v>
      </c>
      <c r="C647" s="141" t="s">
        <v>10</v>
      </c>
      <c r="D647" s="141" t="s">
        <v>112</v>
      </c>
      <c r="E647" s="141" t="s">
        <v>56</v>
      </c>
      <c r="F647" s="141" t="s">
        <v>24</v>
      </c>
      <c r="G647" s="141" t="s">
        <v>31</v>
      </c>
      <c r="H647" s="144"/>
      <c r="I647" s="144"/>
      <c r="J647" s="137">
        <v>2.0</v>
      </c>
      <c r="K647" s="137"/>
      <c r="L647" s="107"/>
      <c r="M647" s="138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9"/>
      <c r="B648" s="145">
        <v>46119.0</v>
      </c>
      <c r="C648" s="140" t="s">
        <v>10</v>
      </c>
      <c r="D648" s="140" t="s">
        <v>136</v>
      </c>
      <c r="E648" s="140" t="s">
        <v>150</v>
      </c>
      <c r="F648" s="140" t="s">
        <v>20</v>
      </c>
      <c r="G648" s="140" t="s">
        <v>21</v>
      </c>
      <c r="H648" s="146"/>
      <c r="I648" s="146"/>
      <c r="J648" s="135">
        <v>1.0</v>
      </c>
      <c r="K648" s="135"/>
      <c r="L648" s="115"/>
      <c r="M648" s="136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9"/>
      <c r="B649" s="142">
        <v>46119.0</v>
      </c>
      <c r="C649" s="141" t="s">
        <v>10</v>
      </c>
      <c r="D649" s="141" t="s">
        <v>100</v>
      </c>
      <c r="E649" s="141" t="s">
        <v>11</v>
      </c>
      <c r="F649" s="141" t="s">
        <v>20</v>
      </c>
      <c r="G649" s="107" t="s">
        <v>35</v>
      </c>
      <c r="H649" s="144"/>
      <c r="I649" s="144"/>
      <c r="J649" s="137">
        <v>0.5</v>
      </c>
      <c r="K649" s="137"/>
      <c r="L649" s="107" t="s">
        <v>393</v>
      </c>
      <c r="M649" s="138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9"/>
      <c r="B650" s="145">
        <v>46119.0</v>
      </c>
      <c r="C650" s="140" t="s">
        <v>10</v>
      </c>
      <c r="D650" s="140" t="s">
        <v>17</v>
      </c>
      <c r="E650" s="140" t="s">
        <v>96</v>
      </c>
      <c r="F650" s="140" t="s">
        <v>20</v>
      </c>
      <c r="G650" s="108" t="s">
        <v>57</v>
      </c>
      <c r="H650" s="146"/>
      <c r="I650" s="146"/>
      <c r="J650" s="135">
        <v>0.5</v>
      </c>
      <c r="K650" s="135"/>
      <c r="L650" s="115"/>
      <c r="M650" s="136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9"/>
      <c r="B651" s="142">
        <v>46119.0</v>
      </c>
      <c r="C651" s="141" t="s">
        <v>50</v>
      </c>
      <c r="D651" s="141" t="s">
        <v>102</v>
      </c>
      <c r="E651" s="141" t="s">
        <v>155</v>
      </c>
      <c r="F651" s="141" t="s">
        <v>13</v>
      </c>
      <c r="G651" s="141" t="s">
        <v>13</v>
      </c>
      <c r="H651" s="144"/>
      <c r="I651" s="144"/>
      <c r="J651" s="137">
        <f>5/60</f>
        <v>0.08333333333</v>
      </c>
      <c r="K651" s="137"/>
      <c r="L651" s="107" t="s">
        <v>394</v>
      </c>
      <c r="M651" s="138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9"/>
      <c r="B652" s="145">
        <v>46119.0</v>
      </c>
      <c r="C652" s="140" t="s">
        <v>50</v>
      </c>
      <c r="D652" s="140" t="s">
        <v>102</v>
      </c>
      <c r="E652" s="140" t="s">
        <v>155</v>
      </c>
      <c r="F652" s="140" t="s">
        <v>13</v>
      </c>
      <c r="G652" s="140" t="s">
        <v>13</v>
      </c>
      <c r="H652" s="146"/>
      <c r="I652" s="146"/>
      <c r="J652" s="135">
        <f>55/60</f>
        <v>0.9166666667</v>
      </c>
      <c r="K652" s="135"/>
      <c r="L652" s="115" t="s">
        <v>395</v>
      </c>
      <c r="M652" s="136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9"/>
      <c r="B653" s="142">
        <v>46119.0</v>
      </c>
      <c r="C653" s="141" t="s">
        <v>50</v>
      </c>
      <c r="D653" s="141" t="s">
        <v>102</v>
      </c>
      <c r="E653" s="141" t="s">
        <v>155</v>
      </c>
      <c r="F653" s="141" t="s">
        <v>13</v>
      </c>
      <c r="G653" s="141" t="s">
        <v>13</v>
      </c>
      <c r="H653" s="144"/>
      <c r="I653" s="144"/>
      <c r="J653" s="137">
        <f>15/60</f>
        <v>0.25</v>
      </c>
      <c r="K653" s="137"/>
      <c r="L653" s="107" t="s">
        <v>396</v>
      </c>
      <c r="M653" s="138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9"/>
      <c r="B654" s="145">
        <v>46119.0</v>
      </c>
      <c r="C654" s="140" t="s">
        <v>50</v>
      </c>
      <c r="D654" s="140" t="s">
        <v>114</v>
      </c>
      <c r="E654" s="140" t="s">
        <v>11</v>
      </c>
      <c r="F654" s="140" t="s">
        <v>13</v>
      </c>
      <c r="G654" s="140" t="s">
        <v>13</v>
      </c>
      <c r="H654" s="146"/>
      <c r="I654" s="146"/>
      <c r="J654" s="135">
        <v>0.6</v>
      </c>
      <c r="K654" s="135"/>
      <c r="L654" s="115" t="s">
        <v>397</v>
      </c>
      <c r="M654" s="136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9"/>
      <c r="B655" s="142">
        <v>46119.0</v>
      </c>
      <c r="C655" s="143" t="s">
        <v>50</v>
      </c>
      <c r="D655" s="141" t="s">
        <v>116</v>
      </c>
      <c r="E655" s="141" t="s">
        <v>19</v>
      </c>
      <c r="F655" s="143" t="s">
        <v>13</v>
      </c>
      <c r="G655" s="143" t="s">
        <v>13</v>
      </c>
      <c r="H655" s="144"/>
      <c r="I655" s="144"/>
      <c r="J655" s="137">
        <v>1.4</v>
      </c>
      <c r="K655" s="137"/>
      <c r="L655" s="107" t="s">
        <v>397</v>
      </c>
      <c r="M655" s="138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9"/>
      <c r="B656" s="145">
        <v>46119.0</v>
      </c>
      <c r="C656" s="140" t="s">
        <v>50</v>
      </c>
      <c r="D656" s="140" t="s">
        <v>102</v>
      </c>
      <c r="E656" s="140" t="s">
        <v>155</v>
      </c>
      <c r="F656" s="140" t="s">
        <v>13</v>
      </c>
      <c r="G656" s="140" t="s">
        <v>13</v>
      </c>
      <c r="H656" s="146"/>
      <c r="I656" s="146"/>
      <c r="J656" s="135">
        <f>8/60</f>
        <v>0.1333333333</v>
      </c>
      <c r="K656" s="135"/>
      <c r="L656" s="115" t="s">
        <v>395</v>
      </c>
      <c r="M656" s="136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9"/>
      <c r="B657" s="142">
        <v>46119.0</v>
      </c>
      <c r="C657" s="141" t="s">
        <v>18</v>
      </c>
      <c r="D657" s="141" t="s">
        <v>102</v>
      </c>
      <c r="E657" s="141" t="s">
        <v>155</v>
      </c>
      <c r="F657" s="141" t="s">
        <v>20</v>
      </c>
      <c r="G657" s="141" t="s">
        <v>63</v>
      </c>
      <c r="H657" s="144"/>
      <c r="I657" s="144"/>
      <c r="J657" s="137">
        <v>2.0</v>
      </c>
      <c r="K657" s="137"/>
      <c r="L657" s="107"/>
      <c r="M657" s="138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9"/>
      <c r="B658" s="145">
        <v>46119.0</v>
      </c>
      <c r="C658" s="140" t="s">
        <v>18</v>
      </c>
      <c r="D658" s="140" t="s">
        <v>136</v>
      </c>
      <c r="E658" s="140" t="s">
        <v>150</v>
      </c>
      <c r="F658" s="140" t="s">
        <v>20</v>
      </c>
      <c r="G658" s="140" t="s">
        <v>63</v>
      </c>
      <c r="H658" s="146"/>
      <c r="I658" s="146"/>
      <c r="J658" s="135">
        <v>3.5</v>
      </c>
      <c r="K658" s="135"/>
      <c r="L658" s="115"/>
      <c r="M658" s="136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9"/>
      <c r="B659" s="142">
        <v>46119.0</v>
      </c>
      <c r="C659" s="141" t="s">
        <v>18</v>
      </c>
      <c r="D659" s="141" t="s">
        <v>17</v>
      </c>
      <c r="E659" s="141" t="s">
        <v>96</v>
      </c>
      <c r="F659" s="141" t="s">
        <v>54</v>
      </c>
      <c r="G659" s="141" t="s">
        <v>54</v>
      </c>
      <c r="H659" s="144"/>
      <c r="I659" s="144"/>
      <c r="J659" s="137">
        <v>0.5</v>
      </c>
      <c r="K659" s="137"/>
      <c r="L659" s="107"/>
      <c r="M659" s="138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9"/>
      <c r="B660" s="145">
        <v>46119.0</v>
      </c>
      <c r="C660" s="140" t="s">
        <v>18</v>
      </c>
      <c r="D660" s="140" t="s">
        <v>100</v>
      </c>
      <c r="E660" s="140" t="s">
        <v>11</v>
      </c>
      <c r="F660" s="140" t="s">
        <v>20</v>
      </c>
      <c r="G660" s="115" t="s">
        <v>35</v>
      </c>
      <c r="H660" s="146"/>
      <c r="I660" s="146"/>
      <c r="J660" s="135">
        <v>0.5</v>
      </c>
      <c r="K660" s="135"/>
      <c r="L660" s="115" t="s">
        <v>393</v>
      </c>
      <c r="M660" s="136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9"/>
      <c r="B661" s="142">
        <v>46119.0</v>
      </c>
      <c r="C661" s="141" t="s">
        <v>18</v>
      </c>
      <c r="D661" s="141" t="s">
        <v>114</v>
      </c>
      <c r="E661" s="141" t="s">
        <v>11</v>
      </c>
      <c r="F661" s="141" t="s">
        <v>20</v>
      </c>
      <c r="G661" s="141" t="s">
        <v>22</v>
      </c>
      <c r="H661" s="144"/>
      <c r="I661" s="144"/>
      <c r="J661" s="137">
        <v>1.5</v>
      </c>
      <c r="K661" s="137"/>
      <c r="L661" s="107"/>
      <c r="M661" s="138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9"/>
      <c r="B662" s="145">
        <v>46119.0</v>
      </c>
      <c r="C662" s="140" t="s">
        <v>27</v>
      </c>
      <c r="D662" s="140" t="s">
        <v>100</v>
      </c>
      <c r="E662" s="140" t="s">
        <v>153</v>
      </c>
      <c r="F662" s="140" t="s">
        <v>20</v>
      </c>
      <c r="G662" s="140" t="s">
        <v>22</v>
      </c>
      <c r="H662" s="146"/>
      <c r="I662" s="146"/>
      <c r="J662" s="135">
        <v>7.0</v>
      </c>
      <c r="K662" s="135"/>
      <c r="L662" s="115"/>
      <c r="M662" s="136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9"/>
      <c r="B663" s="142">
        <v>46119.0</v>
      </c>
      <c r="C663" s="141" t="s">
        <v>27</v>
      </c>
      <c r="D663" s="141" t="s">
        <v>100</v>
      </c>
      <c r="E663" s="141" t="s">
        <v>11</v>
      </c>
      <c r="F663" s="141" t="s">
        <v>20</v>
      </c>
      <c r="G663" s="141" t="s">
        <v>30</v>
      </c>
      <c r="H663" s="144"/>
      <c r="I663" s="144"/>
      <c r="J663" s="137">
        <v>0.5</v>
      </c>
      <c r="K663" s="137"/>
      <c r="L663" s="107"/>
      <c r="M663" s="138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9"/>
      <c r="B664" s="145">
        <v>46119.0</v>
      </c>
      <c r="C664" s="140" t="s">
        <v>27</v>
      </c>
      <c r="D664" s="140" t="s">
        <v>100</v>
      </c>
      <c r="E664" s="140" t="s">
        <v>19</v>
      </c>
      <c r="F664" s="140" t="s">
        <v>20</v>
      </c>
      <c r="G664" s="140" t="s">
        <v>30</v>
      </c>
      <c r="H664" s="146"/>
      <c r="I664" s="146"/>
      <c r="J664" s="135">
        <v>0.5</v>
      </c>
      <c r="K664" s="135"/>
      <c r="L664" s="115"/>
      <c r="M664" s="136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9"/>
      <c r="B665" s="142">
        <v>46119.0</v>
      </c>
      <c r="C665" s="141" t="s">
        <v>33</v>
      </c>
      <c r="D665" s="141" t="s">
        <v>100</v>
      </c>
      <c r="E665" s="141" t="s">
        <v>11</v>
      </c>
      <c r="F665" s="141" t="s">
        <v>20</v>
      </c>
      <c r="G665" s="141" t="s">
        <v>30</v>
      </c>
      <c r="H665" s="144"/>
      <c r="I665" s="144"/>
      <c r="J665" s="137">
        <v>1.0</v>
      </c>
      <c r="K665" s="137"/>
      <c r="L665" s="107"/>
      <c r="M665" s="138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9"/>
      <c r="B666" s="145">
        <v>46119.0</v>
      </c>
      <c r="C666" s="140" t="s">
        <v>33</v>
      </c>
      <c r="D666" s="140" t="s">
        <v>112</v>
      </c>
      <c r="E666" s="140" t="s">
        <v>56</v>
      </c>
      <c r="F666" s="140" t="s">
        <v>24</v>
      </c>
      <c r="G666" s="140" t="s">
        <v>25</v>
      </c>
      <c r="H666" s="146"/>
      <c r="I666" s="146"/>
      <c r="J666" s="135">
        <v>0.5</v>
      </c>
      <c r="K666" s="135"/>
      <c r="L666" s="115" t="s">
        <v>398</v>
      </c>
      <c r="M666" s="136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9"/>
      <c r="B667" s="142">
        <v>46119.0</v>
      </c>
      <c r="C667" s="141" t="s">
        <v>33</v>
      </c>
      <c r="D667" s="141" t="s">
        <v>100</v>
      </c>
      <c r="E667" s="141" t="s">
        <v>11</v>
      </c>
      <c r="F667" s="141" t="s">
        <v>20</v>
      </c>
      <c r="G667" s="107" t="s">
        <v>35</v>
      </c>
      <c r="H667" s="144"/>
      <c r="I667" s="144"/>
      <c r="J667" s="137">
        <v>2.0</v>
      </c>
      <c r="K667" s="137"/>
      <c r="L667" s="107"/>
      <c r="M667" s="138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9"/>
      <c r="B668" s="145">
        <v>46119.0</v>
      </c>
      <c r="C668" s="140" t="s">
        <v>33</v>
      </c>
      <c r="D668" s="140" t="s">
        <v>100</v>
      </c>
      <c r="E668" s="140" t="s">
        <v>19</v>
      </c>
      <c r="F668" s="140" t="s">
        <v>20</v>
      </c>
      <c r="G668" s="140" t="s">
        <v>30</v>
      </c>
      <c r="H668" s="146"/>
      <c r="I668" s="146"/>
      <c r="J668" s="135">
        <v>2.0</v>
      </c>
      <c r="K668" s="135"/>
      <c r="L668" s="115"/>
      <c r="M668" s="136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9"/>
      <c r="B669" s="142">
        <v>46119.0</v>
      </c>
      <c r="C669" s="141" t="s">
        <v>33</v>
      </c>
      <c r="D669" s="141" t="s">
        <v>100</v>
      </c>
      <c r="E669" s="141" t="s">
        <v>19</v>
      </c>
      <c r="F669" s="141" t="s">
        <v>20</v>
      </c>
      <c r="G669" s="107" t="s">
        <v>35</v>
      </c>
      <c r="H669" s="144"/>
      <c r="I669" s="144"/>
      <c r="J669" s="137">
        <v>0.5</v>
      </c>
      <c r="K669" s="137"/>
      <c r="L669" s="107"/>
      <c r="M669" s="138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9"/>
      <c r="B670" s="145">
        <v>46119.0</v>
      </c>
      <c r="C670" s="140" t="s">
        <v>33</v>
      </c>
      <c r="D670" s="140" t="s">
        <v>100</v>
      </c>
      <c r="E670" s="140" t="s">
        <v>11</v>
      </c>
      <c r="F670" s="140" t="s">
        <v>20</v>
      </c>
      <c r="G670" s="115" t="s">
        <v>35</v>
      </c>
      <c r="H670" s="146"/>
      <c r="I670" s="146"/>
      <c r="J670" s="135">
        <v>1.0</v>
      </c>
      <c r="K670" s="135"/>
      <c r="L670" s="115" t="s">
        <v>393</v>
      </c>
      <c r="M670" s="136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9"/>
      <c r="B671" s="142">
        <v>46119.0</v>
      </c>
      <c r="C671" s="141" t="s">
        <v>33</v>
      </c>
      <c r="D671" s="141" t="s">
        <v>17</v>
      </c>
      <c r="E671" s="141" t="s">
        <v>96</v>
      </c>
      <c r="F671" s="141" t="s">
        <v>54</v>
      </c>
      <c r="G671" s="141" t="s">
        <v>54</v>
      </c>
      <c r="H671" s="144"/>
      <c r="I671" s="144"/>
      <c r="J671" s="137">
        <v>0.5</v>
      </c>
      <c r="K671" s="137"/>
      <c r="L671" s="107" t="s">
        <v>399</v>
      </c>
      <c r="M671" s="138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9"/>
      <c r="B672" s="145">
        <v>46120.0</v>
      </c>
      <c r="C672" s="140" t="s">
        <v>10</v>
      </c>
      <c r="D672" s="140" t="s">
        <v>102</v>
      </c>
      <c r="E672" s="140" t="s">
        <v>153</v>
      </c>
      <c r="F672" s="140" t="s">
        <v>20</v>
      </c>
      <c r="G672" s="115" t="s">
        <v>35</v>
      </c>
      <c r="H672" s="146"/>
      <c r="I672" s="146"/>
      <c r="J672" s="135">
        <v>1.0</v>
      </c>
      <c r="K672" s="135"/>
      <c r="L672" s="115" t="s">
        <v>400</v>
      </c>
      <c r="M672" s="136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9"/>
      <c r="B673" s="142">
        <v>46120.0</v>
      </c>
      <c r="C673" s="141" t="s">
        <v>10</v>
      </c>
      <c r="D673" s="141" t="s">
        <v>102</v>
      </c>
      <c r="E673" s="141" t="s">
        <v>155</v>
      </c>
      <c r="F673" s="141" t="s">
        <v>20</v>
      </c>
      <c r="G673" s="141" t="s">
        <v>22</v>
      </c>
      <c r="H673" s="144"/>
      <c r="I673" s="144"/>
      <c r="J673" s="137">
        <v>0.5</v>
      </c>
      <c r="K673" s="137"/>
      <c r="L673" s="107"/>
      <c r="M673" s="138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9"/>
      <c r="B674" s="145">
        <v>46120.0</v>
      </c>
      <c r="C674" s="140" t="s">
        <v>10</v>
      </c>
      <c r="D674" s="140" t="s">
        <v>112</v>
      </c>
      <c r="E674" s="140" t="s">
        <v>56</v>
      </c>
      <c r="F674" s="140" t="s">
        <v>24</v>
      </c>
      <c r="G674" s="140" t="s">
        <v>31</v>
      </c>
      <c r="H674" s="146"/>
      <c r="I674" s="146"/>
      <c r="J674" s="135">
        <v>0.5</v>
      </c>
      <c r="K674" s="135"/>
      <c r="L674" s="115"/>
      <c r="M674" s="136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9"/>
      <c r="B675" s="142">
        <v>46120.0</v>
      </c>
      <c r="C675" s="141" t="s">
        <v>10</v>
      </c>
      <c r="D675" s="141" t="s">
        <v>102</v>
      </c>
      <c r="E675" s="141" t="s">
        <v>80</v>
      </c>
      <c r="F675" s="141" t="s">
        <v>20</v>
      </c>
      <c r="G675" s="107" t="s">
        <v>35</v>
      </c>
      <c r="H675" s="144"/>
      <c r="I675" s="144"/>
      <c r="J675" s="137">
        <v>2.5</v>
      </c>
      <c r="K675" s="137"/>
      <c r="L675" s="107"/>
      <c r="M675" s="138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9"/>
      <c r="B676" s="145">
        <v>46120.0</v>
      </c>
      <c r="C676" s="140" t="s">
        <v>10</v>
      </c>
      <c r="D676" s="140" t="s">
        <v>17</v>
      </c>
      <c r="E676" s="140" t="s">
        <v>96</v>
      </c>
      <c r="F676" s="140" t="s">
        <v>24</v>
      </c>
      <c r="G676" s="140" t="s">
        <v>54</v>
      </c>
      <c r="H676" s="146"/>
      <c r="I676" s="146"/>
      <c r="J676" s="135">
        <v>1.0</v>
      </c>
      <c r="K676" s="135"/>
      <c r="L676" s="115"/>
      <c r="M676" s="136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9"/>
      <c r="B677" s="142">
        <v>46120.0</v>
      </c>
      <c r="C677" s="141" t="s">
        <v>10</v>
      </c>
      <c r="D677" s="141" t="s">
        <v>17</v>
      </c>
      <c r="E677" s="141" t="s">
        <v>96</v>
      </c>
      <c r="F677" s="141" t="s">
        <v>20</v>
      </c>
      <c r="G677" s="111" t="s">
        <v>57</v>
      </c>
      <c r="H677" s="144"/>
      <c r="I677" s="144"/>
      <c r="J677" s="137">
        <v>0.5</v>
      </c>
      <c r="K677" s="137"/>
      <c r="L677" s="107"/>
      <c r="M677" s="138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9"/>
      <c r="B678" s="145">
        <v>46120.0</v>
      </c>
      <c r="C678" s="140" t="s">
        <v>10</v>
      </c>
      <c r="D678" s="140" t="s">
        <v>120</v>
      </c>
      <c r="E678" s="140" t="s">
        <v>56</v>
      </c>
      <c r="F678" s="140" t="s">
        <v>24</v>
      </c>
      <c r="G678" s="140" t="s">
        <v>31</v>
      </c>
      <c r="H678" s="146"/>
      <c r="I678" s="146"/>
      <c r="J678" s="135">
        <v>1.0</v>
      </c>
      <c r="K678" s="135"/>
      <c r="L678" s="115" t="s">
        <v>386</v>
      </c>
      <c r="M678" s="136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9"/>
      <c r="B679" s="142">
        <v>46120.0</v>
      </c>
      <c r="C679" s="141" t="s">
        <v>10</v>
      </c>
      <c r="D679" s="141" t="s">
        <v>114</v>
      </c>
      <c r="E679" s="141" t="s">
        <v>11</v>
      </c>
      <c r="F679" s="141" t="s">
        <v>24</v>
      </c>
      <c r="G679" s="141" t="s">
        <v>31</v>
      </c>
      <c r="H679" s="144"/>
      <c r="I679" s="144"/>
      <c r="J679" s="137">
        <v>1.0</v>
      </c>
      <c r="K679" s="137"/>
      <c r="L679" s="107" t="s">
        <v>386</v>
      </c>
      <c r="M679" s="138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9"/>
      <c r="B680" s="124">
        <v>46120.0</v>
      </c>
      <c r="C680" s="115" t="s">
        <v>50</v>
      </c>
      <c r="D680" s="115" t="s">
        <v>102</v>
      </c>
      <c r="E680" s="115" t="s">
        <v>155</v>
      </c>
      <c r="F680" s="115" t="s">
        <v>13</v>
      </c>
      <c r="G680" s="115" t="s">
        <v>13</v>
      </c>
      <c r="H680" s="120"/>
      <c r="I680" s="120"/>
      <c r="J680" s="135">
        <f>40/60</f>
        <v>0.6666666667</v>
      </c>
      <c r="K680" s="135"/>
      <c r="L680" s="115" t="s">
        <v>395</v>
      </c>
      <c r="M680" s="136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9"/>
      <c r="B681" s="125">
        <v>46120.0</v>
      </c>
      <c r="C681" s="107" t="s">
        <v>50</v>
      </c>
      <c r="D681" s="107" t="s">
        <v>56</v>
      </c>
      <c r="E681" s="107" t="s">
        <v>132</v>
      </c>
      <c r="F681" s="107" t="s">
        <v>13</v>
      </c>
      <c r="G681" s="107" t="s">
        <v>13</v>
      </c>
      <c r="H681" s="123"/>
      <c r="I681" s="123"/>
      <c r="J681" s="137">
        <f>50/60</f>
        <v>0.8333333333</v>
      </c>
      <c r="K681" s="137"/>
      <c r="L681" s="107" t="s">
        <v>401</v>
      </c>
      <c r="M681" s="138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9"/>
      <c r="B682" s="124">
        <v>46120.0</v>
      </c>
      <c r="C682" s="115" t="s">
        <v>50</v>
      </c>
      <c r="D682" s="115" t="s">
        <v>9</v>
      </c>
      <c r="E682" s="115" t="s">
        <v>96</v>
      </c>
      <c r="F682" s="115" t="s">
        <v>54</v>
      </c>
      <c r="G682" s="115" t="s">
        <v>54</v>
      </c>
      <c r="H682" s="120"/>
      <c r="I682" s="120"/>
      <c r="J682" s="135">
        <v>1.0</v>
      </c>
      <c r="K682" s="135"/>
      <c r="L682" s="115" t="s">
        <v>402</v>
      </c>
      <c r="M682" s="136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9"/>
      <c r="B683" s="142">
        <v>46120.0</v>
      </c>
      <c r="C683" s="141" t="s">
        <v>18</v>
      </c>
      <c r="D683" s="141" t="s">
        <v>114</v>
      </c>
      <c r="E683" s="141" t="s">
        <v>11</v>
      </c>
      <c r="F683" s="141" t="s">
        <v>20</v>
      </c>
      <c r="G683" s="141" t="s">
        <v>22</v>
      </c>
      <c r="H683" s="144"/>
      <c r="I683" s="144"/>
      <c r="J683" s="137">
        <v>2.0</v>
      </c>
      <c r="K683" s="137"/>
      <c r="L683" s="107"/>
      <c r="M683" s="138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9"/>
      <c r="B684" s="145">
        <v>46120.0</v>
      </c>
      <c r="C684" s="140" t="s">
        <v>18</v>
      </c>
      <c r="D684" s="140" t="s">
        <v>102</v>
      </c>
      <c r="E684" s="140" t="s">
        <v>155</v>
      </c>
      <c r="F684" s="140" t="s">
        <v>20</v>
      </c>
      <c r="G684" s="140" t="s">
        <v>22</v>
      </c>
      <c r="H684" s="146"/>
      <c r="I684" s="146"/>
      <c r="J684" s="135">
        <v>3.5</v>
      </c>
      <c r="K684" s="135"/>
      <c r="L684" s="115"/>
      <c r="M684" s="136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9"/>
      <c r="B685" s="142">
        <v>46120.0</v>
      </c>
      <c r="C685" s="141" t="s">
        <v>18</v>
      </c>
      <c r="D685" s="141" t="s">
        <v>116</v>
      </c>
      <c r="E685" s="141" t="s">
        <v>11</v>
      </c>
      <c r="F685" s="141" t="s">
        <v>20</v>
      </c>
      <c r="G685" s="141" t="s">
        <v>22</v>
      </c>
      <c r="H685" s="144"/>
      <c r="I685" s="144"/>
      <c r="J685" s="137">
        <v>1.833</v>
      </c>
      <c r="K685" s="137"/>
      <c r="L685" s="107"/>
      <c r="M685" s="138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9"/>
      <c r="B686" s="145">
        <v>46120.0</v>
      </c>
      <c r="C686" s="140" t="s">
        <v>18</v>
      </c>
      <c r="D686" s="140" t="s">
        <v>116</v>
      </c>
      <c r="E686" s="140" t="s">
        <v>19</v>
      </c>
      <c r="F686" s="140" t="s">
        <v>20</v>
      </c>
      <c r="G686" s="140" t="s">
        <v>22</v>
      </c>
      <c r="H686" s="146"/>
      <c r="I686" s="146"/>
      <c r="J686" s="135">
        <v>0.67</v>
      </c>
      <c r="K686" s="135"/>
      <c r="L686" s="115"/>
      <c r="M686" s="136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9"/>
      <c r="B687" s="142">
        <v>46120.0</v>
      </c>
      <c r="C687" s="141" t="s">
        <v>27</v>
      </c>
      <c r="D687" s="141" t="s">
        <v>100</v>
      </c>
      <c r="E687" s="141" t="s">
        <v>153</v>
      </c>
      <c r="F687" s="141" t="s">
        <v>20</v>
      </c>
      <c r="G687" s="141" t="s">
        <v>22</v>
      </c>
      <c r="H687" s="144"/>
      <c r="I687" s="144"/>
      <c r="J687" s="137">
        <v>0.5</v>
      </c>
      <c r="K687" s="137"/>
      <c r="L687" s="107" t="s">
        <v>403</v>
      </c>
      <c r="M687" s="138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9"/>
      <c r="B688" s="145">
        <v>46120.0</v>
      </c>
      <c r="C688" s="140" t="s">
        <v>27</v>
      </c>
      <c r="D688" s="140" t="s">
        <v>112</v>
      </c>
      <c r="E688" s="140" t="s">
        <v>56</v>
      </c>
      <c r="F688" s="140" t="s">
        <v>20</v>
      </c>
      <c r="G688" s="140" t="s">
        <v>30</v>
      </c>
      <c r="H688" s="146"/>
      <c r="I688" s="146"/>
      <c r="J688" s="135">
        <v>0.5</v>
      </c>
      <c r="K688" s="135"/>
      <c r="L688" s="115"/>
      <c r="M688" s="136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9"/>
      <c r="B689" s="142">
        <v>46120.0</v>
      </c>
      <c r="C689" s="141" t="s">
        <v>27</v>
      </c>
      <c r="D689" s="141" t="s">
        <v>100</v>
      </c>
      <c r="E689" s="141" t="s">
        <v>153</v>
      </c>
      <c r="F689" s="141" t="s">
        <v>20</v>
      </c>
      <c r="G689" s="107" t="s">
        <v>35</v>
      </c>
      <c r="H689" s="144"/>
      <c r="I689" s="144"/>
      <c r="J689" s="137">
        <v>1.0</v>
      </c>
      <c r="K689" s="137"/>
      <c r="L689" s="107"/>
      <c r="M689" s="138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9"/>
      <c r="B690" s="145">
        <v>46120.0</v>
      </c>
      <c r="C690" s="140" t="s">
        <v>27</v>
      </c>
      <c r="D690" s="140" t="s">
        <v>17</v>
      </c>
      <c r="E690" s="140" t="s">
        <v>96</v>
      </c>
      <c r="F690" s="140" t="s">
        <v>54</v>
      </c>
      <c r="G690" s="140" t="s">
        <v>54</v>
      </c>
      <c r="H690" s="146"/>
      <c r="I690" s="146"/>
      <c r="J690" s="135">
        <v>3.5</v>
      </c>
      <c r="K690" s="135"/>
      <c r="L690" s="115" t="s">
        <v>404</v>
      </c>
      <c r="M690" s="136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9"/>
      <c r="B691" s="142">
        <v>46120.0</v>
      </c>
      <c r="C691" s="141" t="s">
        <v>27</v>
      </c>
      <c r="D691" s="141" t="s">
        <v>116</v>
      </c>
      <c r="E691" s="141" t="s">
        <v>11</v>
      </c>
      <c r="F691" s="141" t="s">
        <v>24</v>
      </c>
      <c r="G691" s="141" t="s">
        <v>25</v>
      </c>
      <c r="H691" s="144"/>
      <c r="I691" s="144"/>
      <c r="J691" s="137">
        <v>0.5</v>
      </c>
      <c r="K691" s="137"/>
      <c r="L691" s="107"/>
      <c r="M691" s="138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9"/>
      <c r="B692" s="145">
        <v>46120.0</v>
      </c>
      <c r="C692" s="140" t="s">
        <v>27</v>
      </c>
      <c r="D692" s="140" t="s">
        <v>17</v>
      </c>
      <c r="E692" s="140" t="s">
        <v>59</v>
      </c>
      <c r="F692" s="140" t="s">
        <v>59</v>
      </c>
      <c r="G692" s="140" t="s">
        <v>21</v>
      </c>
      <c r="H692" s="146"/>
      <c r="I692" s="146"/>
      <c r="J692" s="135">
        <v>2.0</v>
      </c>
      <c r="K692" s="135"/>
      <c r="L692" s="115" t="s">
        <v>405</v>
      </c>
      <c r="M692" s="136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9"/>
      <c r="B693" s="142">
        <v>46120.0</v>
      </c>
      <c r="C693" s="141" t="s">
        <v>33</v>
      </c>
      <c r="D693" s="141" t="s">
        <v>100</v>
      </c>
      <c r="E693" s="141" t="s">
        <v>153</v>
      </c>
      <c r="F693" s="141" t="s">
        <v>20</v>
      </c>
      <c r="G693" s="141" t="s">
        <v>22</v>
      </c>
      <c r="H693" s="144"/>
      <c r="I693" s="144"/>
      <c r="J693" s="137">
        <v>0.8333</v>
      </c>
      <c r="K693" s="137"/>
      <c r="L693" s="107" t="s">
        <v>403</v>
      </c>
      <c r="M693" s="138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9"/>
      <c r="B694" s="145">
        <v>46120.0</v>
      </c>
      <c r="C694" s="140" t="s">
        <v>33</v>
      </c>
      <c r="D694" s="140" t="s">
        <v>17</v>
      </c>
      <c r="E694" s="140" t="s">
        <v>96</v>
      </c>
      <c r="F694" s="140" t="s">
        <v>54</v>
      </c>
      <c r="G694" s="140" t="s">
        <v>54</v>
      </c>
      <c r="H694" s="146"/>
      <c r="I694" s="146"/>
      <c r="J694" s="135">
        <v>1.167</v>
      </c>
      <c r="K694" s="135"/>
      <c r="L694" s="115" t="s">
        <v>406</v>
      </c>
      <c r="M694" s="136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9"/>
      <c r="B695" s="142">
        <v>46120.0</v>
      </c>
      <c r="C695" s="141" t="s">
        <v>33</v>
      </c>
      <c r="D695" s="141" t="s">
        <v>100</v>
      </c>
      <c r="E695" s="141" t="s">
        <v>153</v>
      </c>
      <c r="F695" s="141" t="s">
        <v>20</v>
      </c>
      <c r="G695" s="107" t="s">
        <v>35</v>
      </c>
      <c r="H695" s="144"/>
      <c r="I695" s="144"/>
      <c r="J695" s="137">
        <v>1.0</v>
      </c>
      <c r="K695" s="137"/>
      <c r="L695" s="107"/>
      <c r="M695" s="138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9"/>
      <c r="B696" s="145">
        <v>46120.0</v>
      </c>
      <c r="C696" s="140" t="s">
        <v>33</v>
      </c>
      <c r="D696" s="140" t="s">
        <v>17</v>
      </c>
      <c r="E696" s="140" t="s">
        <v>96</v>
      </c>
      <c r="F696" s="140" t="s">
        <v>54</v>
      </c>
      <c r="G696" s="140" t="s">
        <v>54</v>
      </c>
      <c r="H696" s="146"/>
      <c r="I696" s="146"/>
      <c r="J696" s="135">
        <v>2.0</v>
      </c>
      <c r="K696" s="135"/>
      <c r="L696" s="115" t="s">
        <v>407</v>
      </c>
      <c r="M696" s="136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9"/>
      <c r="B697" s="142">
        <v>46120.0</v>
      </c>
      <c r="C697" s="141" t="s">
        <v>33</v>
      </c>
      <c r="D697" s="141" t="s">
        <v>114</v>
      </c>
      <c r="E697" s="141" t="s">
        <v>11</v>
      </c>
      <c r="F697" s="141" t="s">
        <v>24</v>
      </c>
      <c r="G697" s="141" t="s">
        <v>25</v>
      </c>
      <c r="H697" s="144"/>
      <c r="I697" s="144"/>
      <c r="J697" s="137">
        <v>2.0</v>
      </c>
      <c r="K697" s="137"/>
      <c r="L697" s="107"/>
      <c r="M697" s="138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9"/>
      <c r="B698" s="145">
        <v>46120.0</v>
      </c>
      <c r="C698" s="140" t="s">
        <v>33</v>
      </c>
      <c r="D698" s="140" t="s">
        <v>114</v>
      </c>
      <c r="E698" s="140" t="s">
        <v>11</v>
      </c>
      <c r="F698" s="140" t="s">
        <v>20</v>
      </c>
      <c r="G698" s="140" t="s">
        <v>30</v>
      </c>
      <c r="H698" s="146"/>
      <c r="I698" s="146"/>
      <c r="J698" s="135">
        <v>0.5</v>
      </c>
      <c r="K698" s="135"/>
      <c r="L698" s="115" t="s">
        <v>408</v>
      </c>
      <c r="M698" s="136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9"/>
      <c r="B699" s="142">
        <v>46120.0</v>
      </c>
      <c r="C699" s="141" t="s">
        <v>33</v>
      </c>
      <c r="D699" s="141" t="s">
        <v>102</v>
      </c>
      <c r="E699" s="141" t="s">
        <v>155</v>
      </c>
      <c r="F699" s="141" t="s">
        <v>20</v>
      </c>
      <c r="G699" s="141" t="s">
        <v>22</v>
      </c>
      <c r="H699" s="144"/>
      <c r="I699" s="144"/>
      <c r="J699" s="137">
        <v>0.5</v>
      </c>
      <c r="K699" s="137"/>
      <c r="L699" s="107"/>
      <c r="M699" s="138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9"/>
      <c r="B700" s="145">
        <v>46121.0</v>
      </c>
      <c r="C700" s="140" t="s">
        <v>10</v>
      </c>
      <c r="D700" s="140" t="s">
        <v>114</v>
      </c>
      <c r="E700" s="140" t="s">
        <v>11</v>
      </c>
      <c r="F700" s="140" t="s">
        <v>24</v>
      </c>
      <c r="G700" s="140" t="s">
        <v>31</v>
      </c>
      <c r="H700" s="146"/>
      <c r="I700" s="146"/>
      <c r="J700" s="135">
        <v>2.0</v>
      </c>
      <c r="K700" s="135"/>
      <c r="L700" s="115"/>
      <c r="M700" s="136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9"/>
      <c r="B701" s="142">
        <v>46121.0</v>
      </c>
      <c r="C701" s="141" t="s">
        <v>10</v>
      </c>
      <c r="D701" s="141" t="s">
        <v>120</v>
      </c>
      <c r="E701" s="141" t="s">
        <v>56</v>
      </c>
      <c r="F701" s="141" t="s">
        <v>24</v>
      </c>
      <c r="G701" s="141" t="s">
        <v>31</v>
      </c>
      <c r="H701" s="144"/>
      <c r="I701" s="144"/>
      <c r="J701" s="137">
        <v>3.0</v>
      </c>
      <c r="K701" s="137"/>
      <c r="L701" s="107"/>
      <c r="M701" s="138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9"/>
      <c r="B702" s="145">
        <v>46121.0</v>
      </c>
      <c r="C702" s="140" t="s">
        <v>10</v>
      </c>
      <c r="D702" s="140" t="s">
        <v>17</v>
      </c>
      <c r="E702" s="140" t="s">
        <v>130</v>
      </c>
      <c r="F702" s="140" t="s">
        <v>59</v>
      </c>
      <c r="G702" s="108" t="s">
        <v>57</v>
      </c>
      <c r="H702" s="146"/>
      <c r="I702" s="146"/>
      <c r="J702" s="135">
        <v>1.0</v>
      </c>
      <c r="K702" s="135"/>
      <c r="L702" s="115" t="s">
        <v>409</v>
      </c>
      <c r="M702" s="136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9"/>
      <c r="B703" s="142">
        <v>46121.0</v>
      </c>
      <c r="C703" s="141" t="s">
        <v>10</v>
      </c>
      <c r="D703" s="141" t="s">
        <v>112</v>
      </c>
      <c r="E703" s="141" t="s">
        <v>56</v>
      </c>
      <c r="F703" s="141" t="s">
        <v>20</v>
      </c>
      <c r="G703" s="141" t="s">
        <v>22</v>
      </c>
      <c r="H703" s="144"/>
      <c r="I703" s="144"/>
      <c r="J703" s="137">
        <v>1.0</v>
      </c>
      <c r="K703" s="137"/>
      <c r="L703" s="107" t="s">
        <v>410</v>
      </c>
      <c r="M703" s="138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9"/>
      <c r="B704" s="145">
        <v>46121.0</v>
      </c>
      <c r="C704" s="140" t="s">
        <v>10</v>
      </c>
      <c r="D704" s="140" t="s">
        <v>17</v>
      </c>
      <c r="E704" s="140" t="s">
        <v>96</v>
      </c>
      <c r="F704" s="140" t="s">
        <v>20</v>
      </c>
      <c r="G704" s="162" t="s">
        <v>35</v>
      </c>
      <c r="H704" s="146"/>
      <c r="I704" s="146"/>
      <c r="J704" s="135">
        <v>1.0</v>
      </c>
      <c r="K704" s="135"/>
      <c r="L704" s="115" t="s">
        <v>411</v>
      </c>
      <c r="M704" s="136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9"/>
      <c r="B705" s="142">
        <v>46121.0</v>
      </c>
      <c r="C705" s="141" t="s">
        <v>18</v>
      </c>
      <c r="D705" s="141" t="s">
        <v>116</v>
      </c>
      <c r="E705" s="141" t="s">
        <v>19</v>
      </c>
      <c r="F705" s="141" t="s">
        <v>20</v>
      </c>
      <c r="G705" s="141" t="s">
        <v>22</v>
      </c>
      <c r="H705" s="144"/>
      <c r="I705" s="144"/>
      <c r="J705" s="137">
        <v>5.5</v>
      </c>
      <c r="K705" s="137"/>
      <c r="L705" s="107"/>
      <c r="M705" s="138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9"/>
      <c r="B706" s="145">
        <v>46121.0</v>
      </c>
      <c r="C706" s="140" t="s">
        <v>18</v>
      </c>
      <c r="D706" s="140" t="s">
        <v>9</v>
      </c>
      <c r="E706" s="140" t="s">
        <v>96</v>
      </c>
      <c r="F706" s="140" t="s">
        <v>20</v>
      </c>
      <c r="G706" s="140" t="s">
        <v>63</v>
      </c>
      <c r="H706" s="146"/>
      <c r="I706" s="146"/>
      <c r="J706" s="135">
        <v>1.0</v>
      </c>
      <c r="K706" s="135"/>
      <c r="L706" s="115" t="s">
        <v>412</v>
      </c>
      <c r="M706" s="136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9"/>
      <c r="B707" s="142">
        <v>46121.0</v>
      </c>
      <c r="C707" s="141" t="s">
        <v>18</v>
      </c>
      <c r="D707" s="141" t="s">
        <v>9</v>
      </c>
      <c r="E707" s="141" t="s">
        <v>96</v>
      </c>
      <c r="F707" s="141" t="s">
        <v>54</v>
      </c>
      <c r="G707" s="141" t="s">
        <v>54</v>
      </c>
      <c r="H707" s="144"/>
      <c r="I707" s="144"/>
      <c r="J707" s="137">
        <v>1.5</v>
      </c>
      <c r="K707" s="137"/>
      <c r="L707" s="107" t="s">
        <v>413</v>
      </c>
      <c r="M707" s="138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9"/>
      <c r="B708" s="145">
        <v>46121.0</v>
      </c>
      <c r="C708" s="140" t="s">
        <v>27</v>
      </c>
      <c r="D708" s="140" t="s">
        <v>17</v>
      </c>
      <c r="E708" s="140" t="s">
        <v>59</v>
      </c>
      <c r="F708" s="140" t="s">
        <v>59</v>
      </c>
      <c r="G708" s="140" t="s">
        <v>21</v>
      </c>
      <c r="H708" s="146"/>
      <c r="I708" s="146"/>
      <c r="J708" s="135">
        <v>5.0</v>
      </c>
      <c r="K708" s="135"/>
      <c r="L708" s="115" t="s">
        <v>405</v>
      </c>
      <c r="M708" s="136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9"/>
      <c r="B709" s="142">
        <v>46121.0</v>
      </c>
      <c r="C709" s="141" t="s">
        <v>27</v>
      </c>
      <c r="D709" s="141" t="s">
        <v>116</v>
      </c>
      <c r="E709" s="141" t="s">
        <v>11</v>
      </c>
      <c r="F709" s="141" t="s">
        <v>24</v>
      </c>
      <c r="G709" s="141" t="s">
        <v>25</v>
      </c>
      <c r="H709" s="144"/>
      <c r="I709" s="144"/>
      <c r="J709" s="137">
        <v>0.5</v>
      </c>
      <c r="K709" s="137"/>
      <c r="L709" s="107" t="s">
        <v>414</v>
      </c>
      <c r="M709" s="138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9"/>
      <c r="B710" s="145">
        <v>46121.0</v>
      </c>
      <c r="C710" s="140" t="s">
        <v>27</v>
      </c>
      <c r="D710" s="140" t="s">
        <v>116</v>
      </c>
      <c r="E710" s="140" t="s">
        <v>62</v>
      </c>
      <c r="F710" s="140" t="s">
        <v>20</v>
      </c>
      <c r="G710" s="140" t="s">
        <v>22</v>
      </c>
      <c r="H710" s="146"/>
      <c r="I710" s="146"/>
      <c r="J710" s="135">
        <v>0.5</v>
      </c>
      <c r="K710" s="135"/>
      <c r="L710" s="115"/>
      <c r="M710" s="136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9"/>
      <c r="B711" s="142">
        <v>46121.0</v>
      </c>
      <c r="C711" s="141" t="s">
        <v>27</v>
      </c>
      <c r="D711" s="141" t="s">
        <v>116</v>
      </c>
      <c r="E711" s="141" t="s">
        <v>19</v>
      </c>
      <c r="F711" s="141" t="s">
        <v>24</v>
      </c>
      <c r="G711" s="141" t="s">
        <v>25</v>
      </c>
      <c r="H711" s="144"/>
      <c r="I711" s="144"/>
      <c r="J711" s="137">
        <v>0.5</v>
      </c>
      <c r="K711" s="137"/>
      <c r="L711" s="107"/>
      <c r="M711" s="138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9"/>
      <c r="B712" s="145">
        <v>46121.0</v>
      </c>
      <c r="C712" s="140" t="s">
        <v>27</v>
      </c>
      <c r="D712" s="140" t="s">
        <v>116</v>
      </c>
      <c r="E712" s="140" t="s">
        <v>11</v>
      </c>
      <c r="F712" s="140" t="s">
        <v>24</v>
      </c>
      <c r="G712" s="140" t="s">
        <v>25</v>
      </c>
      <c r="H712" s="146"/>
      <c r="I712" s="146"/>
      <c r="J712" s="135">
        <v>0.5</v>
      </c>
      <c r="K712" s="135"/>
      <c r="L712" s="115"/>
      <c r="M712" s="136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9"/>
      <c r="B713" s="142">
        <v>46121.0</v>
      </c>
      <c r="C713" s="141" t="s">
        <v>33</v>
      </c>
      <c r="D713" s="141" t="s">
        <v>114</v>
      </c>
      <c r="E713" s="141" t="s">
        <v>11</v>
      </c>
      <c r="F713" s="141" t="s">
        <v>24</v>
      </c>
      <c r="G713" s="141" t="s">
        <v>25</v>
      </c>
      <c r="H713" s="144"/>
      <c r="I713" s="144"/>
      <c r="J713" s="137">
        <v>2.0</v>
      </c>
      <c r="K713" s="137"/>
      <c r="L713" s="107"/>
      <c r="M713" s="138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9"/>
      <c r="B714" s="145">
        <v>46121.0</v>
      </c>
      <c r="C714" s="140" t="s">
        <v>33</v>
      </c>
      <c r="D714" s="140" t="s">
        <v>102</v>
      </c>
      <c r="E714" s="140" t="s">
        <v>155</v>
      </c>
      <c r="F714" s="140" t="s">
        <v>20</v>
      </c>
      <c r="G714" s="140" t="s">
        <v>22</v>
      </c>
      <c r="H714" s="146"/>
      <c r="I714" s="146"/>
      <c r="J714" s="135">
        <v>1.0</v>
      </c>
      <c r="K714" s="135"/>
      <c r="L714" s="115"/>
      <c r="M714" s="136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9"/>
      <c r="B715" s="142">
        <v>46121.0</v>
      </c>
      <c r="C715" s="141" t="s">
        <v>33</v>
      </c>
      <c r="D715" s="141" t="s">
        <v>100</v>
      </c>
      <c r="E715" s="141" t="s">
        <v>11</v>
      </c>
      <c r="F715" s="141" t="s">
        <v>24</v>
      </c>
      <c r="G715" s="141" t="s">
        <v>25</v>
      </c>
      <c r="H715" s="144"/>
      <c r="I715" s="144"/>
      <c r="J715" s="137">
        <v>3.5</v>
      </c>
      <c r="K715" s="137"/>
      <c r="L715" s="107"/>
      <c r="M715" s="138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9"/>
      <c r="B716" s="145">
        <v>46121.0</v>
      </c>
      <c r="C716" s="140" t="s">
        <v>33</v>
      </c>
      <c r="D716" s="140" t="s">
        <v>56</v>
      </c>
      <c r="E716" s="140" t="s">
        <v>132</v>
      </c>
      <c r="F716" s="158" t="s">
        <v>24</v>
      </c>
      <c r="G716" s="158" t="s">
        <v>25</v>
      </c>
      <c r="H716" s="163"/>
      <c r="I716" s="163"/>
      <c r="J716" s="135">
        <v>0.5</v>
      </c>
      <c r="K716" s="135"/>
      <c r="L716" s="115"/>
      <c r="M716" s="136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9"/>
      <c r="B717" s="142">
        <v>46122.0</v>
      </c>
      <c r="C717" s="141" t="s">
        <v>10</v>
      </c>
      <c r="D717" s="141" t="s">
        <v>56</v>
      </c>
      <c r="E717" s="141" t="s">
        <v>132</v>
      </c>
      <c r="F717" s="141" t="s">
        <v>20</v>
      </c>
      <c r="G717" s="141" t="s">
        <v>22</v>
      </c>
      <c r="H717" s="144"/>
      <c r="I717" s="144"/>
      <c r="J717" s="137">
        <v>1.5</v>
      </c>
      <c r="K717" s="137"/>
      <c r="L717" s="107"/>
      <c r="M717" s="138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9"/>
      <c r="B718" s="145">
        <v>46122.0</v>
      </c>
      <c r="C718" s="140" t="s">
        <v>10</v>
      </c>
      <c r="D718" s="140" t="s">
        <v>120</v>
      </c>
      <c r="E718" s="140" t="s">
        <v>56</v>
      </c>
      <c r="F718" s="140" t="s">
        <v>24</v>
      </c>
      <c r="G718" s="140" t="s">
        <v>31</v>
      </c>
      <c r="H718" s="146"/>
      <c r="I718" s="146"/>
      <c r="J718" s="135">
        <v>5.0</v>
      </c>
      <c r="K718" s="135"/>
      <c r="L718" s="115"/>
      <c r="M718" s="136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9"/>
      <c r="B719" s="142">
        <v>46122.0</v>
      </c>
      <c r="C719" s="141" t="s">
        <v>10</v>
      </c>
      <c r="D719" s="141" t="s">
        <v>17</v>
      </c>
      <c r="E719" s="141" t="s">
        <v>96</v>
      </c>
      <c r="F719" s="141" t="s">
        <v>54</v>
      </c>
      <c r="G719" s="141" t="s">
        <v>54</v>
      </c>
      <c r="H719" s="144"/>
      <c r="I719" s="144"/>
      <c r="J719" s="137">
        <v>1.5</v>
      </c>
      <c r="K719" s="137"/>
      <c r="L719" s="107"/>
      <c r="M719" s="138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9"/>
      <c r="B720" s="124">
        <v>46122.0</v>
      </c>
      <c r="C720" s="115" t="s">
        <v>50</v>
      </c>
      <c r="D720" s="115" t="s">
        <v>56</v>
      </c>
      <c r="E720" s="115" t="s">
        <v>132</v>
      </c>
      <c r="F720" s="115" t="s">
        <v>13</v>
      </c>
      <c r="G720" s="115" t="s">
        <v>13</v>
      </c>
      <c r="H720" s="120"/>
      <c r="I720" s="120"/>
      <c r="J720" s="135">
        <f>(40/60)*8</f>
        <v>5.333333333</v>
      </c>
      <c r="K720" s="135"/>
      <c r="L720" s="115" t="s">
        <v>415</v>
      </c>
      <c r="M720" s="136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9"/>
      <c r="B721" s="142">
        <v>46122.0</v>
      </c>
      <c r="C721" s="141" t="s">
        <v>18</v>
      </c>
      <c r="D721" s="141" t="s">
        <v>116</v>
      </c>
      <c r="E721" s="141" t="s">
        <v>19</v>
      </c>
      <c r="F721" s="141" t="s">
        <v>20</v>
      </c>
      <c r="G721" s="141" t="s">
        <v>22</v>
      </c>
      <c r="H721" s="144"/>
      <c r="I721" s="144"/>
      <c r="J721" s="137">
        <v>5.25</v>
      </c>
      <c r="K721" s="137"/>
      <c r="L721" s="107"/>
      <c r="M721" s="138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9"/>
      <c r="B722" s="145">
        <v>46122.0</v>
      </c>
      <c r="C722" s="140" t="s">
        <v>18</v>
      </c>
      <c r="D722" s="140" t="s">
        <v>102</v>
      </c>
      <c r="E722" s="140" t="s">
        <v>155</v>
      </c>
      <c r="F722" s="140" t="s">
        <v>20</v>
      </c>
      <c r="G722" s="140" t="s">
        <v>22</v>
      </c>
      <c r="H722" s="146"/>
      <c r="I722" s="146"/>
      <c r="J722" s="135">
        <v>2.75</v>
      </c>
      <c r="K722" s="135"/>
      <c r="L722" s="115"/>
      <c r="M722" s="136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9"/>
      <c r="B723" s="142">
        <v>46122.0</v>
      </c>
      <c r="C723" s="141" t="s">
        <v>27</v>
      </c>
      <c r="D723" s="141" t="s">
        <v>114</v>
      </c>
      <c r="E723" s="141" t="s">
        <v>11</v>
      </c>
      <c r="F723" s="141" t="s">
        <v>20</v>
      </c>
      <c r="G723" s="141" t="s">
        <v>30</v>
      </c>
      <c r="H723" s="144"/>
      <c r="I723" s="144"/>
      <c r="J723" s="137">
        <v>2.0</v>
      </c>
      <c r="K723" s="137"/>
      <c r="L723" s="107"/>
      <c r="M723" s="138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9"/>
      <c r="B724" s="145">
        <v>46122.0</v>
      </c>
      <c r="C724" s="140" t="s">
        <v>27</v>
      </c>
      <c r="D724" s="140" t="s">
        <v>56</v>
      </c>
      <c r="E724" s="140" t="s">
        <v>132</v>
      </c>
      <c r="F724" s="158" t="s">
        <v>24</v>
      </c>
      <c r="G724" s="158" t="s">
        <v>25</v>
      </c>
      <c r="H724" s="163"/>
      <c r="I724" s="163"/>
      <c r="J724" s="135">
        <v>5.0</v>
      </c>
      <c r="K724" s="135"/>
      <c r="L724" s="115"/>
      <c r="M724" s="136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9"/>
      <c r="B725" s="142">
        <v>46122.0</v>
      </c>
      <c r="C725" s="141" t="s">
        <v>27</v>
      </c>
      <c r="D725" s="141" t="s">
        <v>37</v>
      </c>
      <c r="E725" s="141" t="s">
        <v>96</v>
      </c>
      <c r="F725" s="141" t="s">
        <v>207</v>
      </c>
      <c r="G725" s="141" t="s">
        <v>54</v>
      </c>
      <c r="H725" s="144"/>
      <c r="I725" s="144"/>
      <c r="J725" s="137">
        <v>1.0</v>
      </c>
      <c r="K725" s="137"/>
      <c r="L725" s="107" t="s">
        <v>416</v>
      </c>
      <c r="M725" s="138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9"/>
      <c r="B726" s="145">
        <v>46122.0</v>
      </c>
      <c r="C726" s="140" t="s">
        <v>33</v>
      </c>
      <c r="D726" s="140" t="s">
        <v>56</v>
      </c>
      <c r="E726" s="140" t="s">
        <v>132</v>
      </c>
      <c r="F726" s="140" t="s">
        <v>20</v>
      </c>
      <c r="G726" s="140" t="s">
        <v>22</v>
      </c>
      <c r="H726" s="146"/>
      <c r="I726" s="146"/>
      <c r="J726" s="135">
        <v>4.0</v>
      </c>
      <c r="K726" s="135"/>
      <c r="L726" s="115"/>
      <c r="M726" s="136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9"/>
      <c r="B727" s="142">
        <v>46122.0</v>
      </c>
      <c r="C727" s="141" t="s">
        <v>33</v>
      </c>
      <c r="D727" s="141" t="s">
        <v>127</v>
      </c>
      <c r="E727" s="141" t="s">
        <v>194</v>
      </c>
      <c r="F727" s="141" t="s">
        <v>20</v>
      </c>
      <c r="G727" s="141" t="s">
        <v>22</v>
      </c>
      <c r="H727" s="144"/>
      <c r="I727" s="144"/>
      <c r="J727" s="137">
        <v>1.0</v>
      </c>
      <c r="K727" s="137"/>
      <c r="L727" s="107" t="s">
        <v>84</v>
      </c>
      <c r="M727" s="138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9"/>
      <c r="B728" s="145">
        <v>46122.0</v>
      </c>
      <c r="C728" s="140" t="s">
        <v>33</v>
      </c>
      <c r="D728" s="140" t="s">
        <v>116</v>
      </c>
      <c r="E728" s="140" t="s">
        <v>19</v>
      </c>
      <c r="F728" s="140" t="s">
        <v>24</v>
      </c>
      <c r="G728" s="140" t="s">
        <v>25</v>
      </c>
      <c r="H728" s="146"/>
      <c r="I728" s="146"/>
      <c r="J728" s="135">
        <v>3.0</v>
      </c>
      <c r="K728" s="135"/>
      <c r="L728" s="115"/>
      <c r="M728" s="136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9"/>
      <c r="B729" s="142">
        <v>46126.0</v>
      </c>
      <c r="C729" s="141" t="s">
        <v>10</v>
      </c>
      <c r="D729" s="141" t="s">
        <v>120</v>
      </c>
      <c r="E729" s="141" t="s">
        <v>56</v>
      </c>
      <c r="F729" s="141" t="s">
        <v>24</v>
      </c>
      <c r="G729" s="141" t="s">
        <v>31</v>
      </c>
      <c r="H729" s="144"/>
      <c r="I729" s="144"/>
      <c r="J729" s="137">
        <v>5.0</v>
      </c>
      <c r="K729" s="137"/>
      <c r="L729" s="107"/>
      <c r="M729" s="138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9"/>
      <c r="B730" s="145">
        <v>46126.0</v>
      </c>
      <c r="C730" s="140" t="s">
        <v>10</v>
      </c>
      <c r="D730" s="140" t="s">
        <v>56</v>
      </c>
      <c r="E730" s="140" t="s">
        <v>132</v>
      </c>
      <c r="F730" s="140" t="s">
        <v>24</v>
      </c>
      <c r="G730" s="140" t="s">
        <v>31</v>
      </c>
      <c r="H730" s="146"/>
      <c r="I730" s="146"/>
      <c r="J730" s="135">
        <v>2.0</v>
      </c>
      <c r="K730" s="135"/>
      <c r="L730" s="115"/>
      <c r="M730" s="136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9"/>
      <c r="B731" s="142">
        <v>46126.0</v>
      </c>
      <c r="C731" s="141" t="s">
        <v>10</v>
      </c>
      <c r="D731" s="141" t="s">
        <v>102</v>
      </c>
      <c r="E731" s="141" t="s">
        <v>155</v>
      </c>
      <c r="F731" s="141" t="s">
        <v>20</v>
      </c>
      <c r="G731" s="141" t="s">
        <v>22</v>
      </c>
      <c r="H731" s="144"/>
      <c r="I731" s="144"/>
      <c r="J731" s="137">
        <v>1.0</v>
      </c>
      <c r="K731" s="137"/>
      <c r="L731" s="107"/>
      <c r="M731" s="138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9"/>
      <c r="B732" s="124">
        <v>46126.0</v>
      </c>
      <c r="C732" s="115" t="s">
        <v>50</v>
      </c>
      <c r="D732" s="115" t="s">
        <v>116</v>
      </c>
      <c r="E732" s="115" t="s">
        <v>39</v>
      </c>
      <c r="F732" s="115" t="s">
        <v>13</v>
      </c>
      <c r="G732" s="115" t="s">
        <v>13</v>
      </c>
      <c r="H732" s="120"/>
      <c r="I732" s="120"/>
      <c r="J732" s="135">
        <f>180/60</f>
        <v>3</v>
      </c>
      <c r="K732" s="135"/>
      <c r="L732" s="115" t="s">
        <v>417</v>
      </c>
      <c r="M732" s="136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9"/>
      <c r="B733" s="142">
        <v>46126.0</v>
      </c>
      <c r="C733" s="141" t="s">
        <v>18</v>
      </c>
      <c r="D733" s="141" t="s">
        <v>102</v>
      </c>
      <c r="E733" s="141" t="s">
        <v>155</v>
      </c>
      <c r="F733" s="141" t="s">
        <v>20</v>
      </c>
      <c r="G733" s="141" t="s">
        <v>22</v>
      </c>
      <c r="H733" s="144"/>
      <c r="I733" s="144"/>
      <c r="J733" s="137">
        <v>1.5</v>
      </c>
      <c r="K733" s="137"/>
      <c r="L733" s="107"/>
      <c r="M733" s="138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9"/>
      <c r="B734" s="145">
        <v>46126.0</v>
      </c>
      <c r="C734" s="140" t="s">
        <v>18</v>
      </c>
      <c r="D734" s="140" t="s">
        <v>9</v>
      </c>
      <c r="E734" s="140" t="s">
        <v>96</v>
      </c>
      <c r="F734" s="140" t="s">
        <v>20</v>
      </c>
      <c r="G734" s="140" t="s">
        <v>30</v>
      </c>
      <c r="H734" s="146"/>
      <c r="I734" s="146"/>
      <c r="J734" s="135">
        <v>6.5</v>
      </c>
      <c r="K734" s="135"/>
      <c r="L734" s="115" t="s">
        <v>418</v>
      </c>
      <c r="M734" s="136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9"/>
      <c r="B735" s="142">
        <v>46126.0</v>
      </c>
      <c r="C735" s="141" t="s">
        <v>27</v>
      </c>
      <c r="D735" s="141" t="s">
        <v>116</v>
      </c>
      <c r="E735" s="141" t="s">
        <v>62</v>
      </c>
      <c r="F735" s="141" t="s">
        <v>20</v>
      </c>
      <c r="G735" s="141" t="s">
        <v>22</v>
      </c>
      <c r="H735" s="144"/>
      <c r="I735" s="144"/>
      <c r="J735" s="137">
        <v>6.0</v>
      </c>
      <c r="K735" s="137"/>
      <c r="L735" s="107"/>
      <c r="M735" s="138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9"/>
      <c r="B736" s="145">
        <v>46126.0</v>
      </c>
      <c r="C736" s="140" t="s">
        <v>27</v>
      </c>
      <c r="D736" s="140" t="s">
        <v>102</v>
      </c>
      <c r="E736" s="140" t="s">
        <v>155</v>
      </c>
      <c r="F736" s="140" t="s">
        <v>20</v>
      </c>
      <c r="G736" s="140" t="s">
        <v>22</v>
      </c>
      <c r="H736" s="146"/>
      <c r="I736" s="146"/>
      <c r="J736" s="135">
        <v>2.0</v>
      </c>
      <c r="K736" s="135"/>
      <c r="L736" s="115" t="s">
        <v>419</v>
      </c>
      <c r="M736" s="136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9"/>
      <c r="B737" s="142">
        <v>46126.0</v>
      </c>
      <c r="C737" s="141" t="s">
        <v>27</v>
      </c>
      <c r="D737" s="141" t="s">
        <v>56</v>
      </c>
      <c r="E737" s="141" t="s">
        <v>132</v>
      </c>
      <c r="F737" s="141" t="s">
        <v>20</v>
      </c>
      <c r="G737" s="141" t="s">
        <v>22</v>
      </c>
      <c r="H737" s="144"/>
      <c r="I737" s="144"/>
      <c r="J737" s="137">
        <v>6.0</v>
      </c>
      <c r="K737" s="137"/>
      <c r="L737" s="107"/>
      <c r="M737" s="138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9"/>
      <c r="B738" s="145">
        <v>46126.0</v>
      </c>
      <c r="C738" s="140" t="s">
        <v>27</v>
      </c>
      <c r="D738" s="140" t="s">
        <v>116</v>
      </c>
      <c r="E738" s="140" t="s">
        <v>19</v>
      </c>
      <c r="F738" s="140" t="s">
        <v>24</v>
      </c>
      <c r="G738" s="140" t="s">
        <v>25</v>
      </c>
      <c r="H738" s="146"/>
      <c r="I738" s="146"/>
      <c r="J738" s="135">
        <v>1.0</v>
      </c>
      <c r="K738" s="135"/>
      <c r="L738" s="115"/>
      <c r="M738" s="136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9"/>
      <c r="B739" s="142">
        <v>46126.0</v>
      </c>
      <c r="C739" s="141" t="s">
        <v>27</v>
      </c>
      <c r="D739" s="141" t="s">
        <v>116</v>
      </c>
      <c r="E739" s="141" t="s">
        <v>62</v>
      </c>
      <c r="F739" s="141" t="s">
        <v>20</v>
      </c>
      <c r="G739" s="141" t="s">
        <v>22</v>
      </c>
      <c r="H739" s="144"/>
      <c r="I739" s="144"/>
      <c r="J739" s="137">
        <v>1.0</v>
      </c>
      <c r="K739" s="137"/>
      <c r="L739" s="107"/>
      <c r="M739" s="138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9"/>
      <c r="B740" s="145">
        <v>46127.0</v>
      </c>
      <c r="C740" s="140" t="s">
        <v>10</v>
      </c>
      <c r="D740" s="140" t="s">
        <v>17</v>
      </c>
      <c r="E740" s="140" t="s">
        <v>96</v>
      </c>
      <c r="F740" s="140" t="s">
        <v>20</v>
      </c>
      <c r="G740" s="108" t="s">
        <v>57</v>
      </c>
      <c r="H740" s="146"/>
      <c r="I740" s="146"/>
      <c r="J740" s="135">
        <v>0.5</v>
      </c>
      <c r="K740" s="135"/>
      <c r="L740" s="115"/>
      <c r="M740" s="136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9"/>
      <c r="B741" s="142">
        <v>46127.0</v>
      </c>
      <c r="C741" s="141" t="s">
        <v>10</v>
      </c>
      <c r="D741" s="141" t="s">
        <v>120</v>
      </c>
      <c r="E741" s="141" t="s">
        <v>56</v>
      </c>
      <c r="F741" s="141" t="s">
        <v>24</v>
      </c>
      <c r="G741" s="141" t="s">
        <v>25</v>
      </c>
      <c r="H741" s="144"/>
      <c r="I741" s="144"/>
      <c r="J741" s="137">
        <v>2.0</v>
      </c>
      <c r="K741" s="137"/>
      <c r="L741" s="107"/>
      <c r="M741" s="138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9"/>
      <c r="B742" s="145">
        <v>46127.0</v>
      </c>
      <c r="C742" s="140" t="s">
        <v>10</v>
      </c>
      <c r="D742" s="140" t="s">
        <v>56</v>
      </c>
      <c r="E742" s="140" t="s">
        <v>132</v>
      </c>
      <c r="F742" s="140" t="s">
        <v>24</v>
      </c>
      <c r="G742" s="140" t="s">
        <v>25</v>
      </c>
      <c r="H742" s="146"/>
      <c r="I742" s="146"/>
      <c r="J742" s="135">
        <v>3.5</v>
      </c>
      <c r="K742" s="135"/>
      <c r="L742" s="115"/>
      <c r="M742" s="136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9"/>
      <c r="B743" s="142">
        <v>46127.0</v>
      </c>
      <c r="C743" s="141" t="s">
        <v>10</v>
      </c>
      <c r="D743" s="141" t="s">
        <v>17</v>
      </c>
      <c r="E743" s="141" t="s">
        <v>96</v>
      </c>
      <c r="F743" s="141" t="s">
        <v>20</v>
      </c>
      <c r="G743" s="141" t="s">
        <v>21</v>
      </c>
      <c r="H743" s="144"/>
      <c r="I743" s="144"/>
      <c r="J743" s="137">
        <v>1.0</v>
      </c>
      <c r="K743" s="137"/>
      <c r="L743" s="107" t="s">
        <v>420</v>
      </c>
      <c r="M743" s="138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9"/>
      <c r="B744" s="145">
        <v>46127.0</v>
      </c>
      <c r="C744" s="140" t="s">
        <v>10</v>
      </c>
      <c r="D744" s="140" t="s">
        <v>17</v>
      </c>
      <c r="E744" s="140" t="s">
        <v>96</v>
      </c>
      <c r="F744" s="140" t="s">
        <v>54</v>
      </c>
      <c r="G744" s="140" t="s">
        <v>54</v>
      </c>
      <c r="H744" s="146"/>
      <c r="I744" s="146"/>
      <c r="J744" s="135">
        <v>1.0</v>
      </c>
      <c r="K744" s="135"/>
      <c r="L744" s="115" t="s">
        <v>421</v>
      </c>
      <c r="M744" s="136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9"/>
      <c r="B745" s="125">
        <v>46127.0</v>
      </c>
      <c r="C745" s="107" t="s">
        <v>50</v>
      </c>
      <c r="D745" s="107" t="s">
        <v>116</v>
      </c>
      <c r="E745" s="107" t="s">
        <v>39</v>
      </c>
      <c r="F745" s="107" t="s">
        <v>13</v>
      </c>
      <c r="G745" s="107" t="s">
        <v>13</v>
      </c>
      <c r="H745" s="123"/>
      <c r="I745" s="123"/>
      <c r="J745" s="137">
        <v>1.0</v>
      </c>
      <c r="K745" s="137"/>
      <c r="L745" s="107" t="s">
        <v>422</v>
      </c>
      <c r="M745" s="138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9"/>
      <c r="B746" s="124">
        <v>46127.0</v>
      </c>
      <c r="C746" s="115" t="s">
        <v>50</v>
      </c>
      <c r="D746" s="115" t="s">
        <v>120</v>
      </c>
      <c r="E746" s="115" t="s">
        <v>56</v>
      </c>
      <c r="F746" s="115" t="s">
        <v>13</v>
      </c>
      <c r="G746" s="115" t="s">
        <v>13</v>
      </c>
      <c r="H746" s="120"/>
      <c r="I746" s="120"/>
      <c r="J746" s="135">
        <v>0.5</v>
      </c>
      <c r="K746" s="135"/>
      <c r="L746" s="115" t="s">
        <v>423</v>
      </c>
      <c r="M746" s="136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9"/>
      <c r="B747" s="142">
        <v>46127.0</v>
      </c>
      <c r="C747" s="141" t="s">
        <v>18</v>
      </c>
      <c r="D747" s="141" t="s">
        <v>102</v>
      </c>
      <c r="E747" s="141" t="s">
        <v>155</v>
      </c>
      <c r="F747" s="141" t="s">
        <v>20</v>
      </c>
      <c r="G747" s="107" t="s">
        <v>35</v>
      </c>
      <c r="H747" s="144"/>
      <c r="I747" s="144"/>
      <c r="J747" s="137">
        <v>1.0</v>
      </c>
      <c r="K747" s="137"/>
      <c r="L747" s="107"/>
      <c r="M747" s="138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9"/>
      <c r="B748" s="145">
        <v>46127.0</v>
      </c>
      <c r="C748" s="140" t="s">
        <v>18</v>
      </c>
      <c r="D748" s="140" t="s">
        <v>116</v>
      </c>
      <c r="E748" s="140" t="s">
        <v>19</v>
      </c>
      <c r="F748" s="140" t="s">
        <v>20</v>
      </c>
      <c r="G748" s="140" t="s">
        <v>22</v>
      </c>
      <c r="H748" s="146"/>
      <c r="I748" s="146"/>
      <c r="J748" s="135">
        <v>1.5</v>
      </c>
      <c r="K748" s="135"/>
      <c r="L748" s="115"/>
      <c r="M748" s="136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9"/>
      <c r="B749" s="142">
        <v>46127.0</v>
      </c>
      <c r="C749" s="141" t="s">
        <v>18</v>
      </c>
      <c r="D749" s="141" t="s">
        <v>116</v>
      </c>
      <c r="E749" s="141" t="s">
        <v>39</v>
      </c>
      <c r="F749" s="141" t="s">
        <v>20</v>
      </c>
      <c r="G749" s="141" t="s">
        <v>22</v>
      </c>
      <c r="H749" s="144"/>
      <c r="I749" s="144"/>
      <c r="J749" s="137">
        <v>3.0</v>
      </c>
      <c r="K749" s="137"/>
      <c r="L749" s="107"/>
      <c r="M749" s="138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9"/>
      <c r="B750" s="145">
        <v>46127.0</v>
      </c>
      <c r="C750" s="140" t="s">
        <v>18</v>
      </c>
      <c r="D750" s="140" t="s">
        <v>116</v>
      </c>
      <c r="E750" s="140" t="s">
        <v>39</v>
      </c>
      <c r="F750" s="140" t="s">
        <v>20</v>
      </c>
      <c r="G750" s="108" t="s">
        <v>47</v>
      </c>
      <c r="H750" s="146"/>
      <c r="I750" s="146"/>
      <c r="J750" s="135">
        <v>2.5</v>
      </c>
      <c r="K750" s="135"/>
      <c r="L750" s="115"/>
      <c r="M750" s="136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9"/>
      <c r="B751" s="142">
        <v>46127.0</v>
      </c>
      <c r="C751" s="141" t="s">
        <v>27</v>
      </c>
      <c r="D751" s="141" t="s">
        <v>102</v>
      </c>
      <c r="E751" s="141" t="s">
        <v>155</v>
      </c>
      <c r="F751" s="141" t="s">
        <v>20</v>
      </c>
      <c r="G751" s="141" t="s">
        <v>22</v>
      </c>
      <c r="H751" s="144"/>
      <c r="I751" s="144"/>
      <c r="J751" s="137">
        <v>1.0</v>
      </c>
      <c r="K751" s="137"/>
      <c r="L751" s="107"/>
      <c r="M751" s="138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9"/>
      <c r="B752" s="145">
        <v>46127.0</v>
      </c>
      <c r="C752" s="140" t="s">
        <v>27</v>
      </c>
      <c r="D752" s="140" t="s">
        <v>102</v>
      </c>
      <c r="E752" s="140" t="s">
        <v>155</v>
      </c>
      <c r="F752" s="140" t="s">
        <v>20</v>
      </c>
      <c r="G752" s="115" t="s">
        <v>35</v>
      </c>
      <c r="H752" s="146"/>
      <c r="I752" s="146"/>
      <c r="J752" s="135">
        <v>0.5</v>
      </c>
      <c r="K752" s="135"/>
      <c r="L752" s="115"/>
      <c r="M752" s="136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9"/>
      <c r="B753" s="142">
        <v>46127.0</v>
      </c>
      <c r="C753" s="141" t="s">
        <v>27</v>
      </c>
      <c r="D753" s="141" t="s">
        <v>116</v>
      </c>
      <c r="E753" s="141" t="s">
        <v>62</v>
      </c>
      <c r="F753" s="141" t="s">
        <v>20</v>
      </c>
      <c r="G753" s="141" t="s">
        <v>22</v>
      </c>
      <c r="H753" s="144"/>
      <c r="I753" s="144"/>
      <c r="J753" s="137">
        <v>3.5</v>
      </c>
      <c r="K753" s="137"/>
      <c r="L753" s="107"/>
      <c r="M753" s="138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9"/>
      <c r="B754" s="145">
        <v>46127.0</v>
      </c>
      <c r="C754" s="140" t="s">
        <v>27</v>
      </c>
      <c r="D754" s="140" t="s">
        <v>17</v>
      </c>
      <c r="E754" s="140" t="s">
        <v>96</v>
      </c>
      <c r="F754" s="140" t="s">
        <v>20</v>
      </c>
      <c r="G754" s="140" t="s">
        <v>60</v>
      </c>
      <c r="H754" s="146"/>
      <c r="I754" s="146"/>
      <c r="J754" s="135">
        <v>1.0</v>
      </c>
      <c r="K754" s="135"/>
      <c r="L754" s="115"/>
      <c r="M754" s="136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9"/>
      <c r="B755" s="142">
        <v>46127.0</v>
      </c>
      <c r="C755" s="141" t="s">
        <v>27</v>
      </c>
      <c r="D755" s="141" t="s">
        <v>116</v>
      </c>
      <c r="E755" s="141" t="s">
        <v>62</v>
      </c>
      <c r="F755" s="141" t="s">
        <v>20</v>
      </c>
      <c r="G755" s="141" t="s">
        <v>22</v>
      </c>
      <c r="H755" s="144"/>
      <c r="I755" s="144"/>
      <c r="J755" s="137">
        <v>2.0</v>
      </c>
      <c r="K755" s="137"/>
      <c r="L755" s="107"/>
      <c r="M755" s="138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9"/>
      <c r="B756" s="145">
        <v>46127.0</v>
      </c>
      <c r="C756" s="140" t="s">
        <v>33</v>
      </c>
      <c r="D756" s="140" t="s">
        <v>116</v>
      </c>
      <c r="E756" s="140" t="s">
        <v>62</v>
      </c>
      <c r="F756" s="140" t="s">
        <v>20</v>
      </c>
      <c r="G756" s="140" t="s">
        <v>22</v>
      </c>
      <c r="H756" s="146"/>
      <c r="I756" s="146"/>
      <c r="J756" s="135">
        <f>1.5+1+1</f>
        <v>3.5</v>
      </c>
      <c r="K756" s="135"/>
      <c r="L756" s="115"/>
      <c r="M756" s="136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9"/>
      <c r="B757" s="142">
        <v>46127.0</v>
      </c>
      <c r="C757" s="141" t="s">
        <v>33</v>
      </c>
      <c r="D757" s="141" t="s">
        <v>102</v>
      </c>
      <c r="E757" s="141" t="s">
        <v>155</v>
      </c>
      <c r="F757" s="141" t="s">
        <v>20</v>
      </c>
      <c r="G757" s="107" t="s">
        <v>35</v>
      </c>
      <c r="H757" s="144"/>
      <c r="I757" s="144"/>
      <c r="J757" s="137">
        <v>0.5</v>
      </c>
      <c r="K757" s="137"/>
      <c r="L757" s="107"/>
      <c r="M757" s="138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9"/>
      <c r="B758" s="145">
        <v>46127.0</v>
      </c>
      <c r="C758" s="140" t="s">
        <v>33</v>
      </c>
      <c r="D758" s="140" t="s">
        <v>116</v>
      </c>
      <c r="E758" s="140" t="s">
        <v>19</v>
      </c>
      <c r="F758" s="140" t="s">
        <v>24</v>
      </c>
      <c r="G758" s="140" t="s">
        <v>25</v>
      </c>
      <c r="H758" s="146"/>
      <c r="I758" s="146"/>
      <c r="J758" s="135">
        <v>4.0</v>
      </c>
      <c r="K758" s="135"/>
      <c r="L758" s="115"/>
      <c r="M758" s="136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9"/>
      <c r="B759" s="125">
        <v>46128.0</v>
      </c>
      <c r="C759" s="107" t="s">
        <v>10</v>
      </c>
      <c r="D759" s="107" t="s">
        <v>56</v>
      </c>
      <c r="E759" s="107" t="s">
        <v>132</v>
      </c>
      <c r="F759" s="107" t="s">
        <v>24</v>
      </c>
      <c r="G759" s="107" t="s">
        <v>31</v>
      </c>
      <c r="H759" s="123"/>
      <c r="I759" s="123"/>
      <c r="J759" s="137">
        <v>3.5</v>
      </c>
      <c r="K759" s="137"/>
      <c r="L759" s="107"/>
      <c r="M759" s="138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9"/>
      <c r="B760" s="124">
        <v>46128.0</v>
      </c>
      <c r="C760" s="115" t="s">
        <v>10</v>
      </c>
      <c r="D760" s="115" t="s">
        <v>120</v>
      </c>
      <c r="E760" s="115" t="s">
        <v>56</v>
      </c>
      <c r="F760" s="115" t="s">
        <v>24</v>
      </c>
      <c r="G760" s="115" t="s">
        <v>31</v>
      </c>
      <c r="H760" s="120"/>
      <c r="I760" s="120"/>
      <c r="J760" s="135">
        <v>2.5</v>
      </c>
      <c r="K760" s="135"/>
      <c r="L760" s="115"/>
      <c r="M760" s="136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9"/>
      <c r="B761" s="125">
        <v>46128.0</v>
      </c>
      <c r="C761" s="107" t="s">
        <v>10</v>
      </c>
      <c r="D761" s="107" t="s">
        <v>116</v>
      </c>
      <c r="E761" s="107" t="s">
        <v>39</v>
      </c>
      <c r="F761" s="107" t="s">
        <v>24</v>
      </c>
      <c r="G761" s="107" t="s">
        <v>31</v>
      </c>
      <c r="H761" s="123"/>
      <c r="I761" s="123"/>
      <c r="J761" s="137">
        <v>1.0</v>
      </c>
      <c r="K761" s="137"/>
      <c r="L761" s="107" t="s">
        <v>206</v>
      </c>
      <c r="M761" s="138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9"/>
      <c r="B762" s="124">
        <v>46128.0</v>
      </c>
      <c r="C762" s="115" t="s">
        <v>10</v>
      </c>
      <c r="D762" s="115" t="s">
        <v>116</v>
      </c>
      <c r="E762" s="115" t="s">
        <v>19</v>
      </c>
      <c r="F762" s="115" t="s">
        <v>24</v>
      </c>
      <c r="G762" s="115" t="s">
        <v>31</v>
      </c>
      <c r="H762" s="120"/>
      <c r="I762" s="120"/>
      <c r="J762" s="135">
        <v>1.0</v>
      </c>
      <c r="K762" s="135"/>
      <c r="L762" s="115" t="s">
        <v>206</v>
      </c>
      <c r="M762" s="136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9"/>
      <c r="B763" s="125">
        <v>46128.0</v>
      </c>
      <c r="C763" s="107" t="s">
        <v>50</v>
      </c>
      <c r="D763" s="107" t="s">
        <v>120</v>
      </c>
      <c r="E763" s="107" t="s">
        <v>56</v>
      </c>
      <c r="F763" s="107" t="s">
        <v>13</v>
      </c>
      <c r="G763" s="107" t="s">
        <v>13</v>
      </c>
      <c r="H763" s="123"/>
      <c r="I763" s="123"/>
      <c r="J763" s="137">
        <v>0.75</v>
      </c>
      <c r="K763" s="137"/>
      <c r="L763" s="107" t="s">
        <v>423</v>
      </c>
      <c r="M763" s="138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9"/>
      <c r="B764" s="124">
        <v>46128.0</v>
      </c>
      <c r="C764" s="115" t="s">
        <v>50</v>
      </c>
      <c r="D764" s="115" t="s">
        <v>123</v>
      </c>
      <c r="E764" s="115" t="s">
        <v>11</v>
      </c>
      <c r="F764" s="115" t="s">
        <v>13</v>
      </c>
      <c r="G764" s="115" t="s">
        <v>13</v>
      </c>
      <c r="H764" s="120"/>
      <c r="I764" s="120"/>
      <c r="J764" s="164">
        <f t="shared" ref="J764:J765" si="2">(0.75*0.25)*3</f>
        <v>0.5625</v>
      </c>
      <c r="K764" s="135"/>
      <c r="L764" s="115" t="s">
        <v>424</v>
      </c>
      <c r="M764" s="136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9"/>
      <c r="B765" s="125">
        <v>46128.0</v>
      </c>
      <c r="C765" s="107" t="s">
        <v>50</v>
      </c>
      <c r="D765" s="107" t="s">
        <v>123</v>
      </c>
      <c r="E765" s="107" t="s">
        <v>28</v>
      </c>
      <c r="F765" s="107" t="s">
        <v>13</v>
      </c>
      <c r="G765" s="107" t="s">
        <v>13</v>
      </c>
      <c r="H765" s="123"/>
      <c r="I765" s="123"/>
      <c r="J765" s="165">
        <f t="shared" si="2"/>
        <v>0.5625</v>
      </c>
      <c r="K765" s="137"/>
      <c r="L765" s="107" t="s">
        <v>424</v>
      </c>
      <c r="M765" s="138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9"/>
      <c r="B766" s="124">
        <v>46128.0</v>
      </c>
      <c r="C766" s="115" t="s">
        <v>50</v>
      </c>
      <c r="D766" s="115" t="s">
        <v>123</v>
      </c>
      <c r="E766" s="115" t="s">
        <v>19</v>
      </c>
      <c r="F766" s="115" t="s">
        <v>13</v>
      </c>
      <c r="G766" s="115" t="s">
        <v>13</v>
      </c>
      <c r="H766" s="120"/>
      <c r="I766" s="120"/>
      <c r="J766" s="164">
        <f>(0.75*0.5)*3</f>
        <v>1.125</v>
      </c>
      <c r="K766" s="135"/>
      <c r="L766" s="115" t="s">
        <v>424</v>
      </c>
      <c r="M766" s="136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9"/>
      <c r="B767" s="125">
        <v>46128.0</v>
      </c>
      <c r="C767" s="107" t="s">
        <v>27</v>
      </c>
      <c r="D767" s="107" t="s">
        <v>116</v>
      </c>
      <c r="E767" s="107" t="s">
        <v>62</v>
      </c>
      <c r="F767" s="107" t="s">
        <v>20</v>
      </c>
      <c r="G767" s="107" t="s">
        <v>22</v>
      </c>
      <c r="H767" s="123"/>
      <c r="I767" s="123"/>
      <c r="J767" s="137">
        <v>3.0</v>
      </c>
      <c r="K767" s="137"/>
      <c r="L767" s="107"/>
      <c r="M767" s="138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9"/>
      <c r="B768" s="124">
        <v>46128.0</v>
      </c>
      <c r="C768" s="115" t="s">
        <v>27</v>
      </c>
      <c r="D768" s="115" t="s">
        <v>17</v>
      </c>
      <c r="E768" s="115" t="s">
        <v>96</v>
      </c>
      <c r="F768" s="115" t="s">
        <v>54</v>
      </c>
      <c r="G768" s="115" t="s">
        <v>54</v>
      </c>
      <c r="H768" s="120"/>
      <c r="I768" s="120"/>
      <c r="J768" s="135">
        <v>5.0</v>
      </c>
      <c r="K768" s="135"/>
      <c r="L768" s="115"/>
      <c r="M768" s="136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9"/>
      <c r="B769" s="125">
        <v>46128.0</v>
      </c>
      <c r="C769" s="107" t="s">
        <v>33</v>
      </c>
      <c r="D769" s="107" t="s">
        <v>127</v>
      </c>
      <c r="E769" s="107" t="s">
        <v>194</v>
      </c>
      <c r="F769" s="107" t="s">
        <v>20</v>
      </c>
      <c r="G769" s="107" t="s">
        <v>22</v>
      </c>
      <c r="H769" s="123"/>
      <c r="I769" s="123"/>
      <c r="J769" s="166">
        <v>1.0</v>
      </c>
      <c r="K769" s="137"/>
      <c r="L769" s="107" t="s">
        <v>84</v>
      </c>
      <c r="M769" s="138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9"/>
      <c r="B770" s="124">
        <v>46128.0</v>
      </c>
      <c r="C770" s="115" t="s">
        <v>33</v>
      </c>
      <c r="D770" s="115" t="s">
        <v>116</v>
      </c>
      <c r="E770" s="115" t="s">
        <v>19</v>
      </c>
      <c r="F770" s="115" t="s">
        <v>24</v>
      </c>
      <c r="G770" s="115" t="s">
        <v>25</v>
      </c>
      <c r="H770" s="120"/>
      <c r="I770" s="120"/>
      <c r="J770" s="167">
        <v>0.5</v>
      </c>
      <c r="K770" s="135"/>
      <c r="L770" s="115"/>
      <c r="M770" s="136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9"/>
      <c r="B771" s="125">
        <v>46128.0</v>
      </c>
      <c r="C771" s="107" t="s">
        <v>33</v>
      </c>
      <c r="D771" s="107" t="s">
        <v>116</v>
      </c>
      <c r="E771" s="107" t="s">
        <v>62</v>
      </c>
      <c r="F771" s="107" t="s">
        <v>20</v>
      </c>
      <c r="G771" s="107" t="s">
        <v>22</v>
      </c>
      <c r="H771" s="123"/>
      <c r="I771" s="123"/>
      <c r="J771" s="166">
        <v>6.5</v>
      </c>
      <c r="K771" s="137"/>
      <c r="L771" s="107"/>
      <c r="M771" s="138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9"/>
      <c r="B772" s="124">
        <v>46128.0</v>
      </c>
      <c r="C772" s="115" t="s">
        <v>18</v>
      </c>
      <c r="D772" s="115" t="s">
        <v>116</v>
      </c>
      <c r="E772" s="115" t="s">
        <v>19</v>
      </c>
      <c r="F772" s="115" t="s">
        <v>20</v>
      </c>
      <c r="G772" s="115" t="s">
        <v>22</v>
      </c>
      <c r="H772" s="120"/>
      <c r="I772" s="120"/>
      <c r="J772" s="167">
        <v>3.0</v>
      </c>
      <c r="K772" s="135"/>
      <c r="L772" s="115"/>
      <c r="M772" s="136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9"/>
      <c r="B773" s="125">
        <v>46128.0</v>
      </c>
      <c r="C773" s="107" t="s">
        <v>18</v>
      </c>
      <c r="D773" s="107" t="s">
        <v>116</v>
      </c>
      <c r="E773" s="107" t="s">
        <v>11</v>
      </c>
      <c r="F773" s="107" t="s">
        <v>20</v>
      </c>
      <c r="G773" s="107" t="s">
        <v>22</v>
      </c>
      <c r="H773" s="123"/>
      <c r="I773" s="123"/>
      <c r="J773" s="166">
        <v>4.0</v>
      </c>
      <c r="K773" s="137"/>
      <c r="L773" s="107"/>
      <c r="M773" s="138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9"/>
      <c r="B774" s="124">
        <v>46128.0</v>
      </c>
      <c r="C774" s="115" t="s">
        <v>50</v>
      </c>
      <c r="D774" s="115" t="s">
        <v>120</v>
      </c>
      <c r="E774" s="115" t="s">
        <v>56</v>
      </c>
      <c r="F774" s="115" t="s">
        <v>13</v>
      </c>
      <c r="G774" s="115" t="s">
        <v>13</v>
      </c>
      <c r="H774" s="120"/>
      <c r="I774" s="120"/>
      <c r="J774" s="167">
        <v>0.75</v>
      </c>
      <c r="K774" s="135"/>
      <c r="L774" s="115" t="s">
        <v>425</v>
      </c>
      <c r="M774" s="136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9"/>
      <c r="B775" s="125">
        <v>46129.0</v>
      </c>
      <c r="C775" s="107" t="s">
        <v>38</v>
      </c>
      <c r="D775" s="107" t="s">
        <v>123</v>
      </c>
      <c r="E775" s="107" t="s">
        <v>11</v>
      </c>
      <c r="F775" s="107" t="s">
        <v>13</v>
      </c>
      <c r="G775" s="107" t="s">
        <v>13</v>
      </c>
      <c r="H775" s="123"/>
      <c r="I775" s="123"/>
      <c r="J775" s="166">
        <f t="shared" ref="J775:J776" si="3">(0.75*0.25)*1.5</f>
        <v>0.28125</v>
      </c>
      <c r="K775" s="137"/>
      <c r="L775" s="107" t="s">
        <v>426</v>
      </c>
      <c r="M775" s="138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9"/>
      <c r="B776" s="124">
        <v>46129.0</v>
      </c>
      <c r="C776" s="115" t="s">
        <v>38</v>
      </c>
      <c r="D776" s="115" t="s">
        <v>123</v>
      </c>
      <c r="E776" s="115" t="s">
        <v>28</v>
      </c>
      <c r="F776" s="115" t="s">
        <v>13</v>
      </c>
      <c r="G776" s="115" t="s">
        <v>13</v>
      </c>
      <c r="H776" s="120"/>
      <c r="I776" s="120"/>
      <c r="J776" s="167">
        <f t="shared" si="3"/>
        <v>0.28125</v>
      </c>
      <c r="K776" s="135"/>
      <c r="L776" s="115" t="s">
        <v>426</v>
      </c>
      <c r="M776" s="136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9"/>
      <c r="B777" s="125">
        <v>46129.0</v>
      </c>
      <c r="C777" s="107" t="s">
        <v>38</v>
      </c>
      <c r="D777" s="107" t="s">
        <v>123</v>
      </c>
      <c r="E777" s="107" t="s">
        <v>19</v>
      </c>
      <c r="F777" s="107" t="s">
        <v>13</v>
      </c>
      <c r="G777" s="107" t="s">
        <v>13</v>
      </c>
      <c r="H777" s="123"/>
      <c r="I777" s="123"/>
      <c r="J777" s="166">
        <f>(0.75*0.5)*1.5</f>
        <v>0.5625</v>
      </c>
      <c r="K777" s="137"/>
      <c r="L777" s="107" t="s">
        <v>426</v>
      </c>
      <c r="M777" s="138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9"/>
      <c r="B778" s="124">
        <v>46129.0</v>
      </c>
      <c r="C778" s="115" t="s">
        <v>27</v>
      </c>
      <c r="D778" s="115" t="s">
        <v>17</v>
      </c>
      <c r="E778" s="115" t="s">
        <v>96</v>
      </c>
      <c r="F778" s="115" t="s">
        <v>54</v>
      </c>
      <c r="G778" s="115" t="s">
        <v>54</v>
      </c>
      <c r="H778" s="120"/>
      <c r="I778" s="120"/>
      <c r="J778" s="167">
        <v>8.0</v>
      </c>
      <c r="K778" s="135"/>
      <c r="L778" s="115" t="s">
        <v>427</v>
      </c>
      <c r="M778" s="136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9"/>
      <c r="B779" s="125">
        <v>46129.0</v>
      </c>
      <c r="C779" s="107" t="s">
        <v>10</v>
      </c>
      <c r="D779" s="107" t="s">
        <v>120</v>
      </c>
      <c r="E779" s="107" t="s">
        <v>56</v>
      </c>
      <c r="F779" s="107" t="s">
        <v>24</v>
      </c>
      <c r="G779" s="107" t="s">
        <v>25</v>
      </c>
      <c r="H779" s="123"/>
      <c r="I779" s="123"/>
      <c r="J779" s="168">
        <v>4.0</v>
      </c>
      <c r="K779" s="137"/>
      <c r="L779" s="107"/>
      <c r="M779" s="138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9"/>
      <c r="B780" s="124">
        <v>46129.0</v>
      </c>
      <c r="C780" s="115" t="s">
        <v>10</v>
      </c>
      <c r="D780" s="115" t="s">
        <v>17</v>
      </c>
      <c r="E780" s="115" t="s">
        <v>96</v>
      </c>
      <c r="F780" s="115" t="s">
        <v>54</v>
      </c>
      <c r="G780" s="115" t="s">
        <v>70</v>
      </c>
      <c r="H780" s="120"/>
      <c r="I780" s="120"/>
      <c r="J780" s="169">
        <v>0.5</v>
      </c>
      <c r="K780" s="135"/>
      <c r="L780" s="115" t="s">
        <v>70</v>
      </c>
      <c r="M780" s="136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9"/>
      <c r="B781" s="125">
        <v>46129.0</v>
      </c>
      <c r="C781" s="107" t="s">
        <v>10</v>
      </c>
      <c r="D781" s="107" t="s">
        <v>120</v>
      </c>
      <c r="E781" s="107" t="s">
        <v>56</v>
      </c>
      <c r="F781" s="107" t="s">
        <v>24</v>
      </c>
      <c r="G781" s="107" t="s">
        <v>31</v>
      </c>
      <c r="H781" s="123"/>
      <c r="I781" s="123"/>
      <c r="J781" s="168">
        <v>1.5</v>
      </c>
      <c r="K781" s="137"/>
      <c r="L781" s="107"/>
      <c r="M781" s="138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9"/>
      <c r="B782" s="124">
        <v>46129.0</v>
      </c>
      <c r="C782" s="115" t="s">
        <v>10</v>
      </c>
      <c r="D782" s="115" t="s">
        <v>120</v>
      </c>
      <c r="E782" s="115" t="s">
        <v>56</v>
      </c>
      <c r="F782" s="115" t="s">
        <v>20</v>
      </c>
      <c r="G782" s="115" t="s">
        <v>22</v>
      </c>
      <c r="H782" s="120"/>
      <c r="I782" s="120"/>
      <c r="J782" s="169">
        <v>0.5</v>
      </c>
      <c r="K782" s="135"/>
      <c r="L782" s="115" t="s">
        <v>428</v>
      </c>
      <c r="M782" s="136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9"/>
      <c r="B783" s="125">
        <v>46129.0</v>
      </c>
      <c r="C783" s="107" t="s">
        <v>10</v>
      </c>
      <c r="D783" s="107" t="s">
        <v>56</v>
      </c>
      <c r="E783" s="107" t="s">
        <v>132</v>
      </c>
      <c r="F783" s="107" t="s">
        <v>20</v>
      </c>
      <c r="G783" s="107" t="s">
        <v>22</v>
      </c>
      <c r="H783" s="123"/>
      <c r="I783" s="123"/>
      <c r="J783" s="168">
        <v>1.5</v>
      </c>
      <c r="K783" s="137"/>
      <c r="L783" s="107"/>
      <c r="M783" s="138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9"/>
      <c r="B784" s="124">
        <v>46132.0</v>
      </c>
      <c r="C784" s="115" t="s">
        <v>18</v>
      </c>
      <c r="D784" s="115" t="s">
        <v>17</v>
      </c>
      <c r="E784" s="115" t="s">
        <v>96</v>
      </c>
      <c r="F784" s="115" t="s">
        <v>54</v>
      </c>
      <c r="G784" s="115" t="s">
        <v>73</v>
      </c>
      <c r="H784" s="120"/>
      <c r="I784" s="120"/>
      <c r="J784" s="169">
        <f>20/60</f>
        <v>0.3333333333</v>
      </c>
      <c r="K784" s="135"/>
      <c r="L784" s="115" t="s">
        <v>429</v>
      </c>
      <c r="M784" s="136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9"/>
      <c r="B785" s="125">
        <v>46132.0</v>
      </c>
      <c r="C785" s="107" t="s">
        <v>18</v>
      </c>
      <c r="D785" s="107" t="s">
        <v>123</v>
      </c>
      <c r="E785" s="107" t="s">
        <v>11</v>
      </c>
      <c r="F785" s="107" t="s">
        <v>20</v>
      </c>
      <c r="G785" s="107" t="s">
        <v>22</v>
      </c>
      <c r="H785" s="123"/>
      <c r="I785" s="123"/>
      <c r="J785" s="168">
        <v>3.0</v>
      </c>
      <c r="K785" s="137"/>
      <c r="L785" s="107"/>
      <c r="M785" s="138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9"/>
      <c r="B786" s="124">
        <v>46132.0</v>
      </c>
      <c r="C786" s="115" t="s">
        <v>18</v>
      </c>
      <c r="D786" s="115" t="s">
        <v>123</v>
      </c>
      <c r="E786" s="115" t="s">
        <v>28</v>
      </c>
      <c r="F786" s="115" t="s">
        <v>20</v>
      </c>
      <c r="G786" s="115" t="s">
        <v>22</v>
      </c>
      <c r="H786" s="120"/>
      <c r="I786" s="120"/>
      <c r="J786" s="169">
        <v>4.67</v>
      </c>
      <c r="K786" s="135"/>
      <c r="L786" s="115"/>
      <c r="M786" s="136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9"/>
      <c r="B787" s="125">
        <v>46132.0</v>
      </c>
      <c r="C787" s="107" t="s">
        <v>10</v>
      </c>
      <c r="D787" s="107" t="s">
        <v>120</v>
      </c>
      <c r="E787" s="107" t="s">
        <v>56</v>
      </c>
      <c r="F787" s="107" t="s">
        <v>24</v>
      </c>
      <c r="G787" s="107" t="s">
        <v>25</v>
      </c>
      <c r="H787" s="123"/>
      <c r="I787" s="123"/>
      <c r="J787" s="168">
        <v>4.0</v>
      </c>
      <c r="K787" s="137"/>
      <c r="L787" s="107"/>
      <c r="M787" s="138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9"/>
      <c r="B788" s="124">
        <v>46132.0</v>
      </c>
      <c r="C788" s="115" t="s">
        <v>10</v>
      </c>
      <c r="D788" s="115" t="s">
        <v>120</v>
      </c>
      <c r="E788" s="115" t="s">
        <v>56</v>
      </c>
      <c r="F788" s="115" t="s">
        <v>24</v>
      </c>
      <c r="G788" s="115" t="s">
        <v>31</v>
      </c>
      <c r="H788" s="120"/>
      <c r="I788" s="120"/>
      <c r="J788" s="169">
        <v>4.0</v>
      </c>
      <c r="K788" s="135"/>
      <c r="L788" s="115"/>
      <c r="M788" s="136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9"/>
      <c r="B789" s="125">
        <v>46132.0</v>
      </c>
      <c r="C789" s="107" t="s">
        <v>27</v>
      </c>
      <c r="D789" s="107" t="s">
        <v>120</v>
      </c>
      <c r="E789" s="107" t="s">
        <v>56</v>
      </c>
      <c r="F789" s="107" t="s">
        <v>24</v>
      </c>
      <c r="G789" s="107" t="s">
        <v>25</v>
      </c>
      <c r="H789" s="123"/>
      <c r="I789" s="123"/>
      <c r="J789" s="168">
        <f>2</f>
        <v>2</v>
      </c>
      <c r="K789" s="137"/>
      <c r="L789" s="107"/>
      <c r="M789" s="138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9"/>
      <c r="B790" s="124">
        <v>46132.0</v>
      </c>
      <c r="C790" s="115" t="s">
        <v>27</v>
      </c>
      <c r="D790" s="115" t="s">
        <v>17</v>
      </c>
      <c r="E790" s="115" t="s">
        <v>96</v>
      </c>
      <c r="F790" s="115" t="s">
        <v>54</v>
      </c>
      <c r="G790" s="115" t="s">
        <v>54</v>
      </c>
      <c r="H790" s="120"/>
      <c r="I790" s="120"/>
      <c r="J790" s="169">
        <v>6.0</v>
      </c>
      <c r="K790" s="135"/>
      <c r="L790" s="115" t="s">
        <v>427</v>
      </c>
      <c r="M790" s="136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9"/>
      <c r="B791" s="125">
        <v>46133.0</v>
      </c>
      <c r="C791" s="107" t="s">
        <v>18</v>
      </c>
      <c r="D791" s="107" t="s">
        <v>123</v>
      </c>
      <c r="E791" s="107" t="s">
        <v>28</v>
      </c>
      <c r="F791" s="107" t="s">
        <v>20</v>
      </c>
      <c r="G791" s="107" t="s">
        <v>22</v>
      </c>
      <c r="H791" s="123"/>
      <c r="I791" s="123"/>
      <c r="J791" s="168">
        <v>0.5</v>
      </c>
      <c r="K791" s="137"/>
      <c r="L791" s="107"/>
      <c r="M791" s="138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9"/>
      <c r="B792" s="124">
        <v>46133.0</v>
      </c>
      <c r="C792" s="115" t="s">
        <v>18</v>
      </c>
      <c r="D792" s="115" t="s">
        <v>123</v>
      </c>
      <c r="E792" s="115" t="s">
        <v>19</v>
      </c>
      <c r="F792" s="115" t="s">
        <v>20</v>
      </c>
      <c r="G792" s="115" t="s">
        <v>22</v>
      </c>
      <c r="H792" s="120"/>
      <c r="I792" s="120"/>
      <c r="J792" s="169">
        <v>6.0</v>
      </c>
      <c r="K792" s="135"/>
      <c r="L792" s="115"/>
      <c r="M792" s="136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9"/>
      <c r="B793" s="125">
        <v>46133.0</v>
      </c>
      <c r="C793" s="107" t="s">
        <v>18</v>
      </c>
      <c r="D793" s="107" t="s">
        <v>17</v>
      </c>
      <c r="E793" s="107" t="s">
        <v>96</v>
      </c>
      <c r="F793" s="107" t="s">
        <v>54</v>
      </c>
      <c r="G793" s="107" t="s">
        <v>54</v>
      </c>
      <c r="H793" s="123"/>
      <c r="I793" s="123"/>
      <c r="J793" s="168">
        <v>1.5</v>
      </c>
      <c r="K793" s="137"/>
      <c r="L793" s="107" t="s">
        <v>430</v>
      </c>
      <c r="M793" s="138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9"/>
      <c r="B794" s="124">
        <v>46133.0</v>
      </c>
      <c r="C794" s="115" t="s">
        <v>33</v>
      </c>
      <c r="D794" s="115" t="s">
        <v>123</v>
      </c>
      <c r="E794" s="115" t="s">
        <v>28</v>
      </c>
      <c r="F794" s="115" t="s">
        <v>24</v>
      </c>
      <c r="G794" s="115" t="s">
        <v>25</v>
      </c>
      <c r="H794" s="120"/>
      <c r="I794" s="120"/>
      <c r="J794" s="169">
        <v>3.5</v>
      </c>
      <c r="K794" s="135"/>
      <c r="L794" s="115"/>
      <c r="M794" s="136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9"/>
      <c r="B795" s="125">
        <v>46133.0</v>
      </c>
      <c r="C795" s="107" t="s">
        <v>33</v>
      </c>
      <c r="D795" s="107" t="s">
        <v>123</v>
      </c>
      <c r="E795" s="107" t="s">
        <v>11</v>
      </c>
      <c r="F795" s="107" t="s">
        <v>24</v>
      </c>
      <c r="G795" s="107" t="s">
        <v>25</v>
      </c>
      <c r="H795" s="123"/>
      <c r="I795" s="123"/>
      <c r="J795" s="168">
        <v>2.5</v>
      </c>
      <c r="K795" s="137"/>
      <c r="L795" s="107"/>
      <c r="M795" s="138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9"/>
      <c r="B796" s="124">
        <v>46133.0</v>
      </c>
      <c r="C796" s="115" t="s">
        <v>33</v>
      </c>
      <c r="D796" s="115" t="s">
        <v>116</v>
      </c>
      <c r="E796" s="115" t="s">
        <v>19</v>
      </c>
      <c r="F796" s="115" t="s">
        <v>24</v>
      </c>
      <c r="G796" s="115" t="s">
        <v>25</v>
      </c>
      <c r="H796" s="120"/>
      <c r="I796" s="120"/>
      <c r="J796" s="169">
        <v>2.0</v>
      </c>
      <c r="K796" s="135"/>
      <c r="L796" s="115" t="s">
        <v>431</v>
      </c>
      <c r="M796" s="136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9"/>
      <c r="B797" s="125">
        <v>46133.0</v>
      </c>
      <c r="C797" s="107" t="s">
        <v>27</v>
      </c>
      <c r="D797" s="107" t="s">
        <v>17</v>
      </c>
      <c r="E797" s="107" t="s">
        <v>96</v>
      </c>
      <c r="F797" s="107" t="s">
        <v>54</v>
      </c>
      <c r="G797" s="107" t="s">
        <v>54</v>
      </c>
      <c r="H797" s="123"/>
      <c r="I797" s="123"/>
      <c r="J797" s="168">
        <v>2.0</v>
      </c>
      <c r="K797" s="137"/>
      <c r="L797" s="107" t="s">
        <v>427</v>
      </c>
      <c r="M797" s="138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9"/>
      <c r="B798" s="124">
        <v>46133.0</v>
      </c>
      <c r="C798" s="115" t="s">
        <v>27</v>
      </c>
      <c r="D798" s="115" t="s">
        <v>116</v>
      </c>
      <c r="E798" s="115" t="s">
        <v>62</v>
      </c>
      <c r="F798" s="115" t="s">
        <v>20</v>
      </c>
      <c r="G798" s="115" t="s">
        <v>22</v>
      </c>
      <c r="H798" s="120"/>
      <c r="I798" s="120"/>
      <c r="J798" s="169">
        <v>6.0</v>
      </c>
      <c r="K798" s="135"/>
      <c r="L798" s="115"/>
      <c r="M798" s="136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9"/>
      <c r="B799" s="125">
        <v>46133.0</v>
      </c>
      <c r="C799" s="107" t="s">
        <v>10</v>
      </c>
      <c r="D799" s="107" t="s">
        <v>120</v>
      </c>
      <c r="E799" s="107" t="s">
        <v>56</v>
      </c>
      <c r="F799" s="107" t="s">
        <v>20</v>
      </c>
      <c r="G799" s="107" t="s">
        <v>22</v>
      </c>
      <c r="H799" s="123"/>
      <c r="I799" s="123"/>
      <c r="J799" s="168">
        <v>3.5</v>
      </c>
      <c r="K799" s="137"/>
      <c r="L799" s="107"/>
      <c r="M799" s="138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9"/>
      <c r="B800" s="124">
        <v>46133.0</v>
      </c>
      <c r="C800" s="115" t="s">
        <v>10</v>
      </c>
      <c r="D800" s="115" t="s">
        <v>120</v>
      </c>
      <c r="E800" s="115" t="s">
        <v>56</v>
      </c>
      <c r="F800" s="115" t="s">
        <v>24</v>
      </c>
      <c r="G800" s="115" t="s">
        <v>31</v>
      </c>
      <c r="H800" s="120"/>
      <c r="I800" s="120"/>
      <c r="J800" s="169">
        <v>1.5</v>
      </c>
      <c r="K800" s="135"/>
      <c r="L800" s="115"/>
      <c r="M800" s="136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9"/>
      <c r="B801" s="125">
        <v>46133.0</v>
      </c>
      <c r="C801" s="107" t="s">
        <v>10</v>
      </c>
      <c r="D801" s="107" t="s">
        <v>56</v>
      </c>
      <c r="E801" s="107" t="s">
        <v>132</v>
      </c>
      <c r="F801" s="107" t="s">
        <v>20</v>
      </c>
      <c r="G801" s="107" t="s">
        <v>22</v>
      </c>
      <c r="H801" s="123"/>
      <c r="I801" s="123"/>
      <c r="J801" s="168">
        <v>3.0</v>
      </c>
      <c r="K801" s="137"/>
      <c r="L801" s="107"/>
      <c r="M801" s="138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9"/>
      <c r="B802" s="124">
        <v>46133.0</v>
      </c>
      <c r="C802" s="115" t="s">
        <v>50</v>
      </c>
      <c r="D802" s="115" t="s">
        <v>120</v>
      </c>
      <c r="E802" s="115" t="s">
        <v>56</v>
      </c>
      <c r="F802" s="115" t="s">
        <v>13</v>
      </c>
      <c r="G802" s="115" t="s">
        <v>13</v>
      </c>
      <c r="H802" s="120"/>
      <c r="I802" s="120"/>
      <c r="J802" s="169">
        <f>17/60</f>
        <v>0.2833333333</v>
      </c>
      <c r="K802" s="135"/>
      <c r="L802" s="115" t="s">
        <v>432</v>
      </c>
      <c r="M802" s="136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9"/>
      <c r="B803" s="125">
        <v>46133.0</v>
      </c>
      <c r="C803" s="107" t="s">
        <v>50</v>
      </c>
      <c r="D803" s="107" t="s">
        <v>120</v>
      </c>
      <c r="E803" s="107" t="s">
        <v>56</v>
      </c>
      <c r="F803" s="107" t="s">
        <v>13</v>
      </c>
      <c r="G803" s="107" t="s">
        <v>13</v>
      </c>
      <c r="H803" s="123"/>
      <c r="I803" s="123"/>
      <c r="J803" s="137">
        <f>20/60</f>
        <v>0.3333333333</v>
      </c>
      <c r="K803" s="137"/>
      <c r="L803" s="107" t="s">
        <v>433</v>
      </c>
      <c r="M803" s="138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9"/>
      <c r="B804" s="124">
        <v>46133.0</v>
      </c>
      <c r="C804" s="115" t="s">
        <v>50</v>
      </c>
      <c r="D804" s="115" t="s">
        <v>123</v>
      </c>
      <c r="E804" s="115" t="s">
        <v>39</v>
      </c>
      <c r="F804" s="115" t="s">
        <v>13</v>
      </c>
      <c r="G804" s="115" t="s">
        <v>13</v>
      </c>
      <c r="H804" s="120"/>
      <c r="I804" s="120"/>
      <c r="J804" s="135">
        <f>140/60</f>
        <v>2.333333333</v>
      </c>
      <c r="K804" s="135"/>
      <c r="L804" s="115" t="s">
        <v>434</v>
      </c>
      <c r="M804" s="136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9"/>
      <c r="B805" s="125">
        <v>46134.0</v>
      </c>
      <c r="C805" s="107" t="s">
        <v>50</v>
      </c>
      <c r="D805" s="107" t="s">
        <v>123</v>
      </c>
      <c r="E805" s="107" t="s">
        <v>39</v>
      </c>
      <c r="F805" s="107" t="s">
        <v>13</v>
      </c>
      <c r="G805" s="107" t="s">
        <v>13</v>
      </c>
      <c r="H805" s="123"/>
      <c r="I805" s="123"/>
      <c r="J805" s="137">
        <v>1.5</v>
      </c>
      <c r="K805" s="137"/>
      <c r="L805" s="107" t="s">
        <v>435</v>
      </c>
      <c r="M805" s="138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9"/>
      <c r="B806" s="124">
        <v>46134.0</v>
      </c>
      <c r="C806" s="115" t="s">
        <v>50</v>
      </c>
      <c r="D806" s="115" t="s">
        <v>131</v>
      </c>
      <c r="E806" s="115" t="s">
        <v>11</v>
      </c>
      <c r="F806" s="115" t="s">
        <v>13</v>
      </c>
      <c r="G806" s="115" t="s">
        <v>13</v>
      </c>
      <c r="H806" s="120"/>
      <c r="I806" s="120"/>
      <c r="J806" s="135">
        <v>1.5</v>
      </c>
      <c r="K806" s="135"/>
      <c r="L806" s="115" t="s">
        <v>436</v>
      </c>
      <c r="M806" s="136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9"/>
      <c r="B807" s="125">
        <v>46134.0</v>
      </c>
      <c r="C807" s="107" t="s">
        <v>18</v>
      </c>
      <c r="D807" s="107" t="s">
        <v>123</v>
      </c>
      <c r="E807" s="107" t="s">
        <v>19</v>
      </c>
      <c r="F807" s="107" t="s">
        <v>20</v>
      </c>
      <c r="G807" s="107" t="s">
        <v>22</v>
      </c>
      <c r="H807" s="123"/>
      <c r="I807" s="123"/>
      <c r="J807" s="137">
        <v>3.0</v>
      </c>
      <c r="K807" s="137"/>
      <c r="L807" s="107"/>
      <c r="M807" s="138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9"/>
      <c r="B808" s="124">
        <v>46134.0</v>
      </c>
      <c r="C808" s="115" t="s">
        <v>18</v>
      </c>
      <c r="D808" s="115" t="s">
        <v>123</v>
      </c>
      <c r="E808" s="115" t="s">
        <v>39</v>
      </c>
      <c r="F808" s="115" t="s">
        <v>20</v>
      </c>
      <c r="G808" s="115" t="s">
        <v>22</v>
      </c>
      <c r="H808" s="120"/>
      <c r="I808" s="120"/>
      <c r="J808" s="135">
        <v>3.0</v>
      </c>
      <c r="K808" s="135"/>
      <c r="L808" s="115"/>
      <c r="M808" s="136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9"/>
      <c r="B809" s="170">
        <v>46134.0</v>
      </c>
      <c r="C809" s="107" t="s">
        <v>18</v>
      </c>
      <c r="D809" s="107" t="s">
        <v>116</v>
      </c>
      <c r="E809" s="107" t="s">
        <v>39</v>
      </c>
      <c r="F809" s="107" t="s">
        <v>20</v>
      </c>
      <c r="G809" s="111" t="s">
        <v>47</v>
      </c>
      <c r="H809" s="123"/>
      <c r="I809" s="123"/>
      <c r="J809" s="137">
        <v>1.5</v>
      </c>
      <c r="K809" s="137"/>
      <c r="L809" s="107"/>
      <c r="M809" s="138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9"/>
      <c r="B810" s="171">
        <v>46134.0</v>
      </c>
      <c r="C810" s="115" t="s">
        <v>18</v>
      </c>
      <c r="D810" s="115" t="s">
        <v>120</v>
      </c>
      <c r="E810" s="115" t="s">
        <v>157</v>
      </c>
      <c r="F810" s="115" t="s">
        <v>20</v>
      </c>
      <c r="G810" s="115" t="s">
        <v>22</v>
      </c>
      <c r="H810" s="120"/>
      <c r="I810" s="120"/>
      <c r="J810" s="135">
        <v>0.5</v>
      </c>
      <c r="K810" s="135"/>
      <c r="L810" s="115"/>
      <c r="M810" s="136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9"/>
      <c r="B811" s="125">
        <v>46134.0</v>
      </c>
      <c r="C811" s="107" t="s">
        <v>10</v>
      </c>
      <c r="D811" s="107" t="s">
        <v>120</v>
      </c>
      <c r="E811" s="107" t="s">
        <v>56</v>
      </c>
      <c r="F811" s="107" t="s">
        <v>24</v>
      </c>
      <c r="G811" s="107" t="s">
        <v>25</v>
      </c>
      <c r="H811" s="123"/>
      <c r="I811" s="123"/>
      <c r="J811" s="137">
        <v>1.5</v>
      </c>
      <c r="K811" s="137"/>
      <c r="L811" s="107"/>
      <c r="M811" s="138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9"/>
      <c r="B812" s="124">
        <v>46134.0</v>
      </c>
      <c r="C812" s="115" t="s">
        <v>10</v>
      </c>
      <c r="D812" s="115" t="s">
        <v>17</v>
      </c>
      <c r="E812" s="115" t="s">
        <v>96</v>
      </c>
      <c r="F812" s="115" t="s">
        <v>59</v>
      </c>
      <c r="G812" s="115" t="s">
        <v>75</v>
      </c>
      <c r="H812" s="120"/>
      <c r="I812" s="120"/>
      <c r="J812" s="135">
        <v>0.5</v>
      </c>
      <c r="K812" s="135"/>
      <c r="L812" s="115"/>
      <c r="M812" s="136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9"/>
      <c r="B813" s="125">
        <v>46134.0</v>
      </c>
      <c r="C813" s="107" t="s">
        <v>10</v>
      </c>
      <c r="D813" s="107" t="s">
        <v>120</v>
      </c>
      <c r="E813" s="107" t="s">
        <v>56</v>
      </c>
      <c r="F813" s="107" t="s">
        <v>24</v>
      </c>
      <c r="G813" s="107" t="s">
        <v>31</v>
      </c>
      <c r="H813" s="123"/>
      <c r="I813" s="123"/>
      <c r="J813" s="137">
        <v>2.5</v>
      </c>
      <c r="K813" s="137"/>
      <c r="L813" s="107"/>
      <c r="M813" s="138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9"/>
      <c r="B814" s="124">
        <v>46134.0</v>
      </c>
      <c r="C814" s="115" t="s">
        <v>10</v>
      </c>
      <c r="D814" s="115" t="s">
        <v>56</v>
      </c>
      <c r="E814" s="115" t="s">
        <v>132</v>
      </c>
      <c r="F814" s="115" t="s">
        <v>20</v>
      </c>
      <c r="G814" s="115" t="s">
        <v>22</v>
      </c>
      <c r="H814" s="120"/>
      <c r="I814" s="120"/>
      <c r="J814" s="135">
        <v>1.0</v>
      </c>
      <c r="K814" s="135"/>
      <c r="L814" s="115"/>
      <c r="M814" s="136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9"/>
      <c r="B815" s="125">
        <v>46134.0</v>
      </c>
      <c r="C815" s="107" t="s">
        <v>10</v>
      </c>
      <c r="D815" s="107" t="s">
        <v>116</v>
      </c>
      <c r="E815" s="107" t="s">
        <v>11</v>
      </c>
      <c r="F815" s="107" t="s">
        <v>24</v>
      </c>
      <c r="G815" s="107" t="s">
        <v>31</v>
      </c>
      <c r="H815" s="123"/>
      <c r="I815" s="123"/>
      <c r="J815" s="137">
        <v>2.5</v>
      </c>
      <c r="K815" s="137"/>
      <c r="L815" s="107"/>
      <c r="M815" s="138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9"/>
      <c r="B816" s="124">
        <v>46134.0</v>
      </c>
      <c r="C816" s="115" t="s">
        <v>27</v>
      </c>
      <c r="D816" s="115" t="s">
        <v>116</v>
      </c>
      <c r="E816" s="115" t="s">
        <v>62</v>
      </c>
      <c r="F816" s="115" t="s">
        <v>20</v>
      </c>
      <c r="G816" s="115" t="s">
        <v>22</v>
      </c>
      <c r="H816" s="120"/>
      <c r="I816" s="120"/>
      <c r="J816" s="135">
        <v>4.0</v>
      </c>
      <c r="K816" s="135"/>
      <c r="L816" s="115"/>
      <c r="M816" s="136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9"/>
      <c r="B817" s="125">
        <v>46134.0</v>
      </c>
      <c r="C817" s="107" t="s">
        <v>27</v>
      </c>
      <c r="D817" s="107" t="s">
        <v>116</v>
      </c>
      <c r="E817" s="107" t="s">
        <v>39</v>
      </c>
      <c r="F817" s="107" t="s">
        <v>20</v>
      </c>
      <c r="G817" s="107" t="s">
        <v>30</v>
      </c>
      <c r="H817" s="123"/>
      <c r="I817" s="123"/>
      <c r="J817" s="137">
        <v>4.0</v>
      </c>
      <c r="K817" s="137"/>
      <c r="L817" s="107" t="s">
        <v>437</v>
      </c>
      <c r="M817" s="138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9"/>
      <c r="B818" s="124">
        <v>46134.0</v>
      </c>
      <c r="C818" s="115" t="s">
        <v>33</v>
      </c>
      <c r="D818" s="115" t="s">
        <v>116</v>
      </c>
      <c r="E818" s="115" t="s">
        <v>19</v>
      </c>
      <c r="F818" s="115" t="s">
        <v>24</v>
      </c>
      <c r="G818" s="115" t="s">
        <v>25</v>
      </c>
      <c r="H818" s="120"/>
      <c r="I818" s="120"/>
      <c r="J818" s="135">
        <v>3.5</v>
      </c>
      <c r="K818" s="135"/>
      <c r="L818" s="115"/>
      <c r="M818" s="136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9"/>
      <c r="B819" s="125">
        <v>46134.0</v>
      </c>
      <c r="C819" s="107" t="s">
        <v>33</v>
      </c>
      <c r="D819" s="107" t="s">
        <v>123</v>
      </c>
      <c r="E819" s="107" t="s">
        <v>19</v>
      </c>
      <c r="F819" s="107" t="s">
        <v>24</v>
      </c>
      <c r="G819" s="107" t="s">
        <v>25</v>
      </c>
      <c r="H819" s="123"/>
      <c r="I819" s="123"/>
      <c r="J819" s="137">
        <v>1.5</v>
      </c>
      <c r="K819" s="137"/>
      <c r="L819" s="107"/>
      <c r="M819" s="138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9"/>
      <c r="B820" s="124">
        <v>46134.0</v>
      </c>
      <c r="C820" s="115" t="s">
        <v>33</v>
      </c>
      <c r="D820" s="115" t="s">
        <v>116</v>
      </c>
      <c r="E820" s="115" t="s">
        <v>62</v>
      </c>
      <c r="F820" s="115" t="s">
        <v>20</v>
      </c>
      <c r="G820" s="115" t="s">
        <v>35</v>
      </c>
      <c r="H820" s="120"/>
      <c r="I820" s="120"/>
      <c r="J820" s="135">
        <v>2.0</v>
      </c>
      <c r="K820" s="135"/>
      <c r="L820" s="115"/>
      <c r="M820" s="136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9"/>
      <c r="B821" s="125">
        <v>46134.0</v>
      </c>
      <c r="C821" s="107" t="s">
        <v>33</v>
      </c>
      <c r="D821" s="107" t="s">
        <v>116</v>
      </c>
      <c r="E821" s="107" t="s">
        <v>39</v>
      </c>
      <c r="F821" s="107" t="s">
        <v>20</v>
      </c>
      <c r="G821" s="107" t="s">
        <v>30</v>
      </c>
      <c r="H821" s="123"/>
      <c r="I821" s="123"/>
      <c r="J821" s="137">
        <v>1.0</v>
      </c>
      <c r="K821" s="137"/>
      <c r="L821" s="107" t="s">
        <v>438</v>
      </c>
      <c r="M821" s="138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9"/>
      <c r="B822" s="124">
        <v>46135.0</v>
      </c>
      <c r="C822" s="115" t="s">
        <v>38</v>
      </c>
      <c r="D822" s="115" t="s">
        <v>120</v>
      </c>
      <c r="E822" s="115" t="s">
        <v>157</v>
      </c>
      <c r="F822" s="115" t="s">
        <v>13</v>
      </c>
      <c r="G822" s="115" t="s">
        <v>13</v>
      </c>
      <c r="H822" s="120"/>
      <c r="I822" s="120"/>
      <c r="J822" s="135">
        <v>1.0</v>
      </c>
      <c r="K822" s="135"/>
      <c r="L822" s="115" t="s">
        <v>439</v>
      </c>
      <c r="M822" s="136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9"/>
      <c r="B823" s="125">
        <v>46135.0</v>
      </c>
      <c r="C823" s="107" t="s">
        <v>50</v>
      </c>
      <c r="D823" s="107" t="s">
        <v>120</v>
      </c>
      <c r="E823" s="107" t="s">
        <v>157</v>
      </c>
      <c r="F823" s="107" t="s">
        <v>13</v>
      </c>
      <c r="G823" s="107" t="s">
        <v>13</v>
      </c>
      <c r="H823" s="123"/>
      <c r="I823" s="123"/>
      <c r="J823" s="137">
        <v>1.5</v>
      </c>
      <c r="K823" s="137"/>
      <c r="L823" s="107" t="s">
        <v>439</v>
      </c>
      <c r="M823" s="138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9"/>
      <c r="B824" s="157">
        <v>46135.0</v>
      </c>
      <c r="C824" s="140" t="s">
        <v>50</v>
      </c>
      <c r="D824" s="172" t="s">
        <v>120</v>
      </c>
      <c r="E824" s="172" t="s">
        <v>157</v>
      </c>
      <c r="F824" s="172" t="s">
        <v>13</v>
      </c>
      <c r="G824" s="172" t="s">
        <v>13</v>
      </c>
      <c r="H824" s="163"/>
      <c r="I824" s="163"/>
      <c r="J824" s="135">
        <f>10/60</f>
        <v>0.1666666667</v>
      </c>
      <c r="K824" s="135"/>
      <c r="L824" s="115" t="s">
        <v>440</v>
      </c>
      <c r="M824" s="136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9"/>
      <c r="B825" s="156">
        <v>46135.0</v>
      </c>
      <c r="C825" s="141" t="s">
        <v>50</v>
      </c>
      <c r="D825" s="143" t="s">
        <v>123</v>
      </c>
      <c r="E825" s="143" t="s">
        <v>19</v>
      </c>
      <c r="F825" s="143" t="s">
        <v>24</v>
      </c>
      <c r="G825" s="143" t="s">
        <v>31</v>
      </c>
      <c r="H825" s="144"/>
      <c r="I825" s="144"/>
      <c r="J825" s="137">
        <f>90/60</f>
        <v>1.5</v>
      </c>
      <c r="K825" s="137"/>
      <c r="L825" s="107"/>
      <c r="M825" s="138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9"/>
      <c r="B826" s="124">
        <v>46135.0</v>
      </c>
      <c r="C826" s="115" t="s">
        <v>27</v>
      </c>
      <c r="D826" s="115" t="s">
        <v>116</v>
      </c>
      <c r="E826" s="115" t="s">
        <v>11</v>
      </c>
      <c r="F826" s="115" t="s">
        <v>24</v>
      </c>
      <c r="G826" s="115" t="s">
        <v>25</v>
      </c>
      <c r="H826" s="120"/>
      <c r="I826" s="120"/>
      <c r="J826" s="135">
        <v>2.0</v>
      </c>
      <c r="K826" s="135"/>
      <c r="L826" s="115" t="s">
        <v>441</v>
      </c>
      <c r="M826" s="136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9"/>
      <c r="B827" s="125">
        <v>46135.0</v>
      </c>
      <c r="C827" s="107" t="s">
        <v>27</v>
      </c>
      <c r="D827" s="107" t="s">
        <v>123</v>
      </c>
      <c r="E827" s="107" t="s">
        <v>62</v>
      </c>
      <c r="F827" s="107" t="s">
        <v>20</v>
      </c>
      <c r="G827" s="107" t="s">
        <v>22</v>
      </c>
      <c r="H827" s="123"/>
      <c r="I827" s="123"/>
      <c r="J827" s="137">
        <v>6.0</v>
      </c>
      <c r="K827" s="137"/>
      <c r="L827" s="107"/>
      <c r="M827" s="138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9"/>
      <c r="B828" s="124">
        <v>46135.0</v>
      </c>
      <c r="C828" s="115" t="s">
        <v>33</v>
      </c>
      <c r="D828" s="115" t="s">
        <v>123</v>
      </c>
      <c r="E828" s="115" t="s">
        <v>19</v>
      </c>
      <c r="F828" s="115" t="s">
        <v>24</v>
      </c>
      <c r="G828" s="115" t="s">
        <v>25</v>
      </c>
      <c r="H828" s="120"/>
      <c r="I828" s="120"/>
      <c r="J828" s="135">
        <v>5.5</v>
      </c>
      <c r="K828" s="135"/>
      <c r="L828" s="115"/>
      <c r="M828" s="136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9"/>
      <c r="B829" s="125">
        <v>46135.0</v>
      </c>
      <c r="C829" s="107" t="s">
        <v>33</v>
      </c>
      <c r="D829" s="107" t="s">
        <v>131</v>
      </c>
      <c r="E829" s="107" t="s">
        <v>11</v>
      </c>
      <c r="F829" s="107" t="s">
        <v>24</v>
      </c>
      <c r="G829" s="107" t="s">
        <v>25</v>
      </c>
      <c r="H829" s="123"/>
      <c r="I829" s="123"/>
      <c r="J829" s="137">
        <v>2.0</v>
      </c>
      <c r="K829" s="137"/>
      <c r="L829" s="107"/>
      <c r="M829" s="138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9"/>
      <c r="B830" s="124">
        <v>46135.0</v>
      </c>
      <c r="C830" s="115" t="s">
        <v>33</v>
      </c>
      <c r="D830" s="115" t="s">
        <v>120</v>
      </c>
      <c r="E830" s="115" t="s">
        <v>157</v>
      </c>
      <c r="F830" s="115" t="s">
        <v>24</v>
      </c>
      <c r="G830" s="115" t="s">
        <v>25</v>
      </c>
      <c r="H830" s="120"/>
      <c r="I830" s="120"/>
      <c r="J830" s="135">
        <v>0.5</v>
      </c>
      <c r="K830" s="135"/>
      <c r="L830" s="115"/>
      <c r="M830" s="136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9"/>
      <c r="B831" s="125">
        <v>46135.0</v>
      </c>
      <c r="C831" s="107" t="s">
        <v>18</v>
      </c>
      <c r="D831" s="107" t="s">
        <v>131</v>
      </c>
      <c r="E831" s="107" t="s">
        <v>11</v>
      </c>
      <c r="F831" s="107" t="s">
        <v>20</v>
      </c>
      <c r="G831" s="107" t="s">
        <v>22</v>
      </c>
      <c r="H831" s="123"/>
      <c r="I831" s="123"/>
      <c r="J831" s="137">
        <v>6.0</v>
      </c>
      <c r="K831" s="137"/>
      <c r="L831" s="107"/>
      <c r="M831" s="138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9"/>
      <c r="B832" s="124">
        <v>46135.0</v>
      </c>
      <c r="C832" s="115" t="s">
        <v>18</v>
      </c>
      <c r="D832" s="115" t="s">
        <v>116</v>
      </c>
      <c r="E832" s="115" t="s">
        <v>39</v>
      </c>
      <c r="F832" s="115" t="s">
        <v>20</v>
      </c>
      <c r="G832" s="108" t="s">
        <v>47</v>
      </c>
      <c r="H832" s="120"/>
      <c r="I832" s="120"/>
      <c r="J832" s="135">
        <v>2.0</v>
      </c>
      <c r="K832" s="135"/>
      <c r="L832" s="115"/>
      <c r="M832" s="136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173"/>
      <c r="B833" s="125">
        <v>46135.0</v>
      </c>
      <c r="C833" s="107" t="s">
        <v>10</v>
      </c>
      <c r="D833" s="107" t="s">
        <v>120</v>
      </c>
      <c r="E833" s="107" t="s">
        <v>157</v>
      </c>
      <c r="F833" s="107" t="s">
        <v>20</v>
      </c>
      <c r="G833" s="107" t="s">
        <v>21</v>
      </c>
      <c r="H833" s="174"/>
      <c r="I833" s="174"/>
      <c r="J833" s="137">
        <v>1.0</v>
      </c>
      <c r="K833" s="175"/>
      <c r="L833" s="111" t="s">
        <v>442</v>
      </c>
      <c r="M833" s="138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9"/>
      <c r="B834" s="124">
        <v>46135.0</v>
      </c>
      <c r="C834" s="115" t="s">
        <v>10</v>
      </c>
      <c r="D834" s="115" t="s">
        <v>56</v>
      </c>
      <c r="E834" s="115" t="s">
        <v>132</v>
      </c>
      <c r="F834" s="115" t="s">
        <v>20</v>
      </c>
      <c r="G834" s="115" t="s">
        <v>22</v>
      </c>
      <c r="H834" s="120"/>
      <c r="I834" s="120"/>
      <c r="J834" s="135">
        <v>1.5</v>
      </c>
      <c r="K834" s="176"/>
      <c r="L834" s="108" t="s">
        <v>443</v>
      </c>
      <c r="M834" s="136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9"/>
      <c r="B835" s="125">
        <v>46135.0</v>
      </c>
      <c r="C835" s="107" t="s">
        <v>10</v>
      </c>
      <c r="D835" s="107" t="s">
        <v>56</v>
      </c>
      <c r="E835" s="107" t="s">
        <v>132</v>
      </c>
      <c r="F835" s="107" t="s">
        <v>24</v>
      </c>
      <c r="G835" s="107" t="s">
        <v>31</v>
      </c>
      <c r="H835" s="123"/>
      <c r="I835" s="123"/>
      <c r="J835" s="137">
        <v>1.5</v>
      </c>
      <c r="K835" s="175"/>
      <c r="L835" s="111" t="s">
        <v>206</v>
      </c>
      <c r="M835" s="138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9"/>
      <c r="B836" s="124">
        <v>46135.0</v>
      </c>
      <c r="C836" s="115" t="s">
        <v>10</v>
      </c>
      <c r="D836" s="115" t="s">
        <v>123</v>
      </c>
      <c r="E836" s="115" t="s">
        <v>28</v>
      </c>
      <c r="F836" s="115" t="s">
        <v>24</v>
      </c>
      <c r="G836" s="115" t="s">
        <v>31</v>
      </c>
      <c r="H836" s="120"/>
      <c r="I836" s="120"/>
      <c r="J836" s="135">
        <v>2.0</v>
      </c>
      <c r="K836" s="176"/>
      <c r="L836" s="101"/>
      <c r="M836" s="136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9"/>
      <c r="B837" s="125">
        <v>46135.0</v>
      </c>
      <c r="C837" s="107" t="s">
        <v>10</v>
      </c>
      <c r="D837" s="107" t="s">
        <v>123</v>
      </c>
      <c r="E837" s="107" t="s">
        <v>19</v>
      </c>
      <c r="F837" s="107" t="s">
        <v>24</v>
      </c>
      <c r="G837" s="107" t="s">
        <v>31</v>
      </c>
      <c r="H837" s="123"/>
      <c r="I837" s="123"/>
      <c r="J837" s="137">
        <v>2.0</v>
      </c>
      <c r="K837" s="175"/>
      <c r="L837" s="111" t="s">
        <v>444</v>
      </c>
      <c r="M837" s="138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9"/>
      <c r="B838" s="124">
        <v>46136.0</v>
      </c>
      <c r="C838" s="115" t="s">
        <v>38</v>
      </c>
      <c r="D838" s="115" t="s">
        <v>120</v>
      </c>
      <c r="E838" s="115" t="s">
        <v>157</v>
      </c>
      <c r="F838" s="115" t="s">
        <v>13</v>
      </c>
      <c r="G838" s="115" t="s">
        <v>13</v>
      </c>
      <c r="H838" s="120"/>
      <c r="I838" s="120"/>
      <c r="J838" s="135">
        <v>0.45</v>
      </c>
      <c r="K838" s="135"/>
      <c r="L838" s="115" t="s">
        <v>439</v>
      </c>
      <c r="M838" s="136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9"/>
      <c r="B839" s="125">
        <v>46136.0</v>
      </c>
      <c r="C839" s="107" t="s">
        <v>50</v>
      </c>
      <c r="D839" s="107" t="s">
        <v>120</v>
      </c>
      <c r="E839" s="107" t="s">
        <v>157</v>
      </c>
      <c r="F839" s="107" t="s">
        <v>13</v>
      </c>
      <c r="G839" s="107" t="s">
        <v>13</v>
      </c>
      <c r="H839" s="123"/>
      <c r="I839" s="123"/>
      <c r="J839" s="137">
        <v>0.5</v>
      </c>
      <c r="K839" s="137"/>
      <c r="L839" s="107" t="s">
        <v>445</v>
      </c>
      <c r="M839" s="138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9"/>
      <c r="B840" s="124">
        <v>46136.0</v>
      </c>
      <c r="C840" s="115" t="s">
        <v>50</v>
      </c>
      <c r="D840" s="115" t="s">
        <v>120</v>
      </c>
      <c r="E840" s="115" t="s">
        <v>11</v>
      </c>
      <c r="F840" s="115" t="s">
        <v>24</v>
      </c>
      <c r="G840" s="115" t="s">
        <v>31</v>
      </c>
      <c r="H840" s="120"/>
      <c r="I840" s="120"/>
      <c r="J840" s="135">
        <f>120/60</f>
        <v>2</v>
      </c>
      <c r="K840" s="135"/>
      <c r="L840" s="115"/>
      <c r="M840" s="136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9"/>
      <c r="B841" s="125">
        <v>46136.0</v>
      </c>
      <c r="C841" s="107" t="s">
        <v>33</v>
      </c>
      <c r="D841" s="107" t="s">
        <v>131</v>
      </c>
      <c r="E841" s="107" t="s">
        <v>11</v>
      </c>
      <c r="F841" s="107" t="s">
        <v>24</v>
      </c>
      <c r="G841" s="107" t="s">
        <v>25</v>
      </c>
      <c r="H841" s="123"/>
      <c r="I841" s="123"/>
      <c r="J841" s="137">
        <v>4.0</v>
      </c>
      <c r="K841" s="137"/>
      <c r="L841" s="107"/>
      <c r="M841" s="138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9"/>
      <c r="B842" s="124">
        <v>46136.0</v>
      </c>
      <c r="C842" s="115" t="s">
        <v>33</v>
      </c>
      <c r="D842" s="115" t="s">
        <v>123</v>
      </c>
      <c r="E842" s="115" t="s">
        <v>62</v>
      </c>
      <c r="F842" s="115" t="s">
        <v>20</v>
      </c>
      <c r="G842" s="115" t="s">
        <v>22</v>
      </c>
      <c r="H842" s="120"/>
      <c r="I842" s="120"/>
      <c r="J842" s="135">
        <v>4.0</v>
      </c>
      <c r="K842" s="135"/>
      <c r="L842" s="115" t="s">
        <v>446</v>
      </c>
      <c r="M842" s="136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9"/>
      <c r="B843" s="125">
        <v>46136.0</v>
      </c>
      <c r="C843" s="107" t="s">
        <v>27</v>
      </c>
      <c r="D843" s="107" t="s">
        <v>123</v>
      </c>
      <c r="E843" s="107" t="s">
        <v>62</v>
      </c>
      <c r="F843" s="107" t="s">
        <v>20</v>
      </c>
      <c r="G843" s="107" t="s">
        <v>22</v>
      </c>
      <c r="H843" s="123"/>
      <c r="I843" s="123"/>
      <c r="J843" s="137">
        <v>7.0</v>
      </c>
      <c r="K843" s="137"/>
      <c r="L843" s="107"/>
      <c r="M843" s="138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9"/>
      <c r="B844" s="124">
        <v>46136.0</v>
      </c>
      <c r="C844" s="115" t="s">
        <v>27</v>
      </c>
      <c r="D844" s="115" t="s">
        <v>120</v>
      </c>
      <c r="E844" s="115" t="s">
        <v>157</v>
      </c>
      <c r="F844" s="115" t="s">
        <v>20</v>
      </c>
      <c r="G844" s="115" t="s">
        <v>22</v>
      </c>
      <c r="H844" s="120"/>
      <c r="I844" s="120"/>
      <c r="J844" s="135">
        <v>1.0</v>
      </c>
      <c r="K844" s="135"/>
      <c r="L844" s="115" t="s">
        <v>447</v>
      </c>
      <c r="M844" s="136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9"/>
      <c r="B845" s="125">
        <v>46136.0</v>
      </c>
      <c r="C845" s="107" t="s">
        <v>18</v>
      </c>
      <c r="D845" s="107" t="s">
        <v>123</v>
      </c>
      <c r="E845" s="107" t="s">
        <v>39</v>
      </c>
      <c r="F845" s="107" t="s">
        <v>20</v>
      </c>
      <c r="G845" s="111" t="s">
        <v>47</v>
      </c>
      <c r="H845" s="123"/>
      <c r="I845" s="123"/>
      <c r="J845" s="137">
        <v>2.5</v>
      </c>
      <c r="K845" s="137"/>
      <c r="L845" s="107"/>
      <c r="M845" s="138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9"/>
      <c r="B846" s="124">
        <v>46136.0</v>
      </c>
      <c r="C846" s="115" t="s">
        <v>18</v>
      </c>
      <c r="D846" s="115" t="s">
        <v>26</v>
      </c>
      <c r="E846" s="115" t="s">
        <v>99</v>
      </c>
      <c r="F846" s="115" t="s">
        <v>59</v>
      </c>
      <c r="G846" s="115" t="s">
        <v>63</v>
      </c>
      <c r="H846" s="120"/>
      <c r="I846" s="120"/>
      <c r="J846" s="135">
        <v>1.0</v>
      </c>
      <c r="K846" s="135"/>
      <c r="L846" s="115" t="s">
        <v>448</v>
      </c>
      <c r="M846" s="136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9"/>
      <c r="B847" s="125">
        <v>46136.0</v>
      </c>
      <c r="C847" s="107" t="s">
        <v>18</v>
      </c>
      <c r="D847" s="107" t="s">
        <v>120</v>
      </c>
      <c r="E847" s="107" t="s">
        <v>157</v>
      </c>
      <c r="F847" s="107" t="s">
        <v>20</v>
      </c>
      <c r="G847" s="107" t="s">
        <v>22</v>
      </c>
      <c r="H847" s="123"/>
      <c r="I847" s="123"/>
      <c r="J847" s="137">
        <v>3.5</v>
      </c>
      <c r="K847" s="137"/>
      <c r="L847" s="107"/>
      <c r="M847" s="138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9"/>
      <c r="B848" s="124">
        <v>46136.0</v>
      </c>
      <c r="C848" s="115" t="s">
        <v>10</v>
      </c>
      <c r="D848" s="115" t="s">
        <v>123</v>
      </c>
      <c r="E848" s="115" t="s">
        <v>19</v>
      </c>
      <c r="F848" s="115" t="s">
        <v>24</v>
      </c>
      <c r="G848" s="115" t="s">
        <v>31</v>
      </c>
      <c r="H848" s="120"/>
      <c r="I848" s="120"/>
      <c r="J848" s="135">
        <v>1.0</v>
      </c>
      <c r="K848" s="176"/>
      <c r="L848" s="101"/>
      <c r="M848" s="136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9"/>
      <c r="B849" s="125">
        <v>46136.0</v>
      </c>
      <c r="C849" s="107" t="s">
        <v>10</v>
      </c>
      <c r="D849" s="107" t="s">
        <v>120</v>
      </c>
      <c r="E849" s="107" t="s">
        <v>56</v>
      </c>
      <c r="F849" s="107" t="s">
        <v>20</v>
      </c>
      <c r="G849" s="107" t="s">
        <v>22</v>
      </c>
      <c r="H849" s="123"/>
      <c r="I849" s="123"/>
      <c r="J849" s="137">
        <v>1.0</v>
      </c>
      <c r="K849" s="175"/>
      <c r="L849" s="104"/>
      <c r="M849" s="138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9"/>
      <c r="B850" s="124">
        <v>46136.0</v>
      </c>
      <c r="C850" s="115" t="s">
        <v>10</v>
      </c>
      <c r="D850" s="115" t="s">
        <v>123</v>
      </c>
      <c r="E850" s="115" t="s">
        <v>11</v>
      </c>
      <c r="F850" s="115" t="s">
        <v>24</v>
      </c>
      <c r="G850" s="115" t="s">
        <v>31</v>
      </c>
      <c r="H850" s="120"/>
      <c r="I850" s="120"/>
      <c r="J850" s="135">
        <v>2.5</v>
      </c>
      <c r="K850" s="176"/>
      <c r="L850" s="108" t="s">
        <v>206</v>
      </c>
      <c r="M850" s="136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9"/>
      <c r="B851" s="125">
        <v>46136.0</v>
      </c>
      <c r="C851" s="107" t="s">
        <v>10</v>
      </c>
      <c r="D851" s="107" t="s">
        <v>131</v>
      </c>
      <c r="E851" s="107" t="s">
        <v>11</v>
      </c>
      <c r="F851" s="107" t="s">
        <v>24</v>
      </c>
      <c r="G851" s="107" t="s">
        <v>31</v>
      </c>
      <c r="H851" s="123"/>
      <c r="I851" s="123"/>
      <c r="J851" s="137">
        <v>3.5</v>
      </c>
      <c r="K851" s="175"/>
      <c r="L851" s="111" t="s">
        <v>206</v>
      </c>
      <c r="M851" s="138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9"/>
      <c r="B852" s="124">
        <v>46139.0</v>
      </c>
      <c r="C852" s="115" t="s">
        <v>50</v>
      </c>
      <c r="D852" s="115" t="s">
        <v>120</v>
      </c>
      <c r="E852" s="115" t="s">
        <v>157</v>
      </c>
      <c r="F852" s="115" t="s">
        <v>13</v>
      </c>
      <c r="G852" s="115" t="s">
        <v>13</v>
      </c>
      <c r="H852" s="120"/>
      <c r="I852" s="120"/>
      <c r="J852" s="135">
        <f>2/60</f>
        <v>0.03333333333</v>
      </c>
      <c r="K852" s="135"/>
      <c r="L852" s="115" t="s">
        <v>439</v>
      </c>
      <c r="M852" s="136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9"/>
      <c r="B853" s="125">
        <v>46139.0</v>
      </c>
      <c r="C853" s="107" t="s">
        <v>50</v>
      </c>
      <c r="D853" s="107" t="s">
        <v>120</v>
      </c>
      <c r="E853" s="107" t="s">
        <v>157</v>
      </c>
      <c r="F853" s="107" t="s">
        <v>13</v>
      </c>
      <c r="G853" s="107" t="s">
        <v>13</v>
      </c>
      <c r="H853" s="123"/>
      <c r="I853" s="123"/>
      <c r="J853" s="137">
        <f>10/60</f>
        <v>0.1666666667</v>
      </c>
      <c r="K853" s="137"/>
      <c r="L853" s="107" t="s">
        <v>445</v>
      </c>
      <c r="M853" s="138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9"/>
      <c r="B854" s="124">
        <v>46139.0</v>
      </c>
      <c r="C854" s="115" t="s">
        <v>27</v>
      </c>
      <c r="D854" s="115" t="s">
        <v>123</v>
      </c>
      <c r="E854" s="115" t="s">
        <v>62</v>
      </c>
      <c r="F854" s="115" t="s">
        <v>20</v>
      </c>
      <c r="G854" s="115" t="s">
        <v>22</v>
      </c>
      <c r="H854" s="120"/>
      <c r="I854" s="120"/>
      <c r="J854" s="135">
        <v>7.0</v>
      </c>
      <c r="K854" s="176"/>
      <c r="L854" s="101"/>
      <c r="M854" s="136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9"/>
      <c r="B855" s="125">
        <v>46139.0</v>
      </c>
      <c r="C855" s="107" t="s">
        <v>27</v>
      </c>
      <c r="D855" s="107" t="s">
        <v>120</v>
      </c>
      <c r="E855" s="107" t="s">
        <v>157</v>
      </c>
      <c r="F855" s="107" t="s">
        <v>24</v>
      </c>
      <c r="G855" s="107" t="s">
        <v>25</v>
      </c>
      <c r="H855" s="123"/>
      <c r="I855" s="123"/>
      <c r="J855" s="137">
        <v>1.0</v>
      </c>
      <c r="K855" s="175"/>
      <c r="L855" s="111"/>
      <c r="M855" s="138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9"/>
      <c r="B856" s="124">
        <v>46139.0</v>
      </c>
      <c r="C856" s="115" t="s">
        <v>10</v>
      </c>
      <c r="D856" s="115" t="s">
        <v>120</v>
      </c>
      <c r="E856" s="115" t="s">
        <v>56</v>
      </c>
      <c r="F856" s="115" t="s">
        <v>20</v>
      </c>
      <c r="G856" s="115" t="s">
        <v>22</v>
      </c>
      <c r="H856" s="120"/>
      <c r="I856" s="120"/>
      <c r="J856" s="135">
        <v>3.5</v>
      </c>
      <c r="K856" s="176"/>
      <c r="L856" s="101"/>
      <c r="M856" s="136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9"/>
      <c r="B857" s="125">
        <v>46139.0</v>
      </c>
      <c r="C857" s="107" t="s">
        <v>10</v>
      </c>
      <c r="D857" s="107" t="s">
        <v>17</v>
      </c>
      <c r="E857" s="107" t="s">
        <v>96</v>
      </c>
      <c r="F857" s="107" t="s">
        <v>54</v>
      </c>
      <c r="G857" s="107" t="s">
        <v>70</v>
      </c>
      <c r="H857" s="123"/>
      <c r="I857" s="123"/>
      <c r="J857" s="137">
        <v>1.0</v>
      </c>
      <c r="K857" s="175"/>
      <c r="L857" s="104"/>
      <c r="M857" s="138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9"/>
      <c r="B858" s="124">
        <v>46139.0</v>
      </c>
      <c r="C858" s="115" t="s">
        <v>10</v>
      </c>
      <c r="D858" s="115" t="s">
        <v>131</v>
      </c>
      <c r="E858" s="115" t="s">
        <v>11</v>
      </c>
      <c r="F858" s="115" t="s">
        <v>24</v>
      </c>
      <c r="G858" s="115" t="s">
        <v>31</v>
      </c>
      <c r="H858" s="120"/>
      <c r="I858" s="120"/>
      <c r="J858" s="135">
        <v>2.5</v>
      </c>
      <c r="K858" s="176"/>
      <c r="L858" s="101"/>
      <c r="M858" s="136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9"/>
      <c r="B859" s="125">
        <v>46139.0</v>
      </c>
      <c r="C859" s="107" t="s">
        <v>10</v>
      </c>
      <c r="D859" s="107" t="s">
        <v>120</v>
      </c>
      <c r="E859" s="107" t="s">
        <v>56</v>
      </c>
      <c r="F859" s="107" t="s">
        <v>20</v>
      </c>
      <c r="G859" s="111" t="s">
        <v>57</v>
      </c>
      <c r="H859" s="123"/>
      <c r="I859" s="123"/>
      <c r="J859" s="137">
        <v>1.0</v>
      </c>
      <c r="K859" s="175"/>
      <c r="L859" s="104"/>
      <c r="M859" s="138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9"/>
      <c r="B860" s="124">
        <v>46139.0</v>
      </c>
      <c r="C860" s="115" t="s">
        <v>18</v>
      </c>
      <c r="D860" s="115" t="s">
        <v>116</v>
      </c>
      <c r="E860" s="115" t="s">
        <v>39</v>
      </c>
      <c r="F860" s="115" t="s">
        <v>20</v>
      </c>
      <c r="G860" s="115" t="s">
        <v>35</v>
      </c>
      <c r="H860" s="120"/>
      <c r="I860" s="120"/>
      <c r="J860" s="135">
        <v>3.5</v>
      </c>
      <c r="K860" s="176"/>
      <c r="L860" s="101"/>
      <c r="M860" s="136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9"/>
      <c r="B861" s="125">
        <v>46139.0</v>
      </c>
      <c r="C861" s="107" t="s">
        <v>18</v>
      </c>
      <c r="D861" s="107" t="s">
        <v>120</v>
      </c>
      <c r="E861" s="107" t="s">
        <v>157</v>
      </c>
      <c r="F861" s="107" t="s">
        <v>20</v>
      </c>
      <c r="G861" s="107" t="s">
        <v>22</v>
      </c>
      <c r="H861" s="123"/>
      <c r="I861" s="123"/>
      <c r="J861" s="137">
        <v>4.5</v>
      </c>
      <c r="K861" s="175"/>
      <c r="L861" s="104"/>
      <c r="M861" s="138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9"/>
      <c r="B862" s="124">
        <v>46139.0</v>
      </c>
      <c r="C862" s="115" t="s">
        <v>33</v>
      </c>
      <c r="D862" s="115" t="s">
        <v>120</v>
      </c>
      <c r="E862" s="115" t="s">
        <v>157</v>
      </c>
      <c r="F862" s="115" t="s">
        <v>24</v>
      </c>
      <c r="G862" s="115" t="s">
        <v>25</v>
      </c>
      <c r="H862" s="120"/>
      <c r="I862" s="120"/>
      <c r="J862" s="135">
        <f>1.66+1.5</f>
        <v>3.16</v>
      </c>
      <c r="K862" s="176"/>
      <c r="L862" s="101"/>
      <c r="M862" s="136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9"/>
      <c r="B863" s="125">
        <v>46139.0</v>
      </c>
      <c r="C863" s="107" t="s">
        <v>33</v>
      </c>
      <c r="D863" s="107" t="s">
        <v>131</v>
      </c>
      <c r="E863" s="107" t="s">
        <v>11</v>
      </c>
      <c r="F863" s="107" t="s">
        <v>24</v>
      </c>
      <c r="G863" s="107" t="s">
        <v>25</v>
      </c>
      <c r="H863" s="123"/>
      <c r="I863" s="123"/>
      <c r="J863" s="137">
        <v>3.34</v>
      </c>
      <c r="K863" s="175"/>
      <c r="L863" s="104"/>
      <c r="M863" s="138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9"/>
      <c r="B864" s="124">
        <v>46139.0</v>
      </c>
      <c r="C864" s="115" t="s">
        <v>33</v>
      </c>
      <c r="D864" s="115" t="s">
        <v>123</v>
      </c>
      <c r="E864" s="115" t="s">
        <v>62</v>
      </c>
      <c r="F864" s="115" t="s">
        <v>20</v>
      </c>
      <c r="G864" s="115" t="s">
        <v>22</v>
      </c>
      <c r="H864" s="120"/>
      <c r="I864" s="120"/>
      <c r="J864" s="135">
        <v>1.5</v>
      </c>
      <c r="K864" s="176"/>
      <c r="L864" s="101"/>
      <c r="M864" s="136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9"/>
      <c r="B865" s="125">
        <v>46139.0</v>
      </c>
      <c r="C865" s="107" t="s">
        <v>50</v>
      </c>
      <c r="D865" s="107" t="s">
        <v>120</v>
      </c>
      <c r="E865" s="107" t="s">
        <v>157</v>
      </c>
      <c r="F865" s="107" t="s">
        <v>13</v>
      </c>
      <c r="G865" s="107" t="s">
        <v>13</v>
      </c>
      <c r="J865" s="137">
        <f>2/60</f>
        <v>0.03333333333</v>
      </c>
      <c r="K865" s="175"/>
      <c r="L865" s="123" t="s">
        <v>439</v>
      </c>
      <c r="M865" s="138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9"/>
      <c r="B866" s="124">
        <v>46139.0</v>
      </c>
      <c r="C866" s="115" t="s">
        <v>50</v>
      </c>
      <c r="D866" s="115" t="s">
        <v>120</v>
      </c>
      <c r="E866" s="115" t="s">
        <v>157</v>
      </c>
      <c r="F866" s="115" t="s">
        <v>13</v>
      </c>
      <c r="G866" s="115" t="s">
        <v>13</v>
      </c>
      <c r="J866" s="135">
        <f>10/60</f>
        <v>0.1666666667</v>
      </c>
      <c r="K866" s="176"/>
      <c r="L866" s="120" t="s">
        <v>445</v>
      </c>
      <c r="M866" s="136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9"/>
      <c r="B867" s="125">
        <v>46140.0</v>
      </c>
      <c r="C867" s="107" t="s">
        <v>50</v>
      </c>
      <c r="D867" s="107" t="s">
        <v>86</v>
      </c>
      <c r="E867" s="107" t="s">
        <v>96</v>
      </c>
      <c r="F867" s="107" t="s">
        <v>20</v>
      </c>
      <c r="G867" s="107" t="s">
        <v>75</v>
      </c>
      <c r="H867" s="123"/>
      <c r="I867" s="123"/>
      <c r="J867" s="137">
        <f t="shared" ref="J867:J868" si="4">120/60</f>
        <v>2</v>
      </c>
      <c r="K867" s="175"/>
      <c r="L867" s="107" t="s">
        <v>449</v>
      </c>
      <c r="M867" s="138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9"/>
      <c r="B868" s="124">
        <v>46140.0</v>
      </c>
      <c r="C868" s="115" t="s">
        <v>50</v>
      </c>
      <c r="D868" s="115" t="s">
        <v>17</v>
      </c>
      <c r="E868" s="115" t="s">
        <v>96</v>
      </c>
      <c r="F868" s="115" t="s">
        <v>20</v>
      </c>
      <c r="G868" s="115" t="s">
        <v>75</v>
      </c>
      <c r="J868" s="135">
        <f t="shared" si="4"/>
        <v>2</v>
      </c>
      <c r="K868" s="176"/>
      <c r="L868" s="120" t="s">
        <v>449</v>
      </c>
      <c r="M868" s="136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9"/>
      <c r="B869" s="125">
        <v>46140.0</v>
      </c>
      <c r="C869" s="107" t="s">
        <v>18</v>
      </c>
      <c r="D869" s="107" t="s">
        <v>116</v>
      </c>
      <c r="E869" s="107" t="s">
        <v>39</v>
      </c>
      <c r="F869" s="107" t="s">
        <v>20</v>
      </c>
      <c r="G869" s="107" t="s">
        <v>35</v>
      </c>
      <c r="H869" s="123"/>
      <c r="I869" s="123"/>
      <c r="J869" s="137">
        <v>3.0</v>
      </c>
      <c r="K869" s="175"/>
      <c r="L869" s="104"/>
      <c r="M869" s="138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9"/>
      <c r="B870" s="124">
        <v>46140.0</v>
      </c>
      <c r="C870" s="115" t="s">
        <v>18</v>
      </c>
      <c r="D870" s="115" t="s">
        <v>120</v>
      </c>
      <c r="E870" s="115" t="s">
        <v>157</v>
      </c>
      <c r="F870" s="115" t="s">
        <v>20</v>
      </c>
      <c r="G870" s="115" t="s">
        <v>22</v>
      </c>
      <c r="H870" s="120"/>
      <c r="I870" s="120"/>
      <c r="J870" s="135">
        <v>4.0</v>
      </c>
      <c r="K870" s="176"/>
      <c r="L870" s="101"/>
      <c r="M870" s="136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9"/>
      <c r="B871" s="125">
        <v>46140.0</v>
      </c>
      <c r="C871" s="107" t="s">
        <v>18</v>
      </c>
      <c r="D871" s="107" t="s">
        <v>131</v>
      </c>
      <c r="E871" s="107" t="s">
        <v>11</v>
      </c>
      <c r="F871" s="107" t="s">
        <v>20</v>
      </c>
      <c r="G871" s="107" t="s">
        <v>22</v>
      </c>
      <c r="H871" s="123"/>
      <c r="I871" s="123"/>
      <c r="J871" s="137">
        <v>1.0</v>
      </c>
      <c r="K871" s="175"/>
      <c r="L871" s="104"/>
      <c r="M871" s="138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9"/>
      <c r="B872" s="124">
        <v>46140.0</v>
      </c>
      <c r="C872" s="115" t="s">
        <v>33</v>
      </c>
      <c r="D872" s="115" t="s">
        <v>120</v>
      </c>
      <c r="E872" s="115" t="s">
        <v>157</v>
      </c>
      <c r="F872" s="115" t="s">
        <v>24</v>
      </c>
      <c r="G872" s="115" t="s">
        <v>25</v>
      </c>
      <c r="H872" s="120"/>
      <c r="I872" s="120"/>
      <c r="J872" s="135">
        <v>8.0</v>
      </c>
      <c r="K872" s="176"/>
      <c r="L872" s="101"/>
      <c r="M872" s="136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9"/>
      <c r="B873" s="125">
        <v>46140.0</v>
      </c>
      <c r="C873" s="107" t="s">
        <v>27</v>
      </c>
      <c r="D873" s="107" t="s">
        <v>131</v>
      </c>
      <c r="E873" s="107" t="s">
        <v>11</v>
      </c>
      <c r="F873" s="107" t="s">
        <v>20</v>
      </c>
      <c r="G873" s="107" t="s">
        <v>30</v>
      </c>
      <c r="H873" s="123"/>
      <c r="I873" s="123"/>
      <c r="J873" s="137">
        <v>3.0</v>
      </c>
      <c r="K873" s="175"/>
      <c r="L873" s="104"/>
      <c r="M873" s="138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9"/>
      <c r="B874" s="124">
        <v>46140.0</v>
      </c>
      <c r="C874" s="115" t="s">
        <v>27</v>
      </c>
      <c r="D874" s="115" t="s">
        <v>120</v>
      </c>
      <c r="E874" s="115" t="s">
        <v>157</v>
      </c>
      <c r="F874" s="115" t="s">
        <v>24</v>
      </c>
      <c r="G874" s="115" t="s">
        <v>25</v>
      </c>
      <c r="H874" s="120"/>
      <c r="I874" s="120"/>
      <c r="J874" s="135">
        <v>5.0</v>
      </c>
      <c r="K874" s="176"/>
      <c r="L874" s="101"/>
      <c r="M874" s="136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9"/>
      <c r="B875" s="125">
        <v>46140.0</v>
      </c>
      <c r="C875" s="107" t="s">
        <v>10</v>
      </c>
      <c r="D875" s="107" t="s">
        <v>56</v>
      </c>
      <c r="E875" s="107" t="s">
        <v>132</v>
      </c>
      <c r="F875" s="107" t="s">
        <v>20</v>
      </c>
      <c r="G875" s="107" t="s">
        <v>22</v>
      </c>
      <c r="H875" s="123"/>
      <c r="I875" s="123"/>
      <c r="J875" s="137">
        <v>4.0</v>
      </c>
      <c r="K875" s="175"/>
      <c r="L875" s="111" t="s">
        <v>450</v>
      </c>
      <c r="M875" s="138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9"/>
      <c r="B876" s="124">
        <v>46140.0</v>
      </c>
      <c r="C876" s="115" t="s">
        <v>10</v>
      </c>
      <c r="D876" s="115" t="s">
        <v>120</v>
      </c>
      <c r="E876" s="115" t="s">
        <v>157</v>
      </c>
      <c r="F876" s="115" t="s">
        <v>24</v>
      </c>
      <c r="G876" s="115" t="s">
        <v>31</v>
      </c>
      <c r="H876" s="120"/>
      <c r="I876" s="120"/>
      <c r="J876" s="135">
        <v>1.5</v>
      </c>
      <c r="K876" s="176"/>
      <c r="L876" s="101"/>
      <c r="M876" s="136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9"/>
      <c r="B877" s="125">
        <v>46140.0</v>
      </c>
      <c r="C877" s="107" t="s">
        <v>10</v>
      </c>
      <c r="D877" s="107" t="s">
        <v>17</v>
      </c>
      <c r="E877" s="107" t="s">
        <v>96</v>
      </c>
      <c r="F877" s="107" t="s">
        <v>54</v>
      </c>
      <c r="G877" s="107" t="s">
        <v>54</v>
      </c>
      <c r="H877" s="123"/>
      <c r="I877" s="123"/>
      <c r="J877" s="137">
        <v>1.5</v>
      </c>
      <c r="K877" s="175"/>
      <c r="L877" s="104"/>
      <c r="M877" s="138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9"/>
      <c r="B878" s="124">
        <v>46141.0</v>
      </c>
      <c r="C878" s="115" t="s">
        <v>38</v>
      </c>
      <c r="D878" s="115" t="s">
        <v>116</v>
      </c>
      <c r="E878" s="115" t="s">
        <v>83</v>
      </c>
      <c r="F878" s="115" t="s">
        <v>13</v>
      </c>
      <c r="G878" s="115" t="s">
        <v>13</v>
      </c>
      <c r="H878" s="120"/>
      <c r="I878" s="120"/>
      <c r="J878" s="135">
        <f>40/60</f>
        <v>0.6666666667</v>
      </c>
      <c r="K878" s="135"/>
      <c r="L878" s="115" t="s">
        <v>451</v>
      </c>
      <c r="M878" s="136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9"/>
      <c r="B879" s="125">
        <v>46141.0</v>
      </c>
      <c r="C879" s="107" t="s">
        <v>38</v>
      </c>
      <c r="D879" s="107" t="s">
        <v>120</v>
      </c>
      <c r="E879" s="107" t="s">
        <v>157</v>
      </c>
      <c r="F879" s="107" t="s">
        <v>13</v>
      </c>
      <c r="G879" s="107" t="s">
        <v>13</v>
      </c>
      <c r="H879" s="123"/>
      <c r="I879" s="123"/>
      <c r="J879" s="137">
        <f>10/60</f>
        <v>0.1666666667</v>
      </c>
      <c r="K879" s="137"/>
      <c r="L879" s="107" t="s">
        <v>452</v>
      </c>
      <c r="M879" s="138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9"/>
      <c r="B880" s="124">
        <v>46141.0</v>
      </c>
      <c r="C880" s="115" t="s">
        <v>50</v>
      </c>
      <c r="D880" s="115" t="s">
        <v>116</v>
      </c>
      <c r="E880" s="115" t="s">
        <v>83</v>
      </c>
      <c r="F880" s="115" t="s">
        <v>24</v>
      </c>
      <c r="G880" s="115" t="s">
        <v>31</v>
      </c>
      <c r="H880" s="120"/>
      <c r="I880" s="120"/>
      <c r="J880" s="135">
        <f>15/60</f>
        <v>0.25</v>
      </c>
      <c r="K880" s="176"/>
      <c r="L880" s="115"/>
      <c r="M880" s="136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9"/>
      <c r="B881" s="125">
        <v>46141.0</v>
      </c>
      <c r="C881" s="107" t="s">
        <v>50</v>
      </c>
      <c r="D881" s="107" t="s">
        <v>116</v>
      </c>
      <c r="E881" s="107" t="s">
        <v>83</v>
      </c>
      <c r="F881" s="107" t="s">
        <v>24</v>
      </c>
      <c r="G881" s="107" t="s">
        <v>31</v>
      </c>
      <c r="J881" s="137">
        <f>25/60</f>
        <v>0.4166666667</v>
      </c>
      <c r="K881" s="175"/>
      <c r="L881" s="123"/>
      <c r="M881" s="138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9"/>
      <c r="B882" s="124">
        <v>46141.0</v>
      </c>
      <c r="C882" s="115" t="s">
        <v>18</v>
      </c>
      <c r="D882" s="115" t="s">
        <v>17</v>
      </c>
      <c r="E882" s="115" t="s">
        <v>96</v>
      </c>
      <c r="F882" s="115" t="s">
        <v>54</v>
      </c>
      <c r="G882" s="115" t="s">
        <v>54</v>
      </c>
      <c r="H882" s="120"/>
      <c r="I882" s="120"/>
      <c r="J882" s="135">
        <v>3.5</v>
      </c>
      <c r="K882" s="176"/>
      <c r="L882" s="101"/>
      <c r="M882" s="136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9"/>
      <c r="B883" s="125">
        <v>46141.0</v>
      </c>
      <c r="C883" s="107" t="s">
        <v>18</v>
      </c>
      <c r="D883" s="107" t="s">
        <v>37</v>
      </c>
      <c r="E883" s="107" t="s">
        <v>96</v>
      </c>
      <c r="F883" s="107" t="s">
        <v>54</v>
      </c>
      <c r="G883" s="107" t="s">
        <v>54</v>
      </c>
      <c r="H883" s="123"/>
      <c r="I883" s="123"/>
      <c r="J883" s="137">
        <v>2.0</v>
      </c>
      <c r="K883" s="175"/>
      <c r="L883" s="104"/>
      <c r="M883" s="138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9"/>
      <c r="B884" s="124">
        <v>46141.0</v>
      </c>
      <c r="C884" s="115" t="s">
        <v>18</v>
      </c>
      <c r="D884" s="115" t="s">
        <v>131</v>
      </c>
      <c r="E884" s="115" t="s">
        <v>11</v>
      </c>
      <c r="F884" s="115" t="s">
        <v>20</v>
      </c>
      <c r="G884" s="115" t="s">
        <v>35</v>
      </c>
      <c r="H884" s="120"/>
      <c r="I884" s="120"/>
      <c r="J884" s="135">
        <v>0.5</v>
      </c>
      <c r="K884" s="176"/>
      <c r="L884" s="108" t="s">
        <v>453</v>
      </c>
      <c r="M884" s="136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9"/>
      <c r="B885" s="125">
        <v>46141.0</v>
      </c>
      <c r="C885" s="107" t="s">
        <v>18</v>
      </c>
      <c r="D885" s="107" t="s">
        <v>123</v>
      </c>
      <c r="E885" s="107" t="s">
        <v>39</v>
      </c>
      <c r="F885" s="107" t="s">
        <v>20</v>
      </c>
      <c r="G885" s="107" t="s">
        <v>30</v>
      </c>
      <c r="H885" s="123"/>
      <c r="I885" s="123"/>
      <c r="J885" s="137">
        <v>2.0</v>
      </c>
      <c r="K885" s="175"/>
      <c r="L885" s="104"/>
      <c r="M885" s="138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9"/>
      <c r="B886" s="124">
        <v>46141.0</v>
      </c>
      <c r="C886" s="115" t="s">
        <v>33</v>
      </c>
      <c r="D886" s="115" t="s">
        <v>17</v>
      </c>
      <c r="E886" s="115" t="s">
        <v>96</v>
      </c>
      <c r="F886" s="115" t="s">
        <v>54</v>
      </c>
      <c r="G886" s="115" t="s">
        <v>54</v>
      </c>
      <c r="H886" s="120"/>
      <c r="I886" s="120"/>
      <c r="J886" s="135">
        <v>1.5</v>
      </c>
      <c r="K886" s="176"/>
      <c r="L886" s="101"/>
      <c r="M886" s="136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9"/>
      <c r="B887" s="125">
        <v>46141.0</v>
      </c>
      <c r="C887" s="107" t="s">
        <v>33</v>
      </c>
      <c r="D887" s="107" t="s">
        <v>123</v>
      </c>
      <c r="E887" s="107" t="s">
        <v>62</v>
      </c>
      <c r="F887" s="107" t="s">
        <v>20</v>
      </c>
      <c r="G887" s="107" t="s">
        <v>22</v>
      </c>
      <c r="H887" s="123"/>
      <c r="I887" s="123"/>
      <c r="J887" s="137">
        <v>2.0</v>
      </c>
      <c r="K887" s="175"/>
      <c r="L887" s="104"/>
      <c r="M887" s="138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9"/>
      <c r="B888" s="124">
        <v>46141.0</v>
      </c>
      <c r="C888" s="115" t="s">
        <v>33</v>
      </c>
      <c r="D888" s="115" t="s">
        <v>123</v>
      </c>
      <c r="E888" s="115" t="s">
        <v>28</v>
      </c>
      <c r="F888" s="115" t="s">
        <v>24</v>
      </c>
      <c r="G888" s="115" t="s">
        <v>25</v>
      </c>
      <c r="H888" s="120"/>
      <c r="I888" s="120"/>
      <c r="J888" s="135">
        <v>3.0</v>
      </c>
      <c r="K888" s="176"/>
      <c r="L888" s="101"/>
      <c r="M888" s="136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9"/>
      <c r="B889" s="125">
        <v>46141.0</v>
      </c>
      <c r="C889" s="107" t="s">
        <v>33</v>
      </c>
      <c r="D889" s="107" t="s">
        <v>123</v>
      </c>
      <c r="E889" s="107" t="s">
        <v>11</v>
      </c>
      <c r="F889" s="107" t="s">
        <v>24</v>
      </c>
      <c r="G889" s="107" t="s">
        <v>25</v>
      </c>
      <c r="H889" s="123"/>
      <c r="I889" s="123"/>
      <c r="J889" s="137">
        <v>1.5</v>
      </c>
      <c r="K889" s="175"/>
      <c r="L889" s="104"/>
      <c r="M889" s="138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9"/>
      <c r="B890" s="124">
        <v>46141.0</v>
      </c>
      <c r="C890" s="115" t="s">
        <v>10</v>
      </c>
      <c r="D890" s="115" t="s">
        <v>120</v>
      </c>
      <c r="E890" s="115" t="s">
        <v>157</v>
      </c>
      <c r="F890" s="115" t="s">
        <v>24</v>
      </c>
      <c r="G890" s="115" t="s">
        <v>25</v>
      </c>
      <c r="H890" s="120"/>
      <c r="I890" s="120"/>
      <c r="J890" s="135">
        <v>2.0</v>
      </c>
      <c r="K890" s="176"/>
      <c r="L890" s="101"/>
      <c r="M890" s="136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9"/>
      <c r="B891" s="125">
        <v>46141.0</v>
      </c>
      <c r="C891" s="107" t="s">
        <v>10</v>
      </c>
      <c r="D891" s="107" t="s">
        <v>120</v>
      </c>
      <c r="E891" s="107" t="s">
        <v>157</v>
      </c>
      <c r="F891" s="107" t="s">
        <v>24</v>
      </c>
      <c r="G891" s="107" t="s">
        <v>31</v>
      </c>
      <c r="H891" s="123"/>
      <c r="I891" s="123"/>
      <c r="J891" s="137">
        <v>3.5</v>
      </c>
      <c r="K891" s="175"/>
      <c r="L891" s="104"/>
      <c r="M891" s="138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9"/>
      <c r="B892" s="124">
        <v>46141.0</v>
      </c>
      <c r="C892" s="115" t="s">
        <v>10</v>
      </c>
      <c r="D892" s="115" t="s">
        <v>17</v>
      </c>
      <c r="E892" s="115" t="s">
        <v>96</v>
      </c>
      <c r="F892" s="115" t="s">
        <v>54</v>
      </c>
      <c r="G892" s="115" t="s">
        <v>54</v>
      </c>
      <c r="H892" s="120"/>
      <c r="I892" s="120"/>
      <c r="J892" s="135">
        <v>2.5</v>
      </c>
      <c r="K892" s="176"/>
      <c r="L892" s="101"/>
      <c r="M892" s="136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9"/>
      <c r="B893" s="125">
        <v>46141.0</v>
      </c>
      <c r="C893" s="107" t="s">
        <v>27</v>
      </c>
      <c r="D893" s="107" t="s">
        <v>17</v>
      </c>
      <c r="E893" s="107" t="s">
        <v>96</v>
      </c>
      <c r="F893" s="107" t="s">
        <v>54</v>
      </c>
      <c r="G893" s="107" t="s">
        <v>54</v>
      </c>
      <c r="H893" s="123"/>
      <c r="I893" s="123"/>
      <c r="J893" s="137">
        <v>4.0</v>
      </c>
      <c r="K893" s="175"/>
      <c r="L893" s="104"/>
      <c r="M893" s="138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9"/>
      <c r="B894" s="124">
        <v>46141.0</v>
      </c>
      <c r="C894" s="115" t="s">
        <v>27</v>
      </c>
      <c r="D894" s="115" t="s">
        <v>37</v>
      </c>
      <c r="E894" s="115" t="s">
        <v>96</v>
      </c>
      <c r="F894" s="115" t="s">
        <v>54</v>
      </c>
      <c r="G894" s="115" t="s">
        <v>54</v>
      </c>
      <c r="H894" s="120"/>
      <c r="I894" s="120"/>
      <c r="J894" s="135">
        <v>2.0</v>
      </c>
      <c r="K894" s="176"/>
      <c r="L894" s="101"/>
      <c r="M894" s="136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9"/>
      <c r="B895" s="125">
        <v>46141.0</v>
      </c>
      <c r="C895" s="107" t="s">
        <v>27</v>
      </c>
      <c r="D895" s="107" t="s">
        <v>123</v>
      </c>
      <c r="E895" s="107" t="s">
        <v>62</v>
      </c>
      <c r="F895" s="107" t="s">
        <v>20</v>
      </c>
      <c r="G895" s="107" t="s">
        <v>22</v>
      </c>
      <c r="H895" s="123"/>
      <c r="I895" s="123"/>
      <c r="J895" s="137">
        <v>2.0</v>
      </c>
      <c r="K895" s="175"/>
      <c r="L895" s="104"/>
      <c r="M895" s="138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173">
        <v>46142.42751516204</v>
      </c>
      <c r="B896" s="124">
        <v>46142.0</v>
      </c>
      <c r="C896" s="115" t="s">
        <v>50</v>
      </c>
      <c r="D896" s="115" t="s">
        <v>123</v>
      </c>
      <c r="E896" s="115" t="s">
        <v>39</v>
      </c>
      <c r="F896" s="115" t="s">
        <v>24</v>
      </c>
      <c r="G896" s="115" t="s">
        <v>31</v>
      </c>
      <c r="H896" s="177">
        <v>0.3333333333333333</v>
      </c>
      <c r="I896" s="177">
        <v>0.4166666666666667</v>
      </c>
      <c r="J896" s="135">
        <v>2.0</v>
      </c>
      <c r="K896" s="176">
        <v>0.0</v>
      </c>
      <c r="L896" s="108" t="s">
        <v>454</v>
      </c>
      <c r="M896" s="136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173">
        <v>46142.71395451389</v>
      </c>
      <c r="B897" s="125">
        <v>46142.0</v>
      </c>
      <c r="C897" s="107" t="s">
        <v>10</v>
      </c>
      <c r="D897" s="107" t="s">
        <v>123</v>
      </c>
      <c r="E897" s="107" t="s">
        <v>39</v>
      </c>
      <c r="F897" s="107" t="s">
        <v>24</v>
      </c>
      <c r="G897" s="107" t="s">
        <v>31</v>
      </c>
      <c r="H897" s="174">
        <v>0.3333333333333333</v>
      </c>
      <c r="I897" s="174">
        <v>0.4375</v>
      </c>
      <c r="J897" s="137">
        <v>2.5</v>
      </c>
      <c r="K897" s="175">
        <v>0.0</v>
      </c>
      <c r="L897" s="111" t="s">
        <v>455</v>
      </c>
      <c r="M897" s="138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173">
        <v>46142.71523219907</v>
      </c>
      <c r="B898" s="124">
        <v>46142.0</v>
      </c>
      <c r="C898" s="115" t="s">
        <v>10</v>
      </c>
      <c r="D898" s="115" t="s">
        <v>120</v>
      </c>
      <c r="E898" s="115" t="s">
        <v>158</v>
      </c>
      <c r="F898" s="115" t="s">
        <v>20</v>
      </c>
      <c r="G898" s="115" t="s">
        <v>22</v>
      </c>
      <c r="H898" s="177">
        <v>0.4375</v>
      </c>
      <c r="I898" s="177">
        <v>0.5416666666666666</v>
      </c>
      <c r="J898" s="135">
        <v>2.5</v>
      </c>
      <c r="K898" s="176">
        <v>0.0</v>
      </c>
      <c r="L898" s="101"/>
      <c r="M898" s="136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173">
        <v>46142.71576466435</v>
      </c>
      <c r="B899" s="125">
        <v>46142.0</v>
      </c>
      <c r="C899" s="107" t="s">
        <v>10</v>
      </c>
      <c r="D899" s="107" t="s">
        <v>120</v>
      </c>
      <c r="E899" s="107" t="s">
        <v>158</v>
      </c>
      <c r="F899" s="107" t="s">
        <v>20</v>
      </c>
      <c r="G899" s="107" t="s">
        <v>22</v>
      </c>
      <c r="H899" s="174">
        <v>0.5416666666666666</v>
      </c>
      <c r="I899" s="174">
        <v>0.5625</v>
      </c>
      <c r="J899" s="137">
        <v>0.5</v>
      </c>
      <c r="K899" s="175">
        <v>0.0</v>
      </c>
      <c r="L899" s="111" t="s">
        <v>456</v>
      </c>
      <c r="M899" s="138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173">
        <v>46142.719135300926</v>
      </c>
      <c r="B900" s="124">
        <v>46142.0</v>
      </c>
      <c r="C900" s="115" t="s">
        <v>10</v>
      </c>
      <c r="D900" s="115" t="s">
        <v>142</v>
      </c>
      <c r="E900" s="115" t="s">
        <v>151</v>
      </c>
      <c r="F900" s="115" t="s">
        <v>24</v>
      </c>
      <c r="G900" s="108" t="s">
        <v>57</v>
      </c>
      <c r="H900" s="177">
        <v>0.5625</v>
      </c>
      <c r="I900" s="177">
        <v>0.5833333333333334</v>
      </c>
      <c r="J900" s="135">
        <v>0.5</v>
      </c>
      <c r="K900" s="176">
        <v>0.0</v>
      </c>
      <c r="L900" s="108" t="s">
        <v>457</v>
      </c>
      <c r="M900" s="136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173">
        <v>46142.7196437963</v>
      </c>
      <c r="B901" s="125">
        <v>46142.0</v>
      </c>
      <c r="C901" s="107" t="s">
        <v>10</v>
      </c>
      <c r="D901" s="107" t="s">
        <v>142</v>
      </c>
      <c r="E901" s="107" t="s">
        <v>151</v>
      </c>
      <c r="F901" s="107" t="s">
        <v>24</v>
      </c>
      <c r="G901" s="107" t="s">
        <v>31</v>
      </c>
      <c r="H901" s="174">
        <v>0.625</v>
      </c>
      <c r="I901" s="174">
        <v>0.6875</v>
      </c>
      <c r="J901" s="137">
        <v>1.5</v>
      </c>
      <c r="K901" s="175">
        <v>0.0</v>
      </c>
      <c r="L901" s="104"/>
      <c r="M901" s="138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173">
        <v>46142.72047986111</v>
      </c>
      <c r="B902" s="124">
        <v>46142.0</v>
      </c>
      <c r="C902" s="115" t="s">
        <v>10</v>
      </c>
      <c r="D902" s="115" t="s">
        <v>17</v>
      </c>
      <c r="E902" s="115" t="s">
        <v>59</v>
      </c>
      <c r="F902" s="115" t="s">
        <v>59</v>
      </c>
      <c r="G902" s="108" t="s">
        <v>57</v>
      </c>
      <c r="H902" s="177">
        <v>0.6875</v>
      </c>
      <c r="I902" s="177">
        <v>0.7083333333333334</v>
      </c>
      <c r="J902" s="135">
        <v>0.5</v>
      </c>
      <c r="K902" s="176">
        <v>0.0</v>
      </c>
      <c r="L902" s="101"/>
      <c r="M902" s="136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9"/>
      <c r="B903" s="125">
        <v>46142.0</v>
      </c>
      <c r="C903" s="107" t="s">
        <v>27</v>
      </c>
      <c r="D903" s="107" t="s">
        <v>123</v>
      </c>
      <c r="E903" s="107" t="s">
        <v>62</v>
      </c>
      <c r="F903" s="107" t="s">
        <v>20</v>
      </c>
      <c r="G903" s="107" t="s">
        <v>22</v>
      </c>
      <c r="H903" s="123"/>
      <c r="I903" s="123"/>
      <c r="J903" s="137">
        <v>4.0</v>
      </c>
      <c r="K903" s="175"/>
      <c r="L903" s="104"/>
      <c r="M903" s="138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9"/>
      <c r="B904" s="124">
        <v>46142.0</v>
      </c>
      <c r="C904" s="115" t="s">
        <v>27</v>
      </c>
      <c r="D904" s="115" t="s">
        <v>123</v>
      </c>
      <c r="E904" s="115" t="s">
        <v>62</v>
      </c>
      <c r="F904" s="115" t="s">
        <v>20</v>
      </c>
      <c r="G904" s="115" t="s">
        <v>35</v>
      </c>
      <c r="H904" s="120"/>
      <c r="I904" s="120"/>
      <c r="J904" s="135">
        <v>2.0</v>
      </c>
      <c r="K904" s="176"/>
      <c r="L904" s="101"/>
      <c r="M904" s="136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9"/>
      <c r="B905" s="125">
        <v>46142.0</v>
      </c>
      <c r="C905" s="107" t="s">
        <v>27</v>
      </c>
      <c r="D905" s="107" t="s">
        <v>123</v>
      </c>
      <c r="E905" s="107" t="s">
        <v>19</v>
      </c>
      <c r="F905" s="107" t="s">
        <v>24</v>
      </c>
      <c r="G905" s="107" t="s">
        <v>25</v>
      </c>
      <c r="H905" s="123"/>
      <c r="I905" s="123"/>
      <c r="J905" s="137">
        <v>1.0</v>
      </c>
      <c r="K905" s="175"/>
      <c r="L905" s="104"/>
      <c r="M905" s="138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9"/>
      <c r="B906" s="124">
        <v>46142.0</v>
      </c>
      <c r="C906" s="115" t="s">
        <v>27</v>
      </c>
      <c r="D906" s="115" t="s">
        <v>142</v>
      </c>
      <c r="E906" s="115" t="s">
        <v>151</v>
      </c>
      <c r="F906" s="115" t="s">
        <v>20</v>
      </c>
      <c r="G906" s="115" t="s">
        <v>30</v>
      </c>
      <c r="H906" s="120"/>
      <c r="I906" s="120"/>
      <c r="J906" s="135">
        <v>1.0</v>
      </c>
      <c r="K906" s="176"/>
      <c r="L906" s="101"/>
      <c r="M906" s="136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9"/>
      <c r="B907" s="125">
        <v>46142.0</v>
      </c>
      <c r="C907" s="107" t="s">
        <v>33</v>
      </c>
      <c r="D907" s="107" t="s">
        <v>123</v>
      </c>
      <c r="E907" s="107" t="s">
        <v>11</v>
      </c>
      <c r="F907" s="107" t="s">
        <v>24</v>
      </c>
      <c r="G907" s="107" t="s">
        <v>25</v>
      </c>
      <c r="H907" s="123"/>
      <c r="I907" s="123"/>
      <c r="J907" s="137">
        <v>1.5</v>
      </c>
      <c r="K907" s="175"/>
      <c r="L907" s="104"/>
      <c r="M907" s="138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9"/>
      <c r="B908" s="124">
        <v>46142.0</v>
      </c>
      <c r="C908" s="115" t="s">
        <v>33</v>
      </c>
      <c r="D908" s="115" t="s">
        <v>9</v>
      </c>
      <c r="E908" s="115" t="s">
        <v>96</v>
      </c>
      <c r="F908" s="115" t="s">
        <v>59</v>
      </c>
      <c r="G908" s="115" t="s">
        <v>22</v>
      </c>
      <c r="H908" s="120"/>
      <c r="I908" s="120"/>
      <c r="J908" s="135">
        <v>6.5</v>
      </c>
      <c r="K908" s="176"/>
      <c r="L908" s="108" t="s">
        <v>458</v>
      </c>
      <c r="M908" s="136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9"/>
      <c r="B909" s="125">
        <v>46142.0</v>
      </c>
      <c r="C909" s="107" t="s">
        <v>50</v>
      </c>
      <c r="D909" s="107" t="s">
        <v>9</v>
      </c>
      <c r="E909" s="107" t="s">
        <v>96</v>
      </c>
      <c r="F909" s="107" t="s">
        <v>59</v>
      </c>
      <c r="G909" s="107" t="s">
        <v>22</v>
      </c>
      <c r="H909" s="123"/>
      <c r="I909" s="123"/>
      <c r="J909" s="137">
        <v>6.5</v>
      </c>
      <c r="K909" s="175"/>
      <c r="L909" s="111" t="s">
        <v>459</v>
      </c>
      <c r="M909" s="138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9"/>
      <c r="B910" s="124">
        <v>46142.0</v>
      </c>
      <c r="C910" s="115" t="s">
        <v>50</v>
      </c>
      <c r="D910" s="115" t="s">
        <v>123</v>
      </c>
      <c r="E910" s="115" t="s">
        <v>39</v>
      </c>
      <c r="F910" s="115" t="s">
        <v>24</v>
      </c>
      <c r="G910" s="115" t="s">
        <v>31</v>
      </c>
      <c r="H910" s="120"/>
      <c r="I910" s="120"/>
      <c r="J910" s="135">
        <v>2.0</v>
      </c>
      <c r="K910" s="176"/>
      <c r="L910" s="108" t="s">
        <v>454</v>
      </c>
      <c r="M910" s="136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9"/>
      <c r="B911" s="125">
        <v>46142.0</v>
      </c>
      <c r="C911" s="107" t="s">
        <v>18</v>
      </c>
      <c r="D911" s="107" t="s">
        <v>142</v>
      </c>
      <c r="E911" s="107" t="s">
        <v>151</v>
      </c>
      <c r="F911" s="107" t="s">
        <v>20</v>
      </c>
      <c r="G911" s="107" t="s">
        <v>22</v>
      </c>
      <c r="H911" s="123"/>
      <c r="I911" s="123"/>
      <c r="J911" s="137">
        <v>6.5</v>
      </c>
      <c r="K911" s="175"/>
      <c r="L911" s="104"/>
      <c r="M911" s="138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9"/>
      <c r="B912" s="124">
        <v>46142.0</v>
      </c>
      <c r="C912" s="115" t="s">
        <v>18</v>
      </c>
      <c r="D912" s="115" t="s">
        <v>123</v>
      </c>
      <c r="E912" s="115" t="s">
        <v>62</v>
      </c>
      <c r="F912" s="115" t="s">
        <v>20</v>
      </c>
      <c r="G912" s="115" t="s">
        <v>35</v>
      </c>
      <c r="H912" s="120"/>
      <c r="I912" s="120"/>
      <c r="J912" s="135">
        <v>1.5</v>
      </c>
      <c r="K912" s="176"/>
      <c r="L912" s="101"/>
      <c r="M912" s="136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9"/>
      <c r="B913" s="125">
        <v>46142.0</v>
      </c>
      <c r="C913" s="107" t="s">
        <v>10</v>
      </c>
      <c r="D913" s="107" t="s">
        <v>123</v>
      </c>
      <c r="E913" s="107" t="s">
        <v>39</v>
      </c>
      <c r="F913" s="107" t="s">
        <v>24</v>
      </c>
      <c r="G913" s="107" t="s">
        <v>31</v>
      </c>
      <c r="H913" s="123"/>
      <c r="I913" s="123"/>
      <c r="J913" s="137">
        <v>2.0</v>
      </c>
      <c r="K913" s="175"/>
      <c r="L913" s="111" t="s">
        <v>460</v>
      </c>
      <c r="M913" s="138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9"/>
      <c r="B914" s="124">
        <v>46142.0</v>
      </c>
      <c r="C914" s="115" t="s">
        <v>10</v>
      </c>
      <c r="D914" s="115" t="s">
        <v>120</v>
      </c>
      <c r="E914" s="115" t="s">
        <v>158</v>
      </c>
      <c r="F914" s="115" t="s">
        <v>20</v>
      </c>
      <c r="G914" s="115" t="s">
        <v>22</v>
      </c>
      <c r="H914" s="120"/>
      <c r="I914" s="120"/>
      <c r="J914" s="135">
        <v>2.5</v>
      </c>
      <c r="K914" s="176"/>
      <c r="L914" s="101"/>
      <c r="M914" s="136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9"/>
      <c r="B915" s="125">
        <v>46142.0</v>
      </c>
      <c r="C915" s="107" t="s">
        <v>10</v>
      </c>
      <c r="D915" s="107" t="s">
        <v>120</v>
      </c>
      <c r="E915" s="107" t="s">
        <v>158</v>
      </c>
      <c r="F915" s="107" t="s">
        <v>20</v>
      </c>
      <c r="G915" s="178" t="s">
        <v>35</v>
      </c>
      <c r="H915" s="123"/>
      <c r="I915" s="123"/>
      <c r="J915" s="137">
        <v>1.0</v>
      </c>
      <c r="K915" s="175"/>
      <c r="L915" s="107" t="s">
        <v>411</v>
      </c>
      <c r="M915" s="138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9"/>
      <c r="B916" s="124">
        <v>46142.0</v>
      </c>
      <c r="C916" s="115" t="s">
        <v>10</v>
      </c>
      <c r="D916" s="115" t="s">
        <v>142</v>
      </c>
      <c r="E916" s="115" t="s">
        <v>151</v>
      </c>
      <c r="F916" s="115" t="s">
        <v>24</v>
      </c>
      <c r="G916" s="115" t="s">
        <v>31</v>
      </c>
      <c r="H916" s="120"/>
      <c r="I916" s="120"/>
      <c r="J916" s="135">
        <v>1.5</v>
      </c>
      <c r="K916" s="176"/>
      <c r="L916" s="108" t="s">
        <v>206</v>
      </c>
      <c r="M916" s="136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9"/>
      <c r="B917" s="125">
        <v>46146.0</v>
      </c>
      <c r="C917" s="107" t="s">
        <v>50</v>
      </c>
      <c r="D917" s="107" t="s">
        <v>142</v>
      </c>
      <c r="E917" s="107" t="s">
        <v>151</v>
      </c>
      <c r="F917" s="107" t="s">
        <v>13</v>
      </c>
      <c r="G917" s="107" t="s">
        <v>13</v>
      </c>
      <c r="H917" s="123"/>
      <c r="J917" s="137">
        <f>20/60</f>
        <v>0.3333333333</v>
      </c>
      <c r="K917" s="175"/>
      <c r="L917" s="104"/>
      <c r="M917" s="138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9"/>
      <c r="B918" s="124">
        <v>46146.0</v>
      </c>
      <c r="C918" s="115" t="s">
        <v>33</v>
      </c>
      <c r="D918" s="115" t="s">
        <v>32</v>
      </c>
      <c r="E918" s="115" t="s">
        <v>96</v>
      </c>
      <c r="F918" s="115" t="s">
        <v>59</v>
      </c>
      <c r="G918" s="115" t="s">
        <v>54</v>
      </c>
      <c r="H918" s="120"/>
      <c r="I918" s="120"/>
      <c r="J918" s="135">
        <v>8.0</v>
      </c>
      <c r="K918" s="176"/>
      <c r="L918" s="108" t="s">
        <v>461</v>
      </c>
      <c r="M918" s="136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9"/>
      <c r="B919" s="125">
        <v>46146.0</v>
      </c>
      <c r="C919" s="107" t="s">
        <v>18</v>
      </c>
      <c r="D919" s="107" t="s">
        <v>120</v>
      </c>
      <c r="E919" s="107" t="s">
        <v>157</v>
      </c>
      <c r="F919" s="107" t="s">
        <v>59</v>
      </c>
      <c r="G919" s="107" t="s">
        <v>78</v>
      </c>
      <c r="H919" s="123"/>
      <c r="I919" s="123"/>
      <c r="J919" s="137">
        <v>0.5</v>
      </c>
      <c r="K919" s="175"/>
      <c r="L919" s="104"/>
      <c r="M919" s="138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9"/>
      <c r="B920" s="124">
        <v>46146.0</v>
      </c>
      <c r="C920" s="115" t="s">
        <v>18</v>
      </c>
      <c r="D920" s="115" t="s">
        <v>120</v>
      </c>
      <c r="E920" s="115" t="s">
        <v>157</v>
      </c>
      <c r="F920" s="115" t="s">
        <v>20</v>
      </c>
      <c r="G920" s="115" t="s">
        <v>22</v>
      </c>
      <c r="H920" s="120"/>
      <c r="I920" s="120"/>
      <c r="J920" s="135">
        <v>3.0</v>
      </c>
      <c r="K920" s="176"/>
      <c r="L920" s="108" t="s">
        <v>462</v>
      </c>
      <c r="M920" s="136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9"/>
      <c r="B921" s="125">
        <v>46146.0</v>
      </c>
      <c r="C921" s="107" t="s">
        <v>18</v>
      </c>
      <c r="D921" s="107" t="s">
        <v>120</v>
      </c>
      <c r="E921" s="107" t="s">
        <v>158</v>
      </c>
      <c r="F921" s="107" t="s">
        <v>20</v>
      </c>
      <c r="G921" s="107" t="s">
        <v>22</v>
      </c>
      <c r="H921" s="123"/>
      <c r="I921" s="123"/>
      <c r="J921" s="137">
        <v>1.0</v>
      </c>
      <c r="K921" s="175"/>
      <c r="L921" s="111" t="s">
        <v>463</v>
      </c>
      <c r="M921" s="138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179" t="s">
        <v>464</v>
      </c>
      <c r="B922" s="124">
        <v>46146.0</v>
      </c>
      <c r="C922" s="115" t="s">
        <v>18</v>
      </c>
      <c r="D922" s="115" t="s">
        <v>142</v>
      </c>
      <c r="E922" s="115" t="s">
        <v>151</v>
      </c>
      <c r="F922" s="115" t="s">
        <v>20</v>
      </c>
      <c r="G922" s="115" t="s">
        <v>30</v>
      </c>
      <c r="H922" s="120"/>
      <c r="I922" s="120"/>
      <c r="J922" s="135">
        <v>2.5</v>
      </c>
      <c r="K922" s="176"/>
      <c r="L922" s="108"/>
      <c r="M922" s="136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9"/>
      <c r="B923" s="125">
        <v>46146.0</v>
      </c>
      <c r="C923" s="107" t="s">
        <v>18</v>
      </c>
      <c r="D923" s="107" t="s">
        <v>142</v>
      </c>
      <c r="E923" s="107" t="s">
        <v>151</v>
      </c>
      <c r="F923" s="107" t="s">
        <v>20</v>
      </c>
      <c r="G923" s="107" t="s">
        <v>22</v>
      </c>
      <c r="H923" s="123"/>
      <c r="I923" s="123"/>
      <c r="J923" s="137">
        <v>1.0</v>
      </c>
      <c r="K923" s="175"/>
      <c r="L923" s="111" t="s">
        <v>465</v>
      </c>
      <c r="M923" s="138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9"/>
      <c r="B924" s="124">
        <v>46146.0</v>
      </c>
      <c r="C924" s="115" t="s">
        <v>10</v>
      </c>
      <c r="D924" s="115" t="s">
        <v>120</v>
      </c>
      <c r="E924" s="115" t="s">
        <v>157</v>
      </c>
      <c r="F924" s="115" t="s">
        <v>20</v>
      </c>
      <c r="G924" s="115" t="s">
        <v>22</v>
      </c>
      <c r="H924" s="120"/>
      <c r="I924" s="120"/>
      <c r="J924" s="135">
        <v>3.25</v>
      </c>
      <c r="K924" s="176"/>
      <c r="L924" s="108" t="s">
        <v>466</v>
      </c>
      <c r="M924" s="136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9"/>
      <c r="B925" s="125">
        <v>46146.0</v>
      </c>
      <c r="C925" s="107" t="s">
        <v>10</v>
      </c>
      <c r="D925" s="107" t="s">
        <v>120</v>
      </c>
      <c r="E925" s="107" t="s">
        <v>158</v>
      </c>
      <c r="F925" s="107" t="s">
        <v>20</v>
      </c>
      <c r="G925" s="107" t="s">
        <v>22</v>
      </c>
      <c r="H925" s="123"/>
      <c r="I925" s="123"/>
      <c r="J925" s="137">
        <v>0.75</v>
      </c>
      <c r="K925" s="175"/>
      <c r="L925" s="111" t="s">
        <v>467</v>
      </c>
      <c r="M925" s="138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9"/>
      <c r="B926" s="124">
        <v>46146.0</v>
      </c>
      <c r="C926" s="115" t="s">
        <v>10</v>
      </c>
      <c r="D926" s="115" t="s">
        <v>120</v>
      </c>
      <c r="E926" s="115" t="s">
        <v>56</v>
      </c>
      <c r="F926" s="115" t="s">
        <v>20</v>
      </c>
      <c r="G926" s="115" t="s">
        <v>22</v>
      </c>
      <c r="H926" s="120"/>
      <c r="I926" s="120"/>
      <c r="J926" s="135">
        <v>1.5</v>
      </c>
      <c r="K926" s="176"/>
      <c r="L926" s="101"/>
      <c r="M926" s="136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9"/>
      <c r="B927" s="125">
        <v>46146.0</v>
      </c>
      <c r="C927" s="107" t="s">
        <v>10</v>
      </c>
      <c r="D927" s="107" t="s">
        <v>142</v>
      </c>
      <c r="E927" s="107" t="s">
        <v>151</v>
      </c>
      <c r="F927" s="107" t="s">
        <v>20</v>
      </c>
      <c r="G927" s="107" t="s">
        <v>22</v>
      </c>
      <c r="H927" s="123"/>
      <c r="I927" s="123"/>
      <c r="J927" s="137">
        <v>2.5</v>
      </c>
      <c r="K927" s="175"/>
      <c r="L927" s="104"/>
      <c r="M927" s="138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9"/>
      <c r="B928" s="124">
        <v>46146.0</v>
      </c>
      <c r="C928" s="115" t="s">
        <v>27</v>
      </c>
      <c r="D928" s="115" t="s">
        <v>120</v>
      </c>
      <c r="E928" s="115" t="s">
        <v>157</v>
      </c>
      <c r="F928" s="115" t="s">
        <v>20</v>
      </c>
      <c r="G928" s="115" t="s">
        <v>22</v>
      </c>
      <c r="H928" s="120"/>
      <c r="I928" s="120"/>
      <c r="J928" s="135">
        <v>2.5</v>
      </c>
      <c r="K928" s="176"/>
      <c r="L928" s="101"/>
      <c r="M928" s="136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9"/>
      <c r="B929" s="125">
        <v>46146.0</v>
      </c>
      <c r="C929" s="107" t="s">
        <v>27</v>
      </c>
      <c r="D929" s="107" t="s">
        <v>142</v>
      </c>
      <c r="E929" s="107" t="s">
        <v>151</v>
      </c>
      <c r="F929" s="107" t="s">
        <v>20</v>
      </c>
      <c r="G929" s="107" t="s">
        <v>30</v>
      </c>
      <c r="H929" s="123"/>
      <c r="I929" s="123"/>
      <c r="J929" s="137">
        <v>4.0</v>
      </c>
      <c r="K929" s="175"/>
      <c r="L929" s="104"/>
      <c r="M929" s="138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9"/>
      <c r="B930" s="124">
        <v>46146.0</v>
      </c>
      <c r="C930" s="115" t="s">
        <v>27</v>
      </c>
      <c r="D930" s="115" t="s">
        <v>123</v>
      </c>
      <c r="E930" s="115" t="s">
        <v>39</v>
      </c>
      <c r="F930" s="115" t="s">
        <v>20</v>
      </c>
      <c r="G930" s="115" t="s">
        <v>30</v>
      </c>
      <c r="H930" s="120"/>
      <c r="I930" s="120"/>
      <c r="J930" s="135">
        <v>0.5</v>
      </c>
      <c r="K930" s="176"/>
      <c r="L930" s="101"/>
      <c r="M930" s="136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9"/>
      <c r="B931" s="125">
        <v>46146.0</v>
      </c>
      <c r="C931" s="107" t="s">
        <v>27</v>
      </c>
      <c r="D931" s="107" t="s">
        <v>142</v>
      </c>
      <c r="E931" s="107" t="s">
        <v>151</v>
      </c>
      <c r="F931" s="107" t="s">
        <v>24</v>
      </c>
      <c r="G931" s="107" t="s">
        <v>31</v>
      </c>
      <c r="H931" s="123"/>
      <c r="I931" s="123"/>
      <c r="J931" s="137">
        <v>1.0</v>
      </c>
      <c r="K931" s="175"/>
      <c r="L931" s="111" t="s">
        <v>468</v>
      </c>
      <c r="M931" s="138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9"/>
      <c r="B932" s="124">
        <v>46147.0</v>
      </c>
      <c r="C932" s="115" t="s">
        <v>50</v>
      </c>
      <c r="D932" s="115" t="s">
        <v>142</v>
      </c>
      <c r="E932" s="115" t="s">
        <v>151</v>
      </c>
      <c r="F932" s="115" t="s">
        <v>13</v>
      </c>
      <c r="G932" s="115" t="s">
        <v>13</v>
      </c>
      <c r="H932" s="120"/>
      <c r="I932" s="120"/>
      <c r="J932" s="135">
        <f>8/60</f>
        <v>0.1333333333</v>
      </c>
      <c r="K932" s="176"/>
      <c r="L932" s="101"/>
      <c r="M932" s="136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173">
        <v>46148.74648292824</v>
      </c>
      <c r="B933" s="125">
        <v>46147.0</v>
      </c>
      <c r="C933" s="107" t="s">
        <v>10</v>
      </c>
      <c r="D933" s="107" t="s">
        <v>116</v>
      </c>
      <c r="E933" s="107" t="s">
        <v>11</v>
      </c>
      <c r="F933" s="107" t="s">
        <v>24</v>
      </c>
      <c r="G933" s="107" t="s">
        <v>31</v>
      </c>
      <c r="H933" s="174">
        <v>0.3333333333333333</v>
      </c>
      <c r="I933" s="174">
        <v>0.375</v>
      </c>
      <c r="J933" s="137">
        <v>1.0</v>
      </c>
      <c r="K933" s="175">
        <v>0.0</v>
      </c>
      <c r="L933" s="104"/>
      <c r="M933" s="138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173">
        <v>46148.74682457176</v>
      </c>
      <c r="B934" s="124">
        <v>46147.0</v>
      </c>
      <c r="C934" s="115" t="s">
        <v>10</v>
      </c>
      <c r="D934" s="115" t="s">
        <v>123</v>
      </c>
      <c r="E934" s="115" t="s">
        <v>11</v>
      </c>
      <c r="F934" s="115" t="s">
        <v>24</v>
      </c>
      <c r="G934" s="115" t="s">
        <v>31</v>
      </c>
      <c r="H934" s="177">
        <v>0.375</v>
      </c>
      <c r="I934" s="177">
        <v>0.4166666666666667</v>
      </c>
      <c r="J934" s="135">
        <v>1.0</v>
      </c>
      <c r="K934" s="176">
        <v>0.0</v>
      </c>
      <c r="L934" s="101"/>
      <c r="M934" s="136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173">
        <v>46148.747312175925</v>
      </c>
      <c r="B935" s="125">
        <v>46147.0</v>
      </c>
      <c r="C935" s="107" t="s">
        <v>10</v>
      </c>
      <c r="D935" s="107" t="s">
        <v>116</v>
      </c>
      <c r="E935" s="107" t="s">
        <v>19</v>
      </c>
      <c r="F935" s="107" t="s">
        <v>24</v>
      </c>
      <c r="G935" s="107" t="s">
        <v>31</v>
      </c>
      <c r="H935" s="174">
        <v>0.4166666666666667</v>
      </c>
      <c r="I935" s="174">
        <v>0.5833333333333334</v>
      </c>
      <c r="J935" s="137">
        <v>4.0</v>
      </c>
      <c r="K935" s="175">
        <v>0.0</v>
      </c>
      <c r="L935" s="104"/>
      <c r="M935" s="138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173">
        <v>46148.74781877315</v>
      </c>
      <c r="B936" s="124">
        <v>46147.0</v>
      </c>
      <c r="C936" s="115" t="s">
        <v>10</v>
      </c>
      <c r="D936" s="115" t="s">
        <v>142</v>
      </c>
      <c r="E936" s="115" t="s">
        <v>151</v>
      </c>
      <c r="F936" s="115" t="s">
        <v>20</v>
      </c>
      <c r="G936" s="115" t="s">
        <v>22</v>
      </c>
      <c r="H936" s="177">
        <v>0.625</v>
      </c>
      <c r="I936" s="177">
        <v>0.7083333333333334</v>
      </c>
      <c r="J936" s="135">
        <v>2.0</v>
      </c>
      <c r="K936" s="176">
        <v>0.0</v>
      </c>
      <c r="L936" s="108" t="s">
        <v>469</v>
      </c>
      <c r="M936" s="136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173">
        <v>46148.748348877314</v>
      </c>
      <c r="B937" s="125">
        <v>46147.0</v>
      </c>
      <c r="C937" s="107" t="s">
        <v>10</v>
      </c>
      <c r="D937" s="107" t="s">
        <v>144</v>
      </c>
      <c r="E937" s="107" t="s">
        <v>56</v>
      </c>
      <c r="F937" s="107" t="s">
        <v>20</v>
      </c>
      <c r="G937" s="107" t="s">
        <v>22</v>
      </c>
      <c r="H937" s="174">
        <v>0.7083333333333334</v>
      </c>
      <c r="I937" s="174">
        <v>0.75</v>
      </c>
      <c r="J937" s="175">
        <v>0.0</v>
      </c>
      <c r="K937" s="137">
        <v>1.0</v>
      </c>
      <c r="L937" s="111" t="s">
        <v>470</v>
      </c>
      <c r="M937" s="138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173">
        <v>46148.760078935185</v>
      </c>
      <c r="B938" s="124">
        <v>46147.0</v>
      </c>
      <c r="C938" s="115" t="s">
        <v>10</v>
      </c>
      <c r="D938" s="115" t="s">
        <v>144</v>
      </c>
      <c r="E938" s="115" t="s">
        <v>160</v>
      </c>
      <c r="F938" s="115" t="s">
        <v>24</v>
      </c>
      <c r="G938" s="115" t="s">
        <v>31</v>
      </c>
      <c r="H938" s="177">
        <v>0.75</v>
      </c>
      <c r="I938" s="177">
        <v>0.8333333333333334</v>
      </c>
      <c r="J938" s="176">
        <v>0.0</v>
      </c>
      <c r="K938" s="135">
        <v>2.0</v>
      </c>
      <c r="L938" s="108" t="s">
        <v>471</v>
      </c>
      <c r="M938" s="136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173">
        <v>46148.65360773148</v>
      </c>
      <c r="B939" s="180">
        <v>46148.0</v>
      </c>
      <c r="C939" s="107" t="s">
        <v>27</v>
      </c>
      <c r="D939" s="107" t="s">
        <v>144</v>
      </c>
      <c r="E939" s="107" t="s">
        <v>56</v>
      </c>
      <c r="F939" s="107" t="s">
        <v>20</v>
      </c>
      <c r="G939" s="107" t="s">
        <v>30</v>
      </c>
      <c r="H939" s="174">
        <v>0.3333333333333333</v>
      </c>
      <c r="I939" s="174">
        <v>0.4166666666666667</v>
      </c>
      <c r="J939" s="137">
        <v>2.0</v>
      </c>
      <c r="K939" s="175">
        <v>0.0</v>
      </c>
      <c r="L939" s="111" t="s">
        <v>472</v>
      </c>
      <c r="M939" s="138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173">
        <v>46148.671584675925</v>
      </c>
      <c r="B940" s="181">
        <v>46148.0</v>
      </c>
      <c r="C940" s="115" t="s">
        <v>27</v>
      </c>
      <c r="D940" s="115" t="s">
        <v>123</v>
      </c>
      <c r="E940" s="115" t="s">
        <v>19</v>
      </c>
      <c r="F940" s="115" t="s">
        <v>24</v>
      </c>
      <c r="G940" s="115" t="s">
        <v>25</v>
      </c>
      <c r="H940" s="177">
        <v>0.4166666666666667</v>
      </c>
      <c r="I940" s="177">
        <v>0.5833333333333334</v>
      </c>
      <c r="J940" s="135">
        <v>4.0</v>
      </c>
      <c r="K940" s="176">
        <v>0.0</v>
      </c>
      <c r="L940" s="101"/>
      <c r="M940" s="136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173">
        <v>46148.67641576389</v>
      </c>
      <c r="B941" s="180">
        <v>46148.0</v>
      </c>
      <c r="C941" s="107" t="s">
        <v>18</v>
      </c>
      <c r="D941" s="107" t="s">
        <v>55</v>
      </c>
      <c r="E941" s="107" t="s">
        <v>159</v>
      </c>
      <c r="F941" s="107" t="s">
        <v>20</v>
      </c>
      <c r="G941" s="107" t="s">
        <v>21</v>
      </c>
      <c r="H941" s="174">
        <v>0.3333333333333333</v>
      </c>
      <c r="I941" s="174">
        <v>0.4583333333333333</v>
      </c>
      <c r="J941" s="137">
        <v>3.0</v>
      </c>
      <c r="K941" s="175">
        <v>0.0</v>
      </c>
      <c r="L941" s="104"/>
      <c r="M941" s="138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173">
        <v>46148.67812881945</v>
      </c>
      <c r="B942" s="181">
        <v>46148.0</v>
      </c>
      <c r="C942" s="115" t="s">
        <v>18</v>
      </c>
      <c r="D942" s="115" t="s">
        <v>123</v>
      </c>
      <c r="E942" s="115" t="s">
        <v>39</v>
      </c>
      <c r="F942" s="115" t="s">
        <v>20</v>
      </c>
      <c r="G942" s="115" t="s">
        <v>47</v>
      </c>
      <c r="H942" s="177">
        <v>0.4583333333333333</v>
      </c>
      <c r="I942" s="177">
        <v>0.5833333333333334</v>
      </c>
      <c r="J942" s="135">
        <v>3.0</v>
      </c>
      <c r="K942" s="176">
        <v>0.0</v>
      </c>
      <c r="L942" s="101"/>
      <c r="M942" s="136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173">
        <v>46148.67871663194</v>
      </c>
      <c r="B943" s="180">
        <v>46148.0</v>
      </c>
      <c r="C943" s="107" t="s">
        <v>18</v>
      </c>
      <c r="D943" s="107" t="s">
        <v>123</v>
      </c>
      <c r="E943" s="107" t="s">
        <v>39</v>
      </c>
      <c r="F943" s="107" t="s">
        <v>20</v>
      </c>
      <c r="G943" s="107" t="s">
        <v>47</v>
      </c>
      <c r="H943" s="174">
        <v>0.625</v>
      </c>
      <c r="I943" s="174">
        <v>0.6666666666666666</v>
      </c>
      <c r="J943" s="137">
        <v>1.0</v>
      </c>
      <c r="K943" s="175">
        <v>0.0</v>
      </c>
      <c r="L943" s="104"/>
      <c r="M943" s="138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173">
        <v>46149.25453363426</v>
      </c>
      <c r="B944" s="181">
        <v>46148.0</v>
      </c>
      <c r="C944" s="115" t="s">
        <v>18</v>
      </c>
      <c r="D944" s="115" t="s">
        <v>123</v>
      </c>
      <c r="E944" s="115" t="s">
        <v>39</v>
      </c>
      <c r="F944" s="115" t="s">
        <v>20</v>
      </c>
      <c r="G944" s="115" t="s">
        <v>35</v>
      </c>
      <c r="H944" s="177">
        <v>0.6666666666666666</v>
      </c>
      <c r="I944" s="177">
        <v>0.7083333333333334</v>
      </c>
      <c r="J944" s="135">
        <v>1.0</v>
      </c>
      <c r="K944" s="176">
        <v>0.0</v>
      </c>
      <c r="L944" s="108"/>
      <c r="M944" s="136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9"/>
      <c r="B945" s="125"/>
      <c r="C945" s="107"/>
      <c r="D945" s="107"/>
      <c r="E945" s="107"/>
      <c r="F945" s="107"/>
      <c r="G945" s="107"/>
      <c r="H945" s="123"/>
      <c r="I945" s="123"/>
      <c r="J945" s="137"/>
      <c r="K945" s="175"/>
      <c r="L945" s="104"/>
      <c r="M945" s="138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9"/>
      <c r="B946" s="124"/>
      <c r="C946" s="115"/>
      <c r="D946" s="115"/>
      <c r="E946" s="115"/>
      <c r="F946" s="115"/>
      <c r="G946" s="115"/>
      <c r="H946" s="120"/>
      <c r="I946" s="120"/>
      <c r="J946" s="135"/>
      <c r="K946" s="176"/>
      <c r="L946" s="101"/>
      <c r="M946" s="136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9"/>
      <c r="B947" s="125"/>
      <c r="C947" s="107"/>
      <c r="D947" s="107"/>
      <c r="E947" s="107"/>
      <c r="F947" s="107"/>
      <c r="G947" s="107"/>
      <c r="H947" s="123"/>
      <c r="I947" s="123"/>
      <c r="J947" s="137"/>
      <c r="K947" s="175"/>
      <c r="L947" s="104"/>
      <c r="M947" s="138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9"/>
      <c r="B948" s="124"/>
      <c r="C948" s="115"/>
      <c r="D948" s="115"/>
      <c r="E948" s="115"/>
      <c r="F948" s="115"/>
      <c r="G948" s="115"/>
      <c r="H948" s="120"/>
      <c r="I948" s="120"/>
      <c r="J948" s="135"/>
      <c r="K948" s="176"/>
      <c r="L948" s="101"/>
      <c r="M948" s="136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9"/>
      <c r="B949" s="125"/>
      <c r="C949" s="107"/>
      <c r="D949" s="107"/>
      <c r="E949" s="107"/>
      <c r="F949" s="107"/>
      <c r="G949" s="107"/>
      <c r="H949" s="123"/>
      <c r="I949" s="123"/>
      <c r="J949" s="137"/>
      <c r="K949" s="175"/>
      <c r="L949" s="104"/>
      <c r="M949" s="138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9"/>
      <c r="B950" s="124"/>
      <c r="C950" s="115"/>
      <c r="D950" s="115"/>
      <c r="E950" s="115"/>
      <c r="F950" s="115"/>
      <c r="G950" s="115"/>
      <c r="H950" s="120"/>
      <c r="I950" s="120"/>
      <c r="J950" s="135"/>
      <c r="K950" s="176"/>
      <c r="L950" s="101"/>
      <c r="M950" s="136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9"/>
      <c r="B951" s="125"/>
      <c r="C951" s="107"/>
      <c r="D951" s="107"/>
      <c r="E951" s="107"/>
      <c r="F951" s="107"/>
      <c r="G951" s="107"/>
      <c r="H951" s="123"/>
      <c r="I951" s="123"/>
      <c r="J951" s="137"/>
      <c r="K951" s="175"/>
      <c r="L951" s="104"/>
      <c r="M951" s="138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9"/>
      <c r="B952" s="124"/>
      <c r="C952" s="115"/>
      <c r="D952" s="115"/>
      <c r="E952" s="115"/>
      <c r="F952" s="115"/>
      <c r="G952" s="115"/>
      <c r="H952" s="120"/>
      <c r="I952" s="120"/>
      <c r="J952" s="135"/>
      <c r="K952" s="176"/>
      <c r="L952" s="101"/>
      <c r="M952" s="136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9"/>
      <c r="B953" s="125"/>
      <c r="C953" s="107"/>
      <c r="D953" s="107"/>
      <c r="E953" s="107"/>
      <c r="F953" s="107"/>
      <c r="G953" s="107"/>
      <c r="H953" s="123"/>
      <c r="I953" s="123"/>
      <c r="J953" s="137"/>
      <c r="K953" s="175"/>
      <c r="L953" s="104"/>
      <c r="M953" s="138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9"/>
      <c r="B954" s="124"/>
      <c r="C954" s="115"/>
      <c r="D954" s="115"/>
      <c r="E954" s="115"/>
      <c r="F954" s="115"/>
      <c r="G954" s="115"/>
      <c r="H954" s="120"/>
      <c r="I954" s="120"/>
      <c r="J954" s="135"/>
      <c r="K954" s="176"/>
      <c r="L954" s="101"/>
      <c r="M954" s="136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9"/>
      <c r="B955" s="125"/>
      <c r="C955" s="107"/>
      <c r="D955" s="107"/>
      <c r="E955" s="107"/>
      <c r="F955" s="107"/>
      <c r="G955" s="107"/>
      <c r="H955" s="123"/>
      <c r="I955" s="123"/>
      <c r="J955" s="137"/>
      <c r="K955" s="175"/>
      <c r="L955" s="104"/>
      <c r="M955" s="138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9"/>
      <c r="B956" s="124"/>
      <c r="C956" s="115"/>
      <c r="D956" s="115"/>
      <c r="E956" s="115"/>
      <c r="F956" s="115"/>
      <c r="G956" s="115"/>
      <c r="H956" s="120"/>
      <c r="I956" s="120"/>
      <c r="J956" s="135"/>
      <c r="K956" s="176"/>
      <c r="L956" s="101"/>
      <c r="M956" s="136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9"/>
      <c r="B957" s="125"/>
      <c r="C957" s="107"/>
      <c r="D957" s="107"/>
      <c r="E957" s="107"/>
      <c r="F957" s="107"/>
      <c r="G957" s="107"/>
      <c r="H957" s="123"/>
      <c r="I957" s="123"/>
      <c r="J957" s="137"/>
      <c r="K957" s="175"/>
      <c r="L957" s="104"/>
      <c r="M957" s="138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9"/>
      <c r="B958" s="124"/>
      <c r="C958" s="115"/>
      <c r="D958" s="115"/>
      <c r="E958" s="115"/>
      <c r="F958" s="115"/>
      <c r="G958" s="115"/>
      <c r="H958" s="120"/>
      <c r="I958" s="120"/>
      <c r="J958" s="135"/>
      <c r="K958" s="176"/>
      <c r="L958" s="101"/>
      <c r="M958" s="136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9"/>
      <c r="B959" s="125"/>
      <c r="C959" s="107"/>
      <c r="D959" s="107"/>
      <c r="E959" s="107"/>
      <c r="F959" s="107"/>
      <c r="G959" s="107"/>
      <c r="H959" s="123"/>
      <c r="I959" s="123"/>
      <c r="J959" s="137"/>
      <c r="K959" s="175"/>
      <c r="L959" s="104"/>
      <c r="M959" s="138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9"/>
      <c r="B960" s="124"/>
      <c r="C960" s="115"/>
      <c r="D960" s="115"/>
      <c r="E960" s="115"/>
      <c r="F960" s="115"/>
      <c r="G960" s="115"/>
      <c r="H960" s="120"/>
      <c r="I960" s="120"/>
      <c r="J960" s="135"/>
      <c r="K960" s="176"/>
      <c r="L960" s="101"/>
      <c r="M960" s="136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9"/>
      <c r="B961" s="125"/>
      <c r="C961" s="107"/>
      <c r="D961" s="107"/>
      <c r="E961" s="107"/>
      <c r="F961" s="107"/>
      <c r="G961" s="107"/>
      <c r="H961" s="123"/>
      <c r="I961" s="123"/>
      <c r="J961" s="137"/>
      <c r="K961" s="175"/>
      <c r="L961" s="104"/>
      <c r="M961" s="138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9"/>
      <c r="B962" s="124"/>
      <c r="C962" s="115"/>
      <c r="D962" s="115"/>
      <c r="E962" s="115"/>
      <c r="F962" s="115"/>
      <c r="G962" s="115"/>
      <c r="H962" s="120"/>
      <c r="I962" s="120"/>
      <c r="J962" s="135"/>
      <c r="K962" s="176"/>
      <c r="L962" s="101"/>
      <c r="M962" s="136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9"/>
      <c r="B963" s="125"/>
      <c r="C963" s="107"/>
      <c r="D963" s="107"/>
      <c r="E963" s="107"/>
      <c r="F963" s="107"/>
      <c r="G963" s="107"/>
      <c r="H963" s="123"/>
      <c r="I963" s="123"/>
      <c r="J963" s="137"/>
      <c r="K963" s="175"/>
      <c r="L963" s="104"/>
      <c r="M963" s="138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9"/>
      <c r="B964" s="124"/>
      <c r="C964" s="115"/>
      <c r="D964" s="115"/>
      <c r="E964" s="115"/>
      <c r="F964" s="115"/>
      <c r="G964" s="115"/>
      <c r="H964" s="120"/>
      <c r="I964" s="120"/>
      <c r="J964" s="135"/>
      <c r="K964" s="176"/>
      <c r="L964" s="101"/>
      <c r="M964" s="136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9"/>
      <c r="B965" s="125"/>
      <c r="C965" s="107"/>
      <c r="D965" s="107"/>
      <c r="E965" s="107"/>
      <c r="F965" s="107"/>
      <c r="G965" s="107"/>
      <c r="H965" s="123"/>
      <c r="I965" s="123"/>
      <c r="J965" s="137"/>
      <c r="K965" s="175"/>
      <c r="L965" s="104"/>
      <c r="M965" s="138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9"/>
      <c r="B966" s="124"/>
      <c r="C966" s="115"/>
      <c r="D966" s="115"/>
      <c r="E966" s="115"/>
      <c r="F966" s="115"/>
      <c r="G966" s="115"/>
      <c r="H966" s="120"/>
      <c r="I966" s="120"/>
      <c r="J966" s="135"/>
      <c r="K966" s="176"/>
      <c r="L966" s="101"/>
      <c r="M966" s="136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9"/>
      <c r="B967" s="125"/>
      <c r="C967" s="107"/>
      <c r="D967" s="107"/>
      <c r="E967" s="107"/>
      <c r="F967" s="107"/>
      <c r="G967" s="107"/>
      <c r="H967" s="123"/>
      <c r="I967" s="123"/>
      <c r="J967" s="137"/>
      <c r="K967" s="175"/>
      <c r="L967" s="104"/>
      <c r="M967" s="138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9"/>
      <c r="B968" s="124"/>
      <c r="C968" s="115"/>
      <c r="D968" s="115"/>
      <c r="E968" s="115"/>
      <c r="F968" s="115"/>
      <c r="G968" s="115"/>
      <c r="H968" s="120"/>
      <c r="I968" s="120"/>
      <c r="J968" s="135"/>
      <c r="K968" s="176"/>
      <c r="L968" s="101"/>
      <c r="M968" s="136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9"/>
      <c r="B969" s="125"/>
      <c r="C969" s="107"/>
      <c r="D969" s="107"/>
      <c r="E969" s="107"/>
      <c r="F969" s="107"/>
      <c r="G969" s="107"/>
      <c r="H969" s="123"/>
      <c r="I969" s="123"/>
      <c r="J969" s="137"/>
      <c r="K969" s="175"/>
      <c r="L969" s="104"/>
      <c r="M969" s="138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9"/>
      <c r="B970" s="124"/>
      <c r="C970" s="115"/>
      <c r="D970" s="115"/>
      <c r="E970" s="115"/>
      <c r="F970" s="115"/>
      <c r="G970" s="115"/>
      <c r="H970" s="120"/>
      <c r="I970" s="120"/>
      <c r="J970" s="135"/>
      <c r="K970" s="176"/>
      <c r="L970" s="101"/>
      <c r="M970" s="136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9"/>
      <c r="B971" s="125"/>
      <c r="C971" s="107"/>
      <c r="D971" s="107"/>
      <c r="E971" s="107"/>
      <c r="F971" s="107"/>
      <c r="G971" s="107"/>
      <c r="H971" s="123"/>
      <c r="I971" s="123"/>
      <c r="J971" s="137"/>
      <c r="K971" s="175"/>
      <c r="L971" s="104"/>
      <c r="M971" s="138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9"/>
      <c r="B972" s="124"/>
      <c r="C972" s="115"/>
      <c r="D972" s="115"/>
      <c r="E972" s="115"/>
      <c r="F972" s="115"/>
      <c r="G972" s="115"/>
      <c r="H972" s="120"/>
      <c r="I972" s="120"/>
      <c r="J972" s="135"/>
      <c r="K972" s="176"/>
      <c r="L972" s="101"/>
      <c r="M972" s="136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9"/>
      <c r="B973" s="125"/>
      <c r="C973" s="107"/>
      <c r="D973" s="107"/>
      <c r="E973" s="107"/>
      <c r="F973" s="107"/>
      <c r="G973" s="107"/>
      <c r="H973" s="123"/>
      <c r="I973" s="123"/>
      <c r="J973" s="137"/>
      <c r="K973" s="175"/>
      <c r="L973" s="104"/>
      <c r="M973" s="138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9"/>
      <c r="B974" s="124"/>
      <c r="C974" s="115"/>
      <c r="D974" s="115"/>
      <c r="E974" s="115"/>
      <c r="F974" s="115"/>
      <c r="G974" s="115"/>
      <c r="H974" s="120"/>
      <c r="I974" s="120"/>
      <c r="J974" s="135"/>
      <c r="K974" s="176"/>
      <c r="L974" s="101"/>
      <c r="M974" s="136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9"/>
      <c r="B975" s="125"/>
      <c r="C975" s="107"/>
      <c r="D975" s="107"/>
      <c r="E975" s="107"/>
      <c r="F975" s="107"/>
      <c r="G975" s="107"/>
      <c r="H975" s="123"/>
      <c r="I975" s="123"/>
      <c r="J975" s="137"/>
      <c r="K975" s="175"/>
      <c r="L975" s="104"/>
      <c r="M975" s="138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9"/>
      <c r="B976" s="124"/>
      <c r="C976" s="115"/>
      <c r="D976" s="115"/>
      <c r="E976" s="115"/>
      <c r="F976" s="115"/>
      <c r="G976" s="115"/>
      <c r="H976" s="120"/>
      <c r="I976" s="120"/>
      <c r="J976" s="135"/>
      <c r="K976" s="176"/>
      <c r="L976" s="101"/>
      <c r="M976" s="136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9"/>
      <c r="B977" s="125"/>
      <c r="C977" s="107"/>
      <c r="D977" s="107"/>
      <c r="E977" s="107"/>
      <c r="F977" s="107"/>
      <c r="G977" s="107"/>
      <c r="H977" s="123"/>
      <c r="I977" s="123"/>
      <c r="J977" s="137"/>
      <c r="K977" s="175"/>
      <c r="L977" s="104"/>
      <c r="M977" s="138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9"/>
      <c r="B978" s="124"/>
      <c r="C978" s="115"/>
      <c r="D978" s="115"/>
      <c r="E978" s="115"/>
      <c r="F978" s="115"/>
      <c r="G978" s="115"/>
      <c r="H978" s="120"/>
      <c r="I978" s="120"/>
      <c r="J978" s="135"/>
      <c r="K978" s="176"/>
      <c r="L978" s="101"/>
      <c r="M978" s="136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9"/>
      <c r="B979" s="125"/>
      <c r="C979" s="107"/>
      <c r="D979" s="107"/>
      <c r="E979" s="107"/>
      <c r="F979" s="107"/>
      <c r="G979" s="107"/>
      <c r="H979" s="123"/>
      <c r="I979" s="123"/>
      <c r="J979" s="137"/>
      <c r="K979" s="175"/>
      <c r="L979" s="104"/>
      <c r="M979" s="138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9"/>
      <c r="B980" s="124"/>
      <c r="C980" s="115"/>
      <c r="D980" s="115"/>
      <c r="E980" s="115"/>
      <c r="F980" s="115"/>
      <c r="G980" s="115"/>
      <c r="H980" s="120"/>
      <c r="I980" s="120"/>
      <c r="J980" s="135"/>
      <c r="K980" s="176"/>
      <c r="L980" s="101"/>
      <c r="M980" s="136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9"/>
      <c r="B981" s="125"/>
      <c r="C981" s="107"/>
      <c r="D981" s="107"/>
      <c r="E981" s="107"/>
      <c r="F981" s="107"/>
      <c r="G981" s="107"/>
      <c r="H981" s="123"/>
      <c r="I981" s="123"/>
      <c r="J981" s="137"/>
      <c r="K981" s="175"/>
      <c r="L981" s="104"/>
      <c r="M981" s="138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9"/>
      <c r="B982" s="124"/>
      <c r="C982" s="115"/>
      <c r="D982" s="115"/>
      <c r="E982" s="115"/>
      <c r="F982" s="115"/>
      <c r="G982" s="115"/>
      <c r="H982" s="120"/>
      <c r="I982" s="120"/>
      <c r="J982" s="135"/>
      <c r="K982" s="176"/>
      <c r="L982" s="101"/>
      <c r="M982" s="136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9"/>
      <c r="B983" s="125"/>
      <c r="C983" s="107"/>
      <c r="D983" s="107"/>
      <c r="E983" s="107"/>
      <c r="F983" s="107"/>
      <c r="G983" s="107"/>
      <c r="H983" s="123"/>
      <c r="I983" s="123"/>
      <c r="J983" s="137"/>
      <c r="K983" s="175"/>
      <c r="L983" s="104"/>
      <c r="M983" s="138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9"/>
      <c r="B984" s="124"/>
      <c r="C984" s="115"/>
      <c r="D984" s="115"/>
      <c r="E984" s="115"/>
      <c r="F984" s="115"/>
      <c r="G984" s="115"/>
      <c r="H984" s="120"/>
      <c r="I984" s="120"/>
      <c r="J984" s="135"/>
      <c r="K984" s="176"/>
      <c r="L984" s="101"/>
      <c r="M984" s="136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9"/>
      <c r="B985" s="125"/>
      <c r="C985" s="107"/>
      <c r="D985" s="107"/>
      <c r="E985" s="107"/>
      <c r="F985" s="107"/>
      <c r="G985" s="107"/>
      <c r="H985" s="123"/>
      <c r="I985" s="123"/>
      <c r="J985" s="137"/>
      <c r="K985" s="175"/>
      <c r="L985" s="104"/>
      <c r="M985" s="138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9"/>
      <c r="B986" s="124"/>
      <c r="C986" s="115"/>
      <c r="D986" s="115"/>
      <c r="E986" s="115"/>
      <c r="F986" s="115"/>
      <c r="G986" s="115"/>
      <c r="H986" s="120"/>
      <c r="I986" s="120"/>
      <c r="J986" s="135"/>
      <c r="K986" s="176"/>
      <c r="L986" s="101"/>
      <c r="M986" s="136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9"/>
      <c r="B987" s="125"/>
      <c r="C987" s="107"/>
      <c r="D987" s="107"/>
      <c r="E987" s="107"/>
      <c r="F987" s="107"/>
      <c r="G987" s="107"/>
      <c r="H987" s="123"/>
      <c r="I987" s="123"/>
      <c r="J987" s="137"/>
      <c r="K987" s="175"/>
      <c r="L987" s="104"/>
      <c r="M987" s="138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9"/>
      <c r="B988" s="124"/>
      <c r="C988" s="115"/>
      <c r="D988" s="115"/>
      <c r="E988" s="115"/>
      <c r="F988" s="115"/>
      <c r="G988" s="115"/>
      <c r="H988" s="120"/>
      <c r="I988" s="120"/>
      <c r="J988" s="135"/>
      <c r="K988" s="176"/>
      <c r="L988" s="101"/>
      <c r="M988" s="136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9"/>
      <c r="B989" s="125"/>
      <c r="C989" s="107"/>
      <c r="D989" s="107"/>
      <c r="E989" s="107"/>
      <c r="F989" s="107"/>
      <c r="G989" s="107"/>
      <c r="H989" s="123"/>
      <c r="I989" s="123"/>
      <c r="J989" s="137"/>
      <c r="K989" s="175"/>
      <c r="L989" s="104"/>
      <c r="M989" s="138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9"/>
      <c r="B990" s="124"/>
      <c r="C990" s="115"/>
      <c r="D990" s="115"/>
      <c r="E990" s="115"/>
      <c r="F990" s="115"/>
      <c r="G990" s="115"/>
      <c r="H990" s="120"/>
      <c r="I990" s="120"/>
      <c r="J990" s="135"/>
      <c r="K990" s="176"/>
      <c r="L990" s="101"/>
      <c r="M990" s="136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9"/>
      <c r="B991" s="125"/>
      <c r="C991" s="107"/>
      <c r="D991" s="107"/>
      <c r="E991" s="107"/>
      <c r="F991" s="107"/>
      <c r="G991" s="107"/>
      <c r="H991" s="123"/>
      <c r="I991" s="123"/>
      <c r="J991" s="137"/>
      <c r="K991" s="175"/>
      <c r="L991" s="104"/>
      <c r="M991" s="138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9"/>
      <c r="B992" s="124"/>
      <c r="C992" s="115"/>
      <c r="D992" s="115"/>
      <c r="E992" s="115"/>
      <c r="F992" s="115"/>
      <c r="G992" s="115"/>
      <c r="H992" s="120"/>
      <c r="I992" s="120"/>
      <c r="J992" s="135"/>
      <c r="K992" s="176"/>
      <c r="L992" s="101"/>
      <c r="M992" s="136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9"/>
      <c r="B993" s="125"/>
      <c r="C993" s="107"/>
      <c r="D993" s="107"/>
      <c r="E993" s="107"/>
      <c r="F993" s="107"/>
      <c r="G993" s="107"/>
      <c r="H993" s="123"/>
      <c r="I993" s="123"/>
      <c r="J993" s="137"/>
      <c r="K993" s="175"/>
      <c r="L993" s="104"/>
      <c r="M993" s="138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9"/>
      <c r="B994" s="124"/>
      <c r="C994" s="115"/>
      <c r="D994" s="115"/>
      <c r="E994" s="115"/>
      <c r="F994" s="115"/>
      <c r="G994" s="115"/>
      <c r="H994" s="120"/>
      <c r="I994" s="120"/>
      <c r="J994" s="135"/>
      <c r="K994" s="176"/>
      <c r="L994" s="101"/>
      <c r="M994" s="136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9"/>
      <c r="B995" s="125"/>
      <c r="C995" s="107"/>
      <c r="D995" s="107"/>
      <c r="E995" s="107"/>
      <c r="F995" s="107"/>
      <c r="G995" s="107"/>
      <c r="H995" s="123"/>
      <c r="I995" s="123"/>
      <c r="J995" s="137"/>
      <c r="K995" s="175"/>
      <c r="L995" s="104"/>
      <c r="M995" s="138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9"/>
      <c r="B996" s="124"/>
      <c r="C996" s="115"/>
      <c r="D996" s="115"/>
      <c r="E996" s="115"/>
      <c r="F996" s="115"/>
      <c r="G996" s="115"/>
      <c r="H996" s="120"/>
      <c r="I996" s="120"/>
      <c r="J996" s="135"/>
      <c r="K996" s="176"/>
      <c r="L996" s="101"/>
      <c r="M996" s="136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9"/>
      <c r="B997" s="125"/>
      <c r="C997" s="107"/>
      <c r="D997" s="107"/>
      <c r="E997" s="107"/>
      <c r="F997" s="107"/>
      <c r="G997" s="107"/>
      <c r="H997" s="123"/>
      <c r="I997" s="123"/>
      <c r="J997" s="137"/>
      <c r="K997" s="175"/>
      <c r="L997" s="104"/>
      <c r="M997" s="138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9"/>
      <c r="B998" s="124"/>
      <c r="C998" s="115"/>
      <c r="D998" s="115"/>
      <c r="E998" s="115"/>
      <c r="F998" s="115"/>
      <c r="G998" s="115"/>
      <c r="H998" s="120"/>
      <c r="I998" s="120"/>
      <c r="J998" s="135"/>
      <c r="K998" s="176"/>
      <c r="L998" s="101"/>
      <c r="M998" s="136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99"/>
      <c r="B999" s="125"/>
      <c r="C999" s="107"/>
      <c r="D999" s="107"/>
      <c r="E999" s="107"/>
      <c r="F999" s="107"/>
      <c r="G999" s="107"/>
      <c r="H999" s="123"/>
      <c r="I999" s="123"/>
      <c r="J999" s="137"/>
      <c r="K999" s="175"/>
      <c r="L999" s="104"/>
      <c r="M999" s="138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>
      <c r="A1000" s="99"/>
      <c r="B1000" s="124"/>
      <c r="C1000" s="115"/>
      <c r="D1000" s="115"/>
      <c r="E1000" s="115"/>
      <c r="F1000" s="115"/>
      <c r="G1000" s="115"/>
      <c r="H1000" s="120"/>
      <c r="I1000" s="120"/>
      <c r="J1000" s="135"/>
      <c r="K1000" s="176"/>
      <c r="L1000" s="101"/>
      <c r="M1000" s="136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  <row r="1001">
      <c r="A1001" s="99"/>
      <c r="B1001" s="125"/>
      <c r="C1001" s="107"/>
      <c r="D1001" s="107"/>
      <c r="E1001" s="107"/>
      <c r="F1001" s="107"/>
      <c r="G1001" s="107"/>
      <c r="H1001" s="123"/>
      <c r="I1001" s="123"/>
      <c r="J1001" s="137"/>
      <c r="K1001" s="175"/>
      <c r="L1001" s="104"/>
      <c r="M1001" s="138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</row>
    <row r="1002">
      <c r="A1002" s="99"/>
      <c r="B1002" s="124"/>
      <c r="C1002" s="115"/>
      <c r="D1002" s="115"/>
      <c r="E1002" s="115"/>
      <c r="F1002" s="115"/>
      <c r="G1002" s="115"/>
      <c r="H1002" s="120"/>
      <c r="I1002" s="120"/>
      <c r="J1002" s="135"/>
      <c r="K1002" s="176"/>
      <c r="L1002" s="101"/>
      <c r="M1002" s="136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</row>
    <row r="1003">
      <c r="A1003" s="99"/>
      <c r="B1003" s="125"/>
      <c r="C1003" s="107"/>
      <c r="D1003" s="107"/>
      <c r="E1003" s="107"/>
      <c r="F1003" s="107"/>
      <c r="G1003" s="107"/>
      <c r="H1003" s="123"/>
      <c r="I1003" s="123"/>
      <c r="J1003" s="137"/>
      <c r="K1003" s="175"/>
      <c r="L1003" s="104"/>
      <c r="M1003" s="138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</row>
    <row r="1004">
      <c r="A1004" s="99"/>
      <c r="B1004" s="124"/>
      <c r="C1004" s="115"/>
      <c r="D1004" s="115"/>
      <c r="E1004" s="115"/>
      <c r="F1004" s="115"/>
      <c r="G1004" s="115"/>
      <c r="H1004" s="120"/>
      <c r="I1004" s="120"/>
      <c r="J1004" s="135"/>
      <c r="K1004" s="176"/>
      <c r="L1004" s="101"/>
      <c r="M1004" s="136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</row>
    <row r="1005">
      <c r="A1005" s="99"/>
      <c r="B1005" s="125"/>
      <c r="C1005" s="107"/>
      <c r="D1005" s="107"/>
      <c r="E1005" s="107"/>
      <c r="F1005" s="107"/>
      <c r="G1005" s="107"/>
      <c r="H1005" s="123"/>
      <c r="I1005" s="123"/>
      <c r="J1005" s="137"/>
      <c r="K1005" s="175"/>
      <c r="L1005" s="104"/>
      <c r="M1005" s="138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</row>
    <row r="1006">
      <c r="A1006" s="99"/>
      <c r="B1006" s="124"/>
      <c r="C1006" s="115"/>
      <c r="D1006" s="115"/>
      <c r="E1006" s="115"/>
      <c r="F1006" s="115"/>
      <c r="G1006" s="115"/>
      <c r="H1006" s="120"/>
      <c r="I1006" s="120"/>
      <c r="J1006" s="135"/>
      <c r="K1006" s="176"/>
      <c r="L1006" s="101"/>
      <c r="M1006" s="136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</row>
    <row r="1007">
      <c r="A1007" s="99"/>
      <c r="B1007" s="125"/>
      <c r="C1007" s="107"/>
      <c r="D1007" s="107"/>
      <c r="E1007" s="107"/>
      <c r="F1007" s="107"/>
      <c r="G1007" s="107"/>
      <c r="H1007" s="123"/>
      <c r="I1007" s="123"/>
      <c r="J1007" s="137"/>
      <c r="K1007" s="175"/>
      <c r="L1007" s="104"/>
      <c r="M1007" s="138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</row>
    <row r="1008">
      <c r="A1008" s="99"/>
      <c r="B1008" s="124"/>
      <c r="C1008" s="115"/>
      <c r="D1008" s="115"/>
      <c r="E1008" s="115"/>
      <c r="F1008" s="115"/>
      <c r="G1008" s="115"/>
      <c r="H1008" s="120"/>
      <c r="I1008" s="120"/>
      <c r="J1008" s="135"/>
      <c r="K1008" s="176"/>
      <c r="L1008" s="101"/>
      <c r="M1008" s="136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</row>
    <row r="1009">
      <c r="A1009" s="99"/>
      <c r="B1009" s="125"/>
      <c r="C1009" s="107"/>
      <c r="D1009" s="107"/>
      <c r="E1009" s="107"/>
      <c r="F1009" s="107"/>
      <c r="G1009" s="107"/>
      <c r="H1009" s="123"/>
      <c r="I1009" s="123"/>
      <c r="J1009" s="137"/>
      <c r="K1009" s="175"/>
      <c r="L1009" s="104"/>
      <c r="M1009" s="138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</row>
    <row r="1010">
      <c r="A1010" s="99"/>
      <c r="B1010" s="124"/>
      <c r="C1010" s="115"/>
      <c r="D1010" s="115"/>
      <c r="E1010" s="115"/>
      <c r="F1010" s="115"/>
      <c r="G1010" s="115"/>
      <c r="H1010" s="120"/>
      <c r="I1010" s="120"/>
      <c r="J1010" s="135"/>
      <c r="K1010" s="176"/>
      <c r="L1010" s="101"/>
      <c r="M1010" s="136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</row>
    <row r="1011">
      <c r="A1011" s="99"/>
      <c r="B1011" s="125"/>
      <c r="C1011" s="107"/>
      <c r="D1011" s="107"/>
      <c r="E1011" s="107"/>
      <c r="F1011" s="107"/>
      <c r="G1011" s="107"/>
      <c r="H1011" s="123"/>
      <c r="I1011" s="123"/>
      <c r="J1011" s="137"/>
      <c r="K1011" s="175"/>
      <c r="L1011" s="104"/>
      <c r="M1011" s="138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</row>
    <row r="1012">
      <c r="A1012" s="99"/>
      <c r="B1012" s="124"/>
      <c r="C1012" s="115"/>
      <c r="D1012" s="115"/>
      <c r="E1012" s="115"/>
      <c r="F1012" s="115"/>
      <c r="G1012" s="115"/>
      <c r="H1012" s="120"/>
      <c r="I1012" s="120"/>
      <c r="J1012" s="135"/>
      <c r="K1012" s="176"/>
      <c r="L1012" s="101"/>
      <c r="M1012" s="136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</row>
    <row r="1013">
      <c r="A1013" s="99"/>
      <c r="B1013" s="125"/>
      <c r="C1013" s="107"/>
      <c r="D1013" s="107"/>
      <c r="E1013" s="107"/>
      <c r="F1013" s="107"/>
      <c r="G1013" s="107"/>
      <c r="H1013" s="123"/>
      <c r="I1013" s="123"/>
      <c r="J1013" s="137"/>
      <c r="K1013" s="175"/>
      <c r="L1013" s="104"/>
      <c r="M1013" s="138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</row>
    <row r="1014">
      <c r="A1014" s="99"/>
      <c r="B1014" s="124"/>
      <c r="C1014" s="115"/>
      <c r="D1014" s="115"/>
      <c r="E1014" s="115"/>
      <c r="F1014" s="115"/>
      <c r="G1014" s="115"/>
      <c r="H1014" s="120"/>
      <c r="I1014" s="120"/>
      <c r="J1014" s="135"/>
      <c r="K1014" s="176"/>
      <c r="L1014" s="101"/>
      <c r="M1014" s="136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</row>
    <row r="1015">
      <c r="A1015" s="99"/>
      <c r="B1015" s="125"/>
      <c r="C1015" s="107"/>
      <c r="D1015" s="107"/>
      <c r="E1015" s="107"/>
      <c r="F1015" s="107"/>
      <c r="G1015" s="107"/>
      <c r="H1015" s="123"/>
      <c r="I1015" s="123"/>
      <c r="J1015" s="137"/>
      <c r="K1015" s="175"/>
      <c r="L1015" s="104"/>
      <c r="M1015" s="138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</row>
    <row r="1016">
      <c r="A1016" s="99"/>
      <c r="B1016" s="124"/>
      <c r="C1016" s="115"/>
      <c r="D1016" s="115"/>
      <c r="E1016" s="115"/>
      <c r="F1016" s="115"/>
      <c r="G1016" s="115"/>
      <c r="H1016" s="120"/>
      <c r="I1016" s="120"/>
      <c r="J1016" s="135"/>
      <c r="K1016" s="176"/>
      <c r="L1016" s="101"/>
      <c r="M1016" s="136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</row>
    <row r="1017">
      <c r="A1017" s="99"/>
      <c r="B1017" s="125"/>
      <c r="C1017" s="107"/>
      <c r="D1017" s="107"/>
      <c r="E1017" s="107"/>
      <c r="F1017" s="107"/>
      <c r="G1017" s="107"/>
      <c r="H1017" s="123"/>
      <c r="I1017" s="123"/>
      <c r="J1017" s="137"/>
      <c r="K1017" s="175"/>
      <c r="L1017" s="104"/>
      <c r="M1017" s="138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</row>
    <row r="1018">
      <c r="A1018" s="99"/>
      <c r="B1018" s="124"/>
      <c r="C1018" s="115"/>
      <c r="D1018" s="115"/>
      <c r="E1018" s="115"/>
      <c r="F1018" s="115"/>
      <c r="G1018" s="115"/>
      <c r="H1018" s="120"/>
      <c r="I1018" s="120"/>
      <c r="J1018" s="135"/>
      <c r="K1018" s="176"/>
      <c r="L1018" s="101"/>
      <c r="M1018" s="136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</row>
    <row r="1019">
      <c r="A1019" s="99"/>
      <c r="B1019" s="125"/>
      <c r="C1019" s="107"/>
      <c r="D1019" s="107"/>
      <c r="E1019" s="107"/>
      <c r="F1019" s="107"/>
      <c r="G1019" s="107"/>
      <c r="H1019" s="123"/>
      <c r="I1019" s="123"/>
      <c r="J1019" s="137"/>
      <c r="K1019" s="175"/>
      <c r="L1019" s="104"/>
      <c r="M1019" s="138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</row>
    <row r="1020">
      <c r="A1020" s="99"/>
      <c r="B1020" s="124"/>
      <c r="C1020" s="115"/>
      <c r="D1020" s="115"/>
      <c r="E1020" s="115"/>
      <c r="F1020" s="115"/>
      <c r="G1020" s="115"/>
      <c r="H1020" s="120"/>
      <c r="I1020" s="120"/>
      <c r="J1020" s="135"/>
      <c r="K1020" s="176"/>
      <c r="L1020" s="101"/>
      <c r="M1020" s="136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</row>
    <row r="1021">
      <c r="A1021" s="99"/>
      <c r="B1021" s="125"/>
      <c r="C1021" s="107"/>
      <c r="D1021" s="107"/>
      <c r="E1021" s="107"/>
      <c r="F1021" s="107"/>
      <c r="G1021" s="107"/>
      <c r="H1021" s="123"/>
      <c r="I1021" s="123"/>
      <c r="J1021" s="137"/>
      <c r="K1021" s="175"/>
      <c r="L1021" s="104"/>
      <c r="M1021" s="138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</row>
    <row r="1022">
      <c r="A1022" s="99"/>
      <c r="B1022" s="124"/>
      <c r="C1022" s="115"/>
      <c r="D1022" s="115"/>
      <c r="E1022" s="115"/>
      <c r="F1022" s="115"/>
      <c r="G1022" s="115"/>
      <c r="H1022" s="120"/>
      <c r="I1022" s="120"/>
      <c r="J1022" s="135"/>
      <c r="K1022" s="176"/>
      <c r="L1022" s="101"/>
      <c r="M1022" s="136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</row>
    <row r="1023">
      <c r="A1023" s="99"/>
      <c r="B1023" s="125"/>
      <c r="C1023" s="107"/>
      <c r="D1023" s="107"/>
      <c r="E1023" s="107"/>
      <c r="F1023" s="107"/>
      <c r="G1023" s="107"/>
      <c r="H1023" s="123"/>
      <c r="I1023" s="123"/>
      <c r="J1023" s="137"/>
      <c r="K1023" s="175"/>
      <c r="L1023" s="104"/>
      <c r="M1023" s="138"/>
      <c r="N1023" s="99"/>
      <c r="O1023" s="99"/>
      <c r="P1023" s="99"/>
      <c r="Q1023" s="99"/>
      <c r="R1023" s="99"/>
      <c r="S1023" s="99"/>
      <c r="T1023" s="99"/>
      <c r="U1023" s="99"/>
      <c r="V1023" s="99"/>
      <c r="W1023" s="99"/>
      <c r="X1023" s="99"/>
      <c r="Y1023" s="99"/>
      <c r="Z1023" s="99"/>
    </row>
    <row r="1024">
      <c r="A1024" s="99"/>
      <c r="B1024" s="124"/>
      <c r="C1024" s="115"/>
      <c r="D1024" s="115"/>
      <c r="E1024" s="115"/>
      <c r="F1024" s="115"/>
      <c r="G1024" s="115"/>
      <c r="H1024" s="120"/>
      <c r="I1024" s="120"/>
      <c r="J1024" s="135"/>
      <c r="K1024" s="176"/>
      <c r="L1024" s="101"/>
      <c r="M1024" s="136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</row>
    <row r="1025">
      <c r="A1025" s="99"/>
      <c r="B1025" s="125"/>
      <c r="C1025" s="107"/>
      <c r="D1025" s="107"/>
      <c r="E1025" s="107"/>
      <c r="F1025" s="107"/>
      <c r="G1025" s="107"/>
      <c r="H1025" s="123"/>
      <c r="I1025" s="123"/>
      <c r="J1025" s="137"/>
      <c r="K1025" s="175"/>
      <c r="L1025" s="104"/>
      <c r="M1025" s="138"/>
      <c r="N1025" s="99"/>
      <c r="O1025" s="99"/>
      <c r="P1025" s="99"/>
      <c r="Q1025" s="99"/>
      <c r="R1025" s="99"/>
      <c r="S1025" s="99"/>
      <c r="T1025" s="99"/>
      <c r="U1025" s="99"/>
      <c r="V1025" s="99"/>
      <c r="W1025" s="99"/>
      <c r="X1025" s="99"/>
      <c r="Y1025" s="99"/>
      <c r="Z1025" s="99"/>
    </row>
    <row r="1026">
      <c r="A1026" s="99"/>
      <c r="B1026" s="124"/>
      <c r="C1026" s="115"/>
      <c r="D1026" s="115"/>
      <c r="E1026" s="115"/>
      <c r="F1026" s="115"/>
      <c r="G1026" s="115"/>
      <c r="H1026" s="120"/>
      <c r="I1026" s="120"/>
      <c r="J1026" s="135"/>
      <c r="K1026" s="176"/>
      <c r="L1026" s="101"/>
      <c r="M1026" s="136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</row>
    <row r="1027">
      <c r="A1027" s="99"/>
      <c r="B1027" s="125"/>
      <c r="C1027" s="107"/>
      <c r="D1027" s="107"/>
      <c r="E1027" s="107"/>
      <c r="F1027" s="107"/>
      <c r="G1027" s="107"/>
      <c r="H1027" s="123"/>
      <c r="I1027" s="123"/>
      <c r="J1027" s="137"/>
      <c r="K1027" s="175"/>
      <c r="L1027" s="104"/>
      <c r="M1027" s="138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</row>
    <row r="1028">
      <c r="A1028" s="99"/>
      <c r="B1028" s="124"/>
      <c r="C1028" s="115"/>
      <c r="D1028" s="115"/>
      <c r="E1028" s="115"/>
      <c r="F1028" s="115"/>
      <c r="G1028" s="115"/>
      <c r="H1028" s="120"/>
      <c r="I1028" s="120"/>
      <c r="J1028" s="135"/>
      <c r="K1028" s="176"/>
      <c r="L1028" s="101"/>
      <c r="M1028" s="136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</row>
    <row r="1029">
      <c r="A1029" s="99"/>
      <c r="B1029" s="125"/>
      <c r="C1029" s="107"/>
      <c r="D1029" s="107"/>
      <c r="E1029" s="107"/>
      <c r="F1029" s="107"/>
      <c r="G1029" s="107"/>
      <c r="H1029" s="123"/>
      <c r="I1029" s="123"/>
      <c r="J1029" s="137"/>
      <c r="K1029" s="175"/>
      <c r="L1029" s="104"/>
      <c r="M1029" s="138"/>
      <c r="N1029" s="99"/>
      <c r="O1029" s="99"/>
      <c r="P1029" s="99"/>
      <c r="Q1029" s="99"/>
      <c r="R1029" s="99"/>
      <c r="S1029" s="99"/>
      <c r="T1029" s="99"/>
      <c r="U1029" s="99"/>
      <c r="V1029" s="99"/>
      <c r="W1029" s="99"/>
      <c r="X1029" s="99"/>
      <c r="Y1029" s="99"/>
      <c r="Z1029" s="99"/>
    </row>
    <row r="1030">
      <c r="A1030" s="99"/>
      <c r="B1030" s="124"/>
      <c r="C1030" s="115"/>
      <c r="D1030" s="115"/>
      <c r="E1030" s="115"/>
      <c r="F1030" s="115"/>
      <c r="G1030" s="115"/>
      <c r="H1030" s="120"/>
      <c r="I1030" s="120"/>
      <c r="J1030" s="135"/>
      <c r="K1030" s="176"/>
      <c r="L1030" s="101"/>
      <c r="M1030" s="136"/>
      <c r="N1030" s="99"/>
      <c r="O1030" s="99"/>
      <c r="P1030" s="99"/>
      <c r="Q1030" s="99"/>
      <c r="R1030" s="99"/>
      <c r="S1030" s="99"/>
      <c r="T1030" s="99"/>
      <c r="U1030" s="99"/>
      <c r="V1030" s="99"/>
      <c r="W1030" s="99"/>
      <c r="X1030" s="99"/>
      <c r="Y1030" s="99"/>
      <c r="Z1030" s="99"/>
    </row>
    <row r="1031">
      <c r="A1031" s="99"/>
      <c r="B1031" s="125"/>
      <c r="C1031" s="107"/>
      <c r="D1031" s="107"/>
      <c r="E1031" s="107"/>
      <c r="F1031" s="107"/>
      <c r="G1031" s="107"/>
      <c r="H1031" s="123"/>
      <c r="I1031" s="123"/>
      <c r="J1031" s="137"/>
      <c r="K1031" s="175"/>
      <c r="L1031" s="104"/>
      <c r="M1031" s="138"/>
      <c r="N1031" s="99"/>
      <c r="O1031" s="99"/>
      <c r="P1031" s="99"/>
      <c r="Q1031" s="99"/>
      <c r="R1031" s="99"/>
      <c r="S1031" s="99"/>
      <c r="T1031" s="99"/>
      <c r="U1031" s="99"/>
      <c r="V1031" s="99"/>
      <c r="W1031" s="99"/>
      <c r="X1031" s="99"/>
      <c r="Y1031" s="99"/>
      <c r="Z1031" s="99"/>
    </row>
    <row r="1032">
      <c r="A1032" s="99"/>
      <c r="B1032" s="124"/>
      <c r="C1032" s="115"/>
      <c r="D1032" s="115"/>
      <c r="E1032" s="115"/>
      <c r="F1032" s="115"/>
      <c r="G1032" s="115"/>
      <c r="H1032" s="120"/>
      <c r="I1032" s="120"/>
      <c r="J1032" s="135"/>
      <c r="K1032" s="176"/>
      <c r="L1032" s="101"/>
      <c r="M1032" s="136"/>
      <c r="N1032" s="99"/>
      <c r="O1032" s="99"/>
      <c r="P1032" s="99"/>
      <c r="Q1032" s="99"/>
      <c r="R1032" s="99"/>
      <c r="S1032" s="99"/>
      <c r="T1032" s="99"/>
      <c r="U1032" s="99"/>
      <c r="V1032" s="99"/>
      <c r="W1032" s="99"/>
      <c r="X1032" s="99"/>
      <c r="Y1032" s="99"/>
      <c r="Z1032" s="99"/>
    </row>
    <row r="1033">
      <c r="A1033" s="99"/>
      <c r="B1033" s="125"/>
      <c r="C1033" s="107"/>
      <c r="D1033" s="107"/>
      <c r="E1033" s="107"/>
      <c r="F1033" s="107"/>
      <c r="G1033" s="107"/>
      <c r="H1033" s="123"/>
      <c r="I1033" s="123"/>
      <c r="J1033" s="137"/>
      <c r="K1033" s="175"/>
      <c r="L1033" s="104"/>
      <c r="M1033" s="138"/>
      <c r="N1033" s="99"/>
      <c r="O1033" s="99"/>
      <c r="P1033" s="99"/>
      <c r="Q1033" s="99"/>
      <c r="R1033" s="99"/>
      <c r="S1033" s="99"/>
      <c r="T1033" s="99"/>
      <c r="U1033" s="99"/>
      <c r="V1033" s="99"/>
      <c r="W1033" s="99"/>
      <c r="X1033" s="99"/>
      <c r="Y1033" s="99"/>
      <c r="Z1033" s="99"/>
    </row>
    <row r="1034">
      <c r="A1034" s="99"/>
      <c r="B1034" s="124"/>
      <c r="C1034" s="115"/>
      <c r="D1034" s="115"/>
      <c r="E1034" s="115"/>
      <c r="F1034" s="115"/>
      <c r="G1034" s="115"/>
      <c r="H1034" s="120"/>
      <c r="I1034" s="120"/>
      <c r="J1034" s="135"/>
      <c r="K1034" s="176"/>
      <c r="L1034" s="101"/>
      <c r="M1034" s="136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</row>
    <row r="1035">
      <c r="A1035" s="99"/>
      <c r="B1035" s="125"/>
      <c r="C1035" s="107"/>
      <c r="D1035" s="107"/>
      <c r="E1035" s="107"/>
      <c r="F1035" s="107"/>
      <c r="G1035" s="107"/>
      <c r="H1035" s="123"/>
      <c r="I1035" s="123"/>
      <c r="J1035" s="137"/>
      <c r="K1035" s="175"/>
      <c r="L1035" s="104"/>
      <c r="M1035" s="138"/>
      <c r="N1035" s="99"/>
      <c r="O1035" s="99"/>
      <c r="P1035" s="99"/>
      <c r="Q1035" s="99"/>
      <c r="R1035" s="99"/>
      <c r="S1035" s="99"/>
      <c r="T1035" s="99"/>
      <c r="U1035" s="99"/>
      <c r="V1035" s="99"/>
      <c r="W1035" s="99"/>
      <c r="X1035" s="99"/>
      <c r="Y1035" s="99"/>
      <c r="Z1035" s="99"/>
    </row>
    <row r="1036">
      <c r="A1036" s="99"/>
      <c r="B1036" s="124"/>
      <c r="C1036" s="115"/>
      <c r="D1036" s="115"/>
      <c r="E1036" s="115"/>
      <c r="F1036" s="115"/>
      <c r="G1036" s="115"/>
      <c r="H1036" s="120"/>
      <c r="I1036" s="120"/>
      <c r="J1036" s="135"/>
      <c r="K1036" s="176"/>
      <c r="L1036" s="101"/>
      <c r="M1036" s="136"/>
      <c r="N1036" s="99"/>
      <c r="O1036" s="99"/>
      <c r="P1036" s="99"/>
      <c r="Q1036" s="99"/>
      <c r="R1036" s="99"/>
      <c r="S1036" s="99"/>
      <c r="T1036" s="99"/>
      <c r="U1036" s="99"/>
      <c r="V1036" s="99"/>
      <c r="W1036" s="99"/>
      <c r="X1036" s="99"/>
      <c r="Y1036" s="99"/>
      <c r="Z1036" s="99"/>
    </row>
    <row r="1037">
      <c r="A1037" s="99"/>
      <c r="B1037" s="125"/>
      <c r="C1037" s="107"/>
      <c r="D1037" s="107"/>
      <c r="E1037" s="107"/>
      <c r="F1037" s="107"/>
      <c r="G1037" s="107"/>
      <c r="H1037" s="123"/>
      <c r="I1037" s="123"/>
      <c r="J1037" s="137"/>
      <c r="K1037" s="175"/>
      <c r="L1037" s="104"/>
      <c r="M1037" s="138"/>
      <c r="N1037" s="99"/>
      <c r="O1037" s="99"/>
      <c r="P1037" s="99"/>
      <c r="Q1037" s="99"/>
      <c r="R1037" s="99"/>
      <c r="S1037" s="99"/>
      <c r="T1037" s="99"/>
      <c r="U1037" s="99"/>
      <c r="V1037" s="99"/>
      <c r="W1037" s="99"/>
      <c r="X1037" s="99"/>
      <c r="Y1037" s="99"/>
      <c r="Z1037" s="99"/>
    </row>
    <row r="1038">
      <c r="A1038" s="99"/>
      <c r="B1038" s="124"/>
      <c r="C1038" s="115"/>
      <c r="D1038" s="115"/>
      <c r="E1038" s="115"/>
      <c r="F1038" s="115"/>
      <c r="G1038" s="115"/>
      <c r="H1038" s="120"/>
      <c r="I1038" s="120"/>
      <c r="J1038" s="135"/>
      <c r="K1038" s="176"/>
      <c r="L1038" s="101"/>
      <c r="M1038" s="136"/>
      <c r="N1038" s="99"/>
      <c r="O1038" s="99"/>
      <c r="P1038" s="99"/>
      <c r="Q1038" s="99"/>
      <c r="R1038" s="99"/>
      <c r="S1038" s="99"/>
      <c r="T1038" s="99"/>
      <c r="U1038" s="99"/>
      <c r="V1038" s="99"/>
      <c r="W1038" s="99"/>
      <c r="X1038" s="99"/>
      <c r="Y1038" s="99"/>
      <c r="Z1038" s="99"/>
    </row>
    <row r="1039">
      <c r="A1039" s="99"/>
      <c r="B1039" s="125"/>
      <c r="C1039" s="107"/>
      <c r="D1039" s="107"/>
      <c r="E1039" s="107"/>
      <c r="F1039" s="107"/>
      <c r="G1039" s="107"/>
      <c r="H1039" s="123"/>
      <c r="I1039" s="123"/>
      <c r="J1039" s="137"/>
      <c r="K1039" s="175"/>
      <c r="L1039" s="104"/>
      <c r="M1039" s="138"/>
      <c r="N1039" s="99"/>
      <c r="O1039" s="99"/>
      <c r="P1039" s="99"/>
      <c r="Q1039" s="99"/>
      <c r="R1039" s="99"/>
      <c r="S1039" s="99"/>
      <c r="T1039" s="99"/>
      <c r="U1039" s="99"/>
      <c r="V1039" s="99"/>
      <c r="W1039" s="99"/>
      <c r="X1039" s="99"/>
      <c r="Y1039" s="99"/>
      <c r="Z1039" s="99"/>
    </row>
    <row r="1040">
      <c r="A1040" s="99"/>
      <c r="B1040" s="124"/>
      <c r="C1040" s="115"/>
      <c r="D1040" s="115"/>
      <c r="E1040" s="115"/>
      <c r="F1040" s="115"/>
      <c r="G1040" s="115"/>
      <c r="H1040" s="120"/>
      <c r="I1040" s="120"/>
      <c r="J1040" s="135"/>
      <c r="K1040" s="176"/>
      <c r="L1040" s="101"/>
      <c r="M1040" s="136"/>
      <c r="N1040" s="99"/>
      <c r="O1040" s="99"/>
      <c r="P1040" s="99"/>
      <c r="Q1040" s="99"/>
      <c r="R1040" s="99"/>
      <c r="S1040" s="99"/>
      <c r="T1040" s="99"/>
      <c r="U1040" s="99"/>
      <c r="V1040" s="99"/>
      <c r="W1040" s="99"/>
      <c r="X1040" s="99"/>
      <c r="Y1040" s="99"/>
      <c r="Z1040" s="99"/>
    </row>
    <row r="1041">
      <c r="A1041" s="99"/>
      <c r="B1041" s="125"/>
      <c r="C1041" s="107"/>
      <c r="D1041" s="107"/>
      <c r="E1041" s="107"/>
      <c r="F1041" s="107"/>
      <c r="G1041" s="107"/>
      <c r="H1041" s="123"/>
      <c r="I1041" s="123"/>
      <c r="J1041" s="137"/>
      <c r="K1041" s="175"/>
      <c r="L1041" s="104"/>
      <c r="M1041" s="138"/>
      <c r="N1041" s="99"/>
      <c r="O1041" s="99"/>
      <c r="P1041" s="99"/>
      <c r="Q1041" s="99"/>
      <c r="R1041" s="99"/>
      <c r="S1041" s="99"/>
      <c r="T1041" s="99"/>
      <c r="U1041" s="99"/>
      <c r="V1041" s="99"/>
      <c r="W1041" s="99"/>
      <c r="X1041" s="99"/>
      <c r="Y1041" s="99"/>
      <c r="Z1041" s="99"/>
    </row>
    <row r="1042">
      <c r="A1042" s="99"/>
      <c r="B1042" s="124"/>
      <c r="C1042" s="115"/>
      <c r="D1042" s="115"/>
      <c r="E1042" s="115"/>
      <c r="F1042" s="115"/>
      <c r="G1042" s="115"/>
      <c r="H1042" s="120"/>
      <c r="I1042" s="120"/>
      <c r="J1042" s="135"/>
      <c r="K1042" s="176"/>
      <c r="L1042" s="101"/>
      <c r="M1042" s="136"/>
      <c r="N1042" s="99"/>
      <c r="O1042" s="99"/>
      <c r="P1042" s="99"/>
      <c r="Q1042" s="99"/>
      <c r="R1042" s="99"/>
      <c r="S1042" s="99"/>
      <c r="T1042" s="99"/>
      <c r="U1042" s="99"/>
      <c r="V1042" s="99"/>
      <c r="W1042" s="99"/>
      <c r="X1042" s="99"/>
      <c r="Y1042" s="99"/>
      <c r="Z1042" s="99"/>
    </row>
    <row r="1043">
      <c r="A1043" s="99"/>
      <c r="B1043" s="125"/>
      <c r="C1043" s="107"/>
      <c r="D1043" s="107"/>
      <c r="E1043" s="107"/>
      <c r="F1043" s="107"/>
      <c r="G1043" s="107"/>
      <c r="H1043" s="123"/>
      <c r="I1043" s="123"/>
      <c r="J1043" s="137"/>
      <c r="K1043" s="175"/>
      <c r="L1043" s="104"/>
      <c r="M1043" s="138"/>
      <c r="N1043" s="99"/>
      <c r="O1043" s="99"/>
      <c r="P1043" s="99"/>
      <c r="Q1043" s="99"/>
      <c r="R1043" s="99"/>
      <c r="S1043" s="99"/>
      <c r="T1043" s="99"/>
      <c r="U1043" s="99"/>
      <c r="V1043" s="99"/>
      <c r="W1043" s="99"/>
      <c r="X1043" s="99"/>
      <c r="Y1043" s="99"/>
      <c r="Z1043" s="99"/>
    </row>
    <row r="1044">
      <c r="A1044" s="99"/>
      <c r="B1044" s="124"/>
      <c r="C1044" s="115"/>
      <c r="D1044" s="115"/>
      <c r="E1044" s="115"/>
      <c r="F1044" s="115"/>
      <c r="G1044" s="115"/>
      <c r="H1044" s="120"/>
      <c r="I1044" s="120"/>
      <c r="J1044" s="135"/>
      <c r="K1044" s="176"/>
      <c r="L1044" s="101"/>
      <c r="M1044" s="136"/>
      <c r="N1044" s="99"/>
      <c r="O1044" s="99"/>
      <c r="P1044" s="99"/>
      <c r="Q1044" s="99"/>
      <c r="R1044" s="99"/>
      <c r="S1044" s="99"/>
      <c r="T1044" s="99"/>
      <c r="U1044" s="99"/>
      <c r="V1044" s="99"/>
      <c r="W1044" s="99"/>
      <c r="X1044" s="99"/>
      <c r="Y1044" s="99"/>
      <c r="Z1044" s="99"/>
    </row>
    <row r="1045">
      <c r="A1045" s="99"/>
      <c r="B1045" s="125"/>
      <c r="C1045" s="107"/>
      <c r="D1045" s="107"/>
      <c r="E1045" s="107"/>
      <c r="F1045" s="107"/>
      <c r="G1045" s="107"/>
      <c r="H1045" s="123"/>
      <c r="I1045" s="123"/>
      <c r="J1045" s="137"/>
      <c r="K1045" s="175"/>
      <c r="L1045" s="104"/>
      <c r="M1045" s="138"/>
      <c r="N1045" s="99"/>
      <c r="O1045" s="99"/>
      <c r="P1045" s="99"/>
      <c r="Q1045" s="99"/>
      <c r="R1045" s="99"/>
      <c r="S1045" s="99"/>
      <c r="T1045" s="99"/>
      <c r="U1045" s="99"/>
      <c r="V1045" s="99"/>
      <c r="W1045" s="99"/>
      <c r="X1045" s="99"/>
      <c r="Y1045" s="99"/>
      <c r="Z1045" s="99"/>
    </row>
    <row r="1046">
      <c r="A1046" s="99"/>
      <c r="B1046" s="124"/>
      <c r="C1046" s="115"/>
      <c r="D1046" s="115"/>
      <c r="E1046" s="115"/>
      <c r="F1046" s="115"/>
      <c r="G1046" s="115"/>
      <c r="H1046" s="120"/>
      <c r="I1046" s="120"/>
      <c r="J1046" s="135"/>
      <c r="K1046" s="176"/>
      <c r="L1046" s="101"/>
      <c r="M1046" s="136"/>
      <c r="N1046" s="99"/>
      <c r="O1046" s="99"/>
      <c r="P1046" s="99"/>
      <c r="Q1046" s="99"/>
      <c r="R1046" s="99"/>
      <c r="S1046" s="99"/>
      <c r="T1046" s="99"/>
      <c r="U1046" s="99"/>
      <c r="V1046" s="99"/>
      <c r="W1046" s="99"/>
      <c r="X1046" s="99"/>
      <c r="Y1046" s="99"/>
      <c r="Z1046" s="99"/>
    </row>
    <row r="1047">
      <c r="A1047" s="99"/>
      <c r="B1047" s="125"/>
      <c r="C1047" s="107"/>
      <c r="D1047" s="107"/>
      <c r="E1047" s="107"/>
      <c r="F1047" s="107"/>
      <c r="G1047" s="107"/>
      <c r="H1047" s="123"/>
      <c r="I1047" s="123"/>
      <c r="J1047" s="137"/>
      <c r="K1047" s="175"/>
      <c r="L1047" s="104"/>
      <c r="M1047" s="138"/>
      <c r="N1047" s="99"/>
      <c r="O1047" s="99"/>
      <c r="P1047" s="99"/>
      <c r="Q1047" s="99"/>
      <c r="R1047" s="99"/>
      <c r="S1047" s="99"/>
      <c r="T1047" s="99"/>
      <c r="U1047" s="99"/>
      <c r="V1047" s="99"/>
      <c r="W1047" s="99"/>
      <c r="X1047" s="99"/>
      <c r="Y1047" s="99"/>
      <c r="Z1047" s="99"/>
    </row>
    <row r="1048">
      <c r="A1048" s="99"/>
      <c r="B1048" s="124"/>
      <c r="C1048" s="115"/>
      <c r="D1048" s="115"/>
      <c r="E1048" s="115"/>
      <c r="F1048" s="115"/>
      <c r="G1048" s="115"/>
      <c r="H1048" s="120"/>
      <c r="I1048" s="120"/>
      <c r="J1048" s="135"/>
      <c r="K1048" s="176"/>
      <c r="L1048" s="101"/>
      <c r="M1048" s="136"/>
      <c r="N1048" s="99"/>
      <c r="O1048" s="99"/>
      <c r="P1048" s="99"/>
      <c r="Q1048" s="99"/>
      <c r="R1048" s="99"/>
      <c r="S1048" s="99"/>
      <c r="T1048" s="99"/>
      <c r="U1048" s="99"/>
      <c r="V1048" s="99"/>
      <c r="W1048" s="99"/>
      <c r="X1048" s="99"/>
      <c r="Y1048" s="99"/>
      <c r="Z1048" s="99"/>
    </row>
    <row r="1049">
      <c r="A1049" s="99"/>
      <c r="B1049" s="125"/>
      <c r="C1049" s="107"/>
      <c r="D1049" s="107"/>
      <c r="E1049" s="107"/>
      <c r="F1049" s="107"/>
      <c r="G1049" s="107"/>
      <c r="H1049" s="123"/>
      <c r="I1049" s="123"/>
      <c r="J1049" s="137"/>
      <c r="K1049" s="175"/>
      <c r="L1049" s="104"/>
      <c r="M1049" s="138"/>
      <c r="N1049" s="99"/>
      <c r="O1049" s="99"/>
      <c r="P1049" s="99"/>
      <c r="Q1049" s="99"/>
      <c r="R1049" s="99"/>
      <c r="S1049" s="99"/>
      <c r="T1049" s="99"/>
      <c r="U1049" s="99"/>
      <c r="V1049" s="99"/>
      <c r="W1049" s="99"/>
      <c r="X1049" s="99"/>
      <c r="Y1049" s="99"/>
      <c r="Z1049" s="99"/>
    </row>
    <row r="1050">
      <c r="A1050" s="99"/>
      <c r="B1050" s="124"/>
      <c r="C1050" s="115"/>
      <c r="D1050" s="115"/>
      <c r="E1050" s="115"/>
      <c r="F1050" s="115"/>
      <c r="G1050" s="115"/>
      <c r="H1050" s="120"/>
      <c r="I1050" s="120"/>
      <c r="J1050" s="135"/>
      <c r="K1050" s="176"/>
      <c r="L1050" s="101"/>
      <c r="M1050" s="136"/>
      <c r="N1050" s="99"/>
      <c r="O1050" s="99"/>
      <c r="P1050" s="99"/>
      <c r="Q1050" s="99"/>
      <c r="R1050" s="99"/>
      <c r="S1050" s="99"/>
      <c r="T1050" s="99"/>
      <c r="U1050" s="99"/>
      <c r="V1050" s="99"/>
      <c r="W1050" s="99"/>
      <c r="X1050" s="99"/>
      <c r="Y1050" s="99"/>
      <c r="Z1050" s="99"/>
    </row>
    <row r="1051">
      <c r="A1051" s="99"/>
      <c r="B1051" s="125"/>
      <c r="C1051" s="107"/>
      <c r="D1051" s="107"/>
      <c r="E1051" s="107"/>
      <c r="F1051" s="107"/>
      <c r="G1051" s="107"/>
      <c r="H1051" s="123"/>
      <c r="I1051" s="123"/>
      <c r="J1051" s="137"/>
      <c r="K1051" s="175"/>
      <c r="L1051" s="104"/>
      <c r="M1051" s="138"/>
      <c r="N1051" s="99"/>
      <c r="O1051" s="99"/>
      <c r="P1051" s="99"/>
      <c r="Q1051" s="99"/>
      <c r="R1051" s="99"/>
      <c r="S1051" s="99"/>
      <c r="T1051" s="99"/>
      <c r="U1051" s="99"/>
      <c r="V1051" s="99"/>
      <c r="W1051" s="99"/>
      <c r="X1051" s="99"/>
      <c r="Y1051" s="99"/>
      <c r="Z1051" s="99"/>
    </row>
    <row r="1052">
      <c r="A1052" s="99"/>
      <c r="B1052" s="124"/>
      <c r="C1052" s="115"/>
      <c r="D1052" s="115"/>
      <c r="E1052" s="115"/>
      <c r="F1052" s="115"/>
      <c r="G1052" s="115"/>
      <c r="H1052" s="120"/>
      <c r="I1052" s="120"/>
      <c r="J1052" s="135"/>
      <c r="K1052" s="176"/>
      <c r="L1052" s="101"/>
      <c r="M1052" s="136"/>
      <c r="N1052" s="99"/>
      <c r="O1052" s="99"/>
      <c r="P1052" s="99"/>
      <c r="Q1052" s="99"/>
      <c r="R1052" s="99"/>
      <c r="S1052" s="99"/>
      <c r="T1052" s="99"/>
      <c r="U1052" s="99"/>
      <c r="V1052" s="99"/>
      <c r="W1052" s="99"/>
      <c r="X1052" s="99"/>
      <c r="Y1052" s="99"/>
      <c r="Z1052" s="99"/>
    </row>
    <row r="1053">
      <c r="A1053" s="99"/>
      <c r="B1053" s="125"/>
      <c r="C1053" s="107"/>
      <c r="D1053" s="107"/>
      <c r="E1053" s="107"/>
      <c r="F1053" s="107"/>
      <c r="G1053" s="107"/>
      <c r="H1053" s="123"/>
      <c r="I1053" s="123"/>
      <c r="J1053" s="137"/>
      <c r="K1053" s="175"/>
      <c r="L1053" s="104"/>
      <c r="M1053" s="138"/>
      <c r="N1053" s="99"/>
      <c r="O1053" s="99"/>
      <c r="P1053" s="99"/>
      <c r="Q1053" s="99"/>
      <c r="R1053" s="99"/>
      <c r="S1053" s="99"/>
      <c r="T1053" s="99"/>
      <c r="U1053" s="99"/>
      <c r="V1053" s="99"/>
      <c r="W1053" s="99"/>
      <c r="X1053" s="99"/>
      <c r="Y1053" s="99"/>
      <c r="Z1053" s="99"/>
    </row>
    <row r="1054">
      <c r="A1054" s="99"/>
      <c r="B1054" s="124"/>
      <c r="C1054" s="115"/>
      <c r="D1054" s="115"/>
      <c r="E1054" s="115"/>
      <c r="F1054" s="115"/>
      <c r="G1054" s="115"/>
      <c r="H1054" s="120"/>
      <c r="I1054" s="120"/>
      <c r="J1054" s="135"/>
      <c r="K1054" s="176"/>
      <c r="L1054" s="101"/>
      <c r="M1054" s="136"/>
      <c r="N1054" s="99"/>
      <c r="O1054" s="99"/>
      <c r="P1054" s="99"/>
      <c r="Q1054" s="99"/>
      <c r="R1054" s="99"/>
      <c r="S1054" s="99"/>
      <c r="T1054" s="99"/>
      <c r="U1054" s="99"/>
      <c r="V1054" s="99"/>
      <c r="W1054" s="99"/>
      <c r="X1054" s="99"/>
      <c r="Y1054" s="99"/>
      <c r="Z1054" s="99"/>
    </row>
    <row r="1055">
      <c r="A1055" s="99"/>
      <c r="B1055" s="125"/>
      <c r="C1055" s="107"/>
      <c r="D1055" s="107"/>
      <c r="E1055" s="107"/>
      <c r="F1055" s="107"/>
      <c r="G1055" s="107"/>
      <c r="H1055" s="123"/>
      <c r="I1055" s="123"/>
      <c r="J1055" s="137"/>
      <c r="K1055" s="175"/>
      <c r="L1055" s="104"/>
      <c r="M1055" s="138"/>
      <c r="N1055" s="99"/>
      <c r="O1055" s="99"/>
      <c r="P1055" s="99"/>
      <c r="Q1055" s="99"/>
      <c r="R1055" s="99"/>
      <c r="S1055" s="99"/>
      <c r="T1055" s="99"/>
      <c r="U1055" s="99"/>
      <c r="V1055" s="99"/>
      <c r="W1055" s="99"/>
      <c r="X1055" s="99"/>
      <c r="Y1055" s="99"/>
      <c r="Z1055" s="99"/>
    </row>
    <row r="1056">
      <c r="A1056" s="99"/>
      <c r="B1056" s="124"/>
      <c r="C1056" s="115"/>
      <c r="D1056" s="115"/>
      <c r="E1056" s="115"/>
      <c r="F1056" s="115"/>
      <c r="G1056" s="115"/>
      <c r="H1056" s="120"/>
      <c r="I1056" s="120"/>
      <c r="J1056" s="135"/>
      <c r="K1056" s="176"/>
      <c r="L1056" s="101"/>
      <c r="M1056" s="136"/>
      <c r="N1056" s="99"/>
      <c r="O1056" s="99"/>
      <c r="P1056" s="99"/>
      <c r="Q1056" s="99"/>
      <c r="R1056" s="99"/>
      <c r="S1056" s="99"/>
      <c r="T1056" s="99"/>
      <c r="U1056" s="99"/>
      <c r="V1056" s="99"/>
      <c r="W1056" s="99"/>
      <c r="X1056" s="99"/>
      <c r="Y1056" s="99"/>
      <c r="Z1056" s="99"/>
    </row>
    <row r="1057">
      <c r="A1057" s="99"/>
      <c r="B1057" s="125"/>
      <c r="C1057" s="107"/>
      <c r="D1057" s="107"/>
      <c r="E1057" s="107"/>
      <c r="F1057" s="107"/>
      <c r="G1057" s="107"/>
      <c r="H1057" s="123"/>
      <c r="I1057" s="123"/>
      <c r="J1057" s="137"/>
      <c r="K1057" s="175"/>
      <c r="L1057" s="104"/>
      <c r="M1057" s="138"/>
      <c r="N1057" s="99"/>
      <c r="O1057" s="99"/>
      <c r="P1057" s="99"/>
      <c r="Q1057" s="99"/>
      <c r="R1057" s="99"/>
      <c r="S1057" s="99"/>
      <c r="T1057" s="99"/>
      <c r="U1057" s="99"/>
      <c r="V1057" s="99"/>
      <c r="W1057" s="99"/>
      <c r="X1057" s="99"/>
      <c r="Y1057" s="99"/>
      <c r="Z1057" s="99"/>
    </row>
    <row r="1058">
      <c r="A1058" s="99"/>
      <c r="B1058" s="124"/>
      <c r="C1058" s="115"/>
      <c r="D1058" s="115"/>
      <c r="E1058" s="115"/>
      <c r="F1058" s="115"/>
      <c r="G1058" s="115"/>
      <c r="H1058" s="120"/>
      <c r="I1058" s="120"/>
      <c r="J1058" s="135"/>
      <c r="K1058" s="176"/>
      <c r="L1058" s="101"/>
      <c r="M1058" s="136"/>
      <c r="N1058" s="99"/>
      <c r="O1058" s="99"/>
      <c r="P1058" s="99"/>
      <c r="Q1058" s="99"/>
      <c r="R1058" s="99"/>
      <c r="S1058" s="99"/>
      <c r="T1058" s="99"/>
      <c r="U1058" s="99"/>
      <c r="V1058" s="99"/>
      <c r="W1058" s="99"/>
      <c r="X1058" s="99"/>
      <c r="Y1058" s="99"/>
      <c r="Z1058" s="99"/>
    </row>
    <row r="1059">
      <c r="A1059" s="99"/>
      <c r="B1059" s="125"/>
      <c r="C1059" s="107"/>
      <c r="D1059" s="107"/>
      <c r="E1059" s="107"/>
      <c r="F1059" s="107"/>
      <c r="G1059" s="107"/>
      <c r="H1059" s="123"/>
      <c r="I1059" s="123"/>
      <c r="J1059" s="137"/>
      <c r="K1059" s="175"/>
      <c r="L1059" s="104"/>
      <c r="M1059" s="138"/>
      <c r="N1059" s="99"/>
      <c r="O1059" s="99"/>
      <c r="P1059" s="99"/>
      <c r="Q1059" s="99"/>
      <c r="R1059" s="99"/>
      <c r="S1059" s="99"/>
      <c r="T1059" s="99"/>
      <c r="U1059" s="99"/>
      <c r="V1059" s="99"/>
      <c r="W1059" s="99"/>
      <c r="X1059" s="99"/>
      <c r="Y1059" s="99"/>
      <c r="Z1059" s="99"/>
    </row>
    <row r="1060">
      <c r="A1060" s="99"/>
      <c r="B1060" s="124"/>
      <c r="C1060" s="115"/>
      <c r="D1060" s="115"/>
      <c r="E1060" s="115"/>
      <c r="F1060" s="115"/>
      <c r="G1060" s="115"/>
      <c r="H1060" s="120"/>
      <c r="I1060" s="120"/>
      <c r="J1060" s="135"/>
      <c r="K1060" s="176"/>
      <c r="L1060" s="101"/>
      <c r="M1060" s="136"/>
      <c r="N1060" s="99"/>
      <c r="O1060" s="99"/>
      <c r="P1060" s="99"/>
      <c r="Q1060" s="99"/>
      <c r="R1060" s="99"/>
      <c r="S1060" s="99"/>
      <c r="T1060" s="99"/>
      <c r="U1060" s="99"/>
      <c r="V1060" s="99"/>
      <c r="W1060" s="99"/>
      <c r="X1060" s="99"/>
      <c r="Y1060" s="99"/>
      <c r="Z1060" s="99"/>
    </row>
    <row r="1061">
      <c r="A1061" s="99"/>
      <c r="B1061" s="125"/>
      <c r="C1061" s="107"/>
      <c r="D1061" s="107"/>
      <c r="E1061" s="107"/>
      <c r="F1061" s="107"/>
      <c r="G1061" s="107"/>
      <c r="H1061" s="123"/>
      <c r="I1061" s="123"/>
      <c r="J1061" s="137"/>
      <c r="K1061" s="175"/>
      <c r="L1061" s="104"/>
      <c r="M1061" s="138"/>
      <c r="N1061" s="99"/>
      <c r="O1061" s="99"/>
      <c r="P1061" s="99"/>
      <c r="Q1061" s="99"/>
      <c r="R1061" s="99"/>
      <c r="S1061" s="99"/>
      <c r="T1061" s="99"/>
      <c r="U1061" s="99"/>
      <c r="V1061" s="99"/>
      <c r="W1061" s="99"/>
      <c r="X1061" s="99"/>
      <c r="Y1061" s="99"/>
      <c r="Z1061" s="99"/>
    </row>
    <row r="1062">
      <c r="A1062" s="99"/>
      <c r="B1062" s="124"/>
      <c r="C1062" s="115"/>
      <c r="D1062" s="115"/>
      <c r="E1062" s="115"/>
      <c r="F1062" s="115"/>
      <c r="G1062" s="115"/>
      <c r="H1062" s="120"/>
      <c r="I1062" s="120"/>
      <c r="J1062" s="135"/>
      <c r="K1062" s="176"/>
      <c r="L1062" s="101"/>
      <c r="M1062" s="136"/>
      <c r="N1062" s="99"/>
      <c r="O1062" s="99"/>
      <c r="P1062" s="99"/>
      <c r="Q1062" s="99"/>
      <c r="R1062" s="99"/>
      <c r="S1062" s="99"/>
      <c r="T1062" s="99"/>
      <c r="U1062" s="99"/>
      <c r="V1062" s="99"/>
      <c r="W1062" s="99"/>
      <c r="X1062" s="99"/>
      <c r="Y1062" s="99"/>
      <c r="Z1062" s="99"/>
    </row>
    <row r="1063">
      <c r="A1063" s="99"/>
      <c r="B1063" s="125"/>
      <c r="C1063" s="107"/>
      <c r="D1063" s="107"/>
      <c r="E1063" s="107"/>
      <c r="F1063" s="107"/>
      <c r="G1063" s="107"/>
      <c r="H1063" s="123"/>
      <c r="I1063" s="123"/>
      <c r="J1063" s="137"/>
      <c r="K1063" s="175"/>
      <c r="L1063" s="104"/>
      <c r="M1063" s="138"/>
      <c r="N1063" s="99"/>
      <c r="O1063" s="99"/>
      <c r="P1063" s="99"/>
      <c r="Q1063" s="99"/>
      <c r="R1063" s="99"/>
      <c r="S1063" s="99"/>
      <c r="T1063" s="99"/>
      <c r="U1063" s="99"/>
      <c r="V1063" s="99"/>
      <c r="W1063" s="99"/>
      <c r="X1063" s="99"/>
      <c r="Y1063" s="99"/>
      <c r="Z1063" s="99"/>
    </row>
    <row r="1064">
      <c r="A1064" s="99"/>
      <c r="B1064" s="124"/>
      <c r="C1064" s="115"/>
      <c r="D1064" s="115"/>
      <c r="E1064" s="115"/>
      <c r="F1064" s="115"/>
      <c r="G1064" s="115"/>
      <c r="H1064" s="120"/>
      <c r="I1064" s="120"/>
      <c r="J1064" s="135"/>
      <c r="K1064" s="176"/>
      <c r="L1064" s="101"/>
      <c r="M1064" s="136"/>
      <c r="N1064" s="99"/>
      <c r="O1064" s="99"/>
      <c r="P1064" s="99"/>
      <c r="Q1064" s="99"/>
      <c r="R1064" s="99"/>
      <c r="S1064" s="99"/>
      <c r="T1064" s="99"/>
      <c r="U1064" s="99"/>
      <c r="V1064" s="99"/>
      <c r="W1064" s="99"/>
      <c r="X1064" s="99"/>
      <c r="Y1064" s="99"/>
      <c r="Z1064" s="99"/>
    </row>
    <row r="1065">
      <c r="A1065" s="99"/>
      <c r="B1065" s="125"/>
      <c r="C1065" s="107"/>
      <c r="D1065" s="107"/>
      <c r="E1065" s="107"/>
      <c r="F1065" s="107"/>
      <c r="G1065" s="107"/>
      <c r="H1065" s="123"/>
      <c r="I1065" s="123"/>
      <c r="J1065" s="137"/>
      <c r="K1065" s="175"/>
      <c r="L1065" s="104"/>
      <c r="M1065" s="138"/>
      <c r="N1065" s="99"/>
      <c r="O1065" s="99"/>
      <c r="P1065" s="99"/>
      <c r="Q1065" s="99"/>
      <c r="R1065" s="99"/>
      <c r="S1065" s="99"/>
      <c r="T1065" s="99"/>
      <c r="U1065" s="99"/>
      <c r="V1065" s="99"/>
      <c r="W1065" s="99"/>
      <c r="X1065" s="99"/>
      <c r="Y1065" s="99"/>
      <c r="Z1065" s="99"/>
    </row>
    <row r="1066">
      <c r="A1066" s="99"/>
      <c r="B1066" s="124"/>
      <c r="C1066" s="115"/>
      <c r="D1066" s="115"/>
      <c r="E1066" s="115"/>
      <c r="F1066" s="115"/>
      <c r="G1066" s="115"/>
      <c r="H1066" s="120"/>
      <c r="I1066" s="120"/>
      <c r="J1066" s="135"/>
      <c r="K1066" s="176"/>
      <c r="L1066" s="101"/>
      <c r="M1066" s="136"/>
      <c r="N1066" s="99"/>
      <c r="O1066" s="99"/>
      <c r="P1066" s="99"/>
      <c r="Q1066" s="99"/>
      <c r="R1066" s="99"/>
      <c r="S1066" s="99"/>
      <c r="T1066" s="99"/>
      <c r="U1066" s="99"/>
      <c r="V1066" s="99"/>
      <c r="W1066" s="99"/>
      <c r="X1066" s="99"/>
      <c r="Y1066" s="99"/>
      <c r="Z1066" s="99"/>
    </row>
    <row r="1067">
      <c r="A1067" s="99"/>
      <c r="B1067" s="125"/>
      <c r="C1067" s="107"/>
      <c r="D1067" s="107"/>
      <c r="E1067" s="107"/>
      <c r="F1067" s="107"/>
      <c r="G1067" s="107"/>
      <c r="H1067" s="123"/>
      <c r="I1067" s="123"/>
      <c r="J1067" s="137"/>
      <c r="K1067" s="175"/>
      <c r="L1067" s="104"/>
      <c r="M1067" s="138"/>
      <c r="N1067" s="99"/>
      <c r="O1067" s="99"/>
      <c r="P1067" s="99"/>
      <c r="Q1067" s="99"/>
      <c r="R1067" s="99"/>
      <c r="S1067" s="99"/>
      <c r="T1067" s="99"/>
      <c r="U1067" s="99"/>
      <c r="V1067" s="99"/>
      <c r="W1067" s="99"/>
      <c r="X1067" s="99"/>
      <c r="Y1067" s="99"/>
      <c r="Z1067" s="99"/>
    </row>
    <row r="1068">
      <c r="A1068" s="99"/>
      <c r="B1068" s="124"/>
      <c r="C1068" s="115"/>
      <c r="D1068" s="115"/>
      <c r="E1068" s="115"/>
      <c r="F1068" s="115"/>
      <c r="G1068" s="115"/>
      <c r="H1068" s="120"/>
      <c r="I1068" s="120"/>
      <c r="J1068" s="135"/>
      <c r="K1068" s="176"/>
      <c r="L1068" s="101"/>
      <c r="M1068" s="136"/>
      <c r="N1068" s="99"/>
      <c r="O1068" s="99"/>
      <c r="P1068" s="99"/>
      <c r="Q1068" s="99"/>
      <c r="R1068" s="99"/>
      <c r="S1068" s="99"/>
      <c r="T1068" s="99"/>
      <c r="U1068" s="99"/>
      <c r="V1068" s="99"/>
      <c r="W1068" s="99"/>
      <c r="X1068" s="99"/>
      <c r="Y1068" s="99"/>
      <c r="Z1068" s="99"/>
    </row>
    <row r="1069">
      <c r="A1069" s="99"/>
      <c r="B1069" s="125"/>
      <c r="C1069" s="107"/>
      <c r="D1069" s="107"/>
      <c r="E1069" s="107"/>
      <c r="F1069" s="107"/>
      <c r="G1069" s="107"/>
      <c r="H1069" s="123"/>
      <c r="I1069" s="123"/>
      <c r="J1069" s="137"/>
      <c r="K1069" s="175"/>
      <c r="L1069" s="104"/>
      <c r="M1069" s="138"/>
      <c r="N1069" s="99"/>
      <c r="O1069" s="99"/>
      <c r="P1069" s="99"/>
      <c r="Q1069" s="99"/>
      <c r="R1069" s="99"/>
      <c r="S1069" s="99"/>
      <c r="T1069" s="99"/>
      <c r="U1069" s="99"/>
      <c r="V1069" s="99"/>
      <c r="W1069" s="99"/>
      <c r="X1069" s="99"/>
      <c r="Y1069" s="99"/>
      <c r="Z1069" s="99"/>
    </row>
    <row r="1070">
      <c r="A1070" s="99"/>
      <c r="B1070" s="124"/>
      <c r="C1070" s="115"/>
      <c r="D1070" s="115"/>
      <c r="E1070" s="115"/>
      <c r="F1070" s="115"/>
      <c r="G1070" s="115"/>
      <c r="H1070" s="120"/>
      <c r="I1070" s="120"/>
      <c r="J1070" s="135"/>
      <c r="K1070" s="176"/>
      <c r="L1070" s="101"/>
      <c r="M1070" s="136"/>
      <c r="N1070" s="99"/>
      <c r="O1070" s="99"/>
      <c r="P1070" s="99"/>
      <c r="Q1070" s="99"/>
      <c r="R1070" s="99"/>
      <c r="S1070" s="99"/>
      <c r="T1070" s="99"/>
      <c r="U1070" s="99"/>
      <c r="V1070" s="99"/>
      <c r="W1070" s="99"/>
      <c r="X1070" s="99"/>
      <c r="Y1070" s="99"/>
      <c r="Z1070" s="99"/>
    </row>
    <row r="1071">
      <c r="A1071" s="99"/>
      <c r="B1071" s="125"/>
      <c r="C1071" s="107"/>
      <c r="D1071" s="107"/>
      <c r="E1071" s="107"/>
      <c r="F1071" s="107"/>
      <c r="G1071" s="107"/>
      <c r="H1071" s="123"/>
      <c r="I1071" s="123"/>
      <c r="J1071" s="137"/>
      <c r="K1071" s="175"/>
      <c r="L1071" s="104"/>
      <c r="M1071" s="138"/>
      <c r="N1071" s="99"/>
      <c r="O1071" s="99"/>
      <c r="P1071" s="99"/>
      <c r="Q1071" s="99"/>
      <c r="R1071" s="99"/>
      <c r="S1071" s="99"/>
      <c r="T1071" s="99"/>
      <c r="U1071" s="99"/>
      <c r="V1071" s="99"/>
      <c r="W1071" s="99"/>
      <c r="X1071" s="99"/>
      <c r="Y1071" s="99"/>
      <c r="Z1071" s="99"/>
    </row>
    <row r="1072">
      <c r="A1072" s="99"/>
      <c r="B1072" s="124"/>
      <c r="C1072" s="115"/>
      <c r="D1072" s="115"/>
      <c r="E1072" s="115"/>
      <c r="F1072" s="115"/>
      <c r="G1072" s="115"/>
      <c r="H1072" s="120"/>
      <c r="I1072" s="120"/>
      <c r="J1072" s="135"/>
      <c r="K1072" s="176"/>
      <c r="L1072" s="101"/>
      <c r="M1072" s="136"/>
      <c r="N1072" s="99"/>
      <c r="O1072" s="99"/>
      <c r="P1072" s="99"/>
      <c r="Q1072" s="99"/>
      <c r="R1072" s="99"/>
      <c r="S1072" s="99"/>
      <c r="T1072" s="99"/>
      <c r="U1072" s="99"/>
      <c r="V1072" s="99"/>
      <c r="W1072" s="99"/>
      <c r="X1072" s="99"/>
      <c r="Y1072" s="99"/>
      <c r="Z1072" s="99"/>
    </row>
    <row r="1073">
      <c r="A1073" s="99"/>
      <c r="B1073" s="125"/>
      <c r="C1073" s="107"/>
      <c r="D1073" s="107"/>
      <c r="E1073" s="107"/>
      <c r="F1073" s="107"/>
      <c r="G1073" s="107"/>
      <c r="H1073" s="123"/>
      <c r="I1073" s="123"/>
      <c r="J1073" s="137"/>
      <c r="K1073" s="175"/>
      <c r="L1073" s="104"/>
      <c r="M1073" s="138"/>
      <c r="N1073" s="99"/>
      <c r="O1073" s="99"/>
      <c r="P1073" s="99"/>
      <c r="Q1073" s="99"/>
      <c r="R1073" s="99"/>
      <c r="S1073" s="99"/>
      <c r="T1073" s="99"/>
      <c r="U1073" s="99"/>
      <c r="V1073" s="99"/>
      <c r="W1073" s="99"/>
      <c r="X1073" s="99"/>
      <c r="Y1073" s="99"/>
      <c r="Z1073" s="99"/>
    </row>
    <row r="1074">
      <c r="A1074" s="99"/>
      <c r="B1074" s="124"/>
      <c r="C1074" s="115"/>
      <c r="D1074" s="115"/>
      <c r="E1074" s="115"/>
      <c r="F1074" s="115"/>
      <c r="G1074" s="115"/>
      <c r="H1074" s="120"/>
      <c r="I1074" s="120"/>
      <c r="J1074" s="135"/>
      <c r="K1074" s="176"/>
      <c r="L1074" s="101"/>
      <c r="M1074" s="136"/>
      <c r="N1074" s="99"/>
      <c r="O1074" s="99"/>
      <c r="P1074" s="99"/>
      <c r="Q1074" s="99"/>
      <c r="R1074" s="99"/>
      <c r="S1074" s="99"/>
      <c r="T1074" s="99"/>
      <c r="U1074" s="99"/>
      <c r="V1074" s="99"/>
      <c r="W1074" s="99"/>
      <c r="X1074" s="99"/>
      <c r="Y1074" s="99"/>
      <c r="Z1074" s="99"/>
    </row>
    <row r="1075">
      <c r="A1075" s="99"/>
      <c r="B1075" s="125"/>
      <c r="C1075" s="107"/>
      <c r="D1075" s="107"/>
      <c r="E1075" s="107"/>
      <c r="F1075" s="107"/>
      <c r="G1075" s="107"/>
      <c r="H1075" s="123"/>
      <c r="I1075" s="123"/>
      <c r="J1075" s="137"/>
      <c r="K1075" s="175"/>
      <c r="L1075" s="104"/>
      <c r="M1075" s="138"/>
      <c r="N1075" s="99"/>
      <c r="O1075" s="99"/>
      <c r="P1075" s="99"/>
      <c r="Q1075" s="99"/>
      <c r="R1075" s="99"/>
      <c r="S1075" s="99"/>
      <c r="T1075" s="99"/>
      <c r="U1075" s="99"/>
      <c r="V1075" s="99"/>
      <c r="W1075" s="99"/>
      <c r="X1075" s="99"/>
      <c r="Y1075" s="99"/>
      <c r="Z1075" s="99"/>
    </row>
    <row r="1076">
      <c r="A1076" s="99"/>
      <c r="B1076" s="124"/>
      <c r="C1076" s="115"/>
      <c r="D1076" s="115"/>
      <c r="E1076" s="115"/>
      <c r="F1076" s="115"/>
      <c r="G1076" s="115"/>
      <c r="H1076" s="120"/>
      <c r="I1076" s="120"/>
      <c r="J1076" s="135"/>
      <c r="K1076" s="176"/>
      <c r="L1076" s="101"/>
      <c r="M1076" s="136"/>
      <c r="N1076" s="99"/>
      <c r="O1076" s="99"/>
      <c r="P1076" s="99"/>
      <c r="Q1076" s="99"/>
      <c r="R1076" s="99"/>
      <c r="S1076" s="99"/>
      <c r="T1076" s="99"/>
      <c r="U1076" s="99"/>
      <c r="V1076" s="99"/>
      <c r="W1076" s="99"/>
      <c r="X1076" s="99"/>
      <c r="Y1076" s="99"/>
      <c r="Z1076" s="99"/>
    </row>
    <row r="1077">
      <c r="A1077" s="99"/>
      <c r="B1077" s="125"/>
      <c r="C1077" s="107"/>
      <c r="D1077" s="107"/>
      <c r="E1077" s="107"/>
      <c r="F1077" s="107"/>
      <c r="G1077" s="107"/>
      <c r="H1077" s="123"/>
      <c r="I1077" s="123"/>
      <c r="J1077" s="137"/>
      <c r="K1077" s="175"/>
      <c r="L1077" s="104"/>
      <c r="M1077" s="138"/>
      <c r="N1077" s="99"/>
      <c r="O1077" s="99"/>
      <c r="P1077" s="99"/>
      <c r="Q1077" s="99"/>
      <c r="R1077" s="99"/>
      <c r="S1077" s="99"/>
      <c r="T1077" s="99"/>
      <c r="U1077" s="99"/>
      <c r="V1077" s="99"/>
      <c r="W1077" s="99"/>
      <c r="X1077" s="99"/>
      <c r="Y1077" s="99"/>
      <c r="Z1077" s="99"/>
    </row>
    <row r="1078">
      <c r="A1078" s="99"/>
      <c r="B1078" s="124"/>
      <c r="C1078" s="115"/>
      <c r="D1078" s="115"/>
      <c r="E1078" s="115"/>
      <c r="F1078" s="115"/>
      <c r="G1078" s="115"/>
      <c r="H1078" s="120"/>
      <c r="I1078" s="120"/>
      <c r="J1078" s="135"/>
      <c r="K1078" s="176"/>
      <c r="L1078" s="101"/>
      <c r="M1078" s="136"/>
      <c r="N1078" s="99"/>
      <c r="O1078" s="99"/>
      <c r="P1078" s="99"/>
      <c r="Q1078" s="99"/>
      <c r="R1078" s="99"/>
      <c r="S1078" s="99"/>
      <c r="T1078" s="99"/>
      <c r="U1078" s="99"/>
      <c r="V1078" s="99"/>
      <c r="W1078" s="99"/>
      <c r="X1078" s="99"/>
      <c r="Y1078" s="99"/>
      <c r="Z1078" s="99"/>
    </row>
    <row r="1079">
      <c r="A1079" s="99"/>
      <c r="B1079" s="125"/>
      <c r="C1079" s="107"/>
      <c r="D1079" s="107"/>
      <c r="E1079" s="107"/>
      <c r="F1079" s="107"/>
      <c r="G1079" s="107"/>
      <c r="H1079" s="123"/>
      <c r="I1079" s="123"/>
      <c r="J1079" s="137"/>
      <c r="K1079" s="175"/>
      <c r="L1079" s="104"/>
      <c r="M1079" s="138"/>
      <c r="N1079" s="99"/>
      <c r="O1079" s="99"/>
      <c r="P1079" s="99"/>
      <c r="Q1079" s="99"/>
      <c r="R1079" s="99"/>
      <c r="S1079" s="99"/>
      <c r="T1079" s="99"/>
      <c r="U1079" s="99"/>
      <c r="V1079" s="99"/>
      <c r="W1079" s="99"/>
      <c r="X1079" s="99"/>
      <c r="Y1079" s="99"/>
      <c r="Z1079" s="99"/>
    </row>
    <row r="1080">
      <c r="A1080" s="99"/>
      <c r="B1080" s="124"/>
      <c r="C1080" s="115"/>
      <c r="D1080" s="115"/>
      <c r="E1080" s="115"/>
      <c r="F1080" s="115"/>
      <c r="G1080" s="115"/>
      <c r="H1080" s="120"/>
      <c r="I1080" s="120"/>
      <c r="J1080" s="135"/>
      <c r="K1080" s="176"/>
      <c r="L1080" s="101"/>
      <c r="M1080" s="136"/>
      <c r="N1080" s="99"/>
      <c r="O1080" s="99"/>
      <c r="P1080" s="99"/>
      <c r="Q1080" s="99"/>
      <c r="R1080" s="99"/>
      <c r="S1080" s="99"/>
      <c r="T1080" s="99"/>
      <c r="U1080" s="99"/>
      <c r="V1080" s="99"/>
      <c r="W1080" s="99"/>
      <c r="X1080" s="99"/>
      <c r="Y1080" s="99"/>
      <c r="Z1080" s="99"/>
    </row>
    <row r="1081">
      <c r="A1081" s="99"/>
      <c r="B1081" s="125"/>
      <c r="C1081" s="107"/>
      <c r="D1081" s="107"/>
      <c r="E1081" s="107"/>
      <c r="F1081" s="107"/>
      <c r="G1081" s="107"/>
      <c r="H1081" s="123"/>
      <c r="I1081" s="123"/>
      <c r="J1081" s="137"/>
      <c r="K1081" s="175"/>
      <c r="L1081" s="104"/>
      <c r="M1081" s="138"/>
      <c r="N1081" s="99"/>
      <c r="O1081" s="99"/>
      <c r="P1081" s="99"/>
      <c r="Q1081" s="99"/>
      <c r="R1081" s="99"/>
      <c r="S1081" s="99"/>
      <c r="T1081" s="99"/>
      <c r="U1081" s="99"/>
      <c r="V1081" s="99"/>
      <c r="W1081" s="99"/>
      <c r="X1081" s="99"/>
      <c r="Y1081" s="99"/>
      <c r="Z1081" s="99"/>
    </row>
    <row r="1082">
      <c r="A1082" s="99"/>
      <c r="B1082" s="124"/>
      <c r="C1082" s="115"/>
      <c r="D1082" s="115"/>
      <c r="E1082" s="115"/>
      <c r="F1082" s="115"/>
      <c r="G1082" s="115"/>
      <c r="H1082" s="120"/>
      <c r="I1082" s="120"/>
      <c r="J1082" s="135"/>
      <c r="K1082" s="176"/>
      <c r="L1082" s="101"/>
      <c r="M1082" s="136"/>
      <c r="N1082" s="99"/>
      <c r="O1082" s="99"/>
      <c r="P1082" s="99"/>
      <c r="Q1082" s="99"/>
      <c r="R1082" s="99"/>
      <c r="S1082" s="99"/>
      <c r="T1082" s="99"/>
      <c r="U1082" s="99"/>
      <c r="V1082" s="99"/>
      <c r="W1082" s="99"/>
      <c r="X1082" s="99"/>
      <c r="Y1082" s="99"/>
      <c r="Z1082" s="99"/>
    </row>
    <row r="1083">
      <c r="A1083" s="99"/>
      <c r="B1083" s="125"/>
      <c r="C1083" s="107"/>
      <c r="D1083" s="107"/>
      <c r="E1083" s="107"/>
      <c r="F1083" s="107"/>
      <c r="G1083" s="107"/>
      <c r="H1083" s="123"/>
      <c r="I1083" s="123"/>
      <c r="J1083" s="137"/>
      <c r="K1083" s="175"/>
      <c r="L1083" s="104"/>
      <c r="M1083" s="138"/>
      <c r="N1083" s="99"/>
      <c r="O1083" s="99"/>
      <c r="P1083" s="99"/>
      <c r="Q1083" s="99"/>
      <c r="R1083" s="99"/>
      <c r="S1083" s="99"/>
      <c r="T1083" s="99"/>
      <c r="U1083" s="99"/>
      <c r="V1083" s="99"/>
      <c r="W1083" s="99"/>
      <c r="X1083" s="99"/>
      <c r="Y1083" s="99"/>
      <c r="Z1083" s="99"/>
    </row>
    <row r="1084">
      <c r="A1084" s="99"/>
      <c r="B1084" s="124"/>
      <c r="C1084" s="115"/>
      <c r="D1084" s="115"/>
      <c r="E1084" s="115"/>
      <c r="F1084" s="115"/>
      <c r="G1084" s="115"/>
      <c r="H1084" s="120"/>
      <c r="I1084" s="120"/>
      <c r="J1084" s="135"/>
      <c r="K1084" s="176"/>
      <c r="L1084" s="101"/>
      <c r="M1084" s="136"/>
      <c r="N1084" s="99"/>
      <c r="O1084" s="99"/>
      <c r="P1084" s="99"/>
      <c r="Q1084" s="99"/>
      <c r="R1084" s="99"/>
      <c r="S1084" s="99"/>
      <c r="T1084" s="99"/>
      <c r="U1084" s="99"/>
      <c r="V1084" s="99"/>
      <c r="W1084" s="99"/>
      <c r="X1084" s="99"/>
      <c r="Y1084" s="99"/>
      <c r="Z1084" s="99"/>
    </row>
    <row r="1085">
      <c r="A1085" s="99"/>
      <c r="B1085" s="125"/>
      <c r="C1085" s="107"/>
      <c r="D1085" s="107"/>
      <c r="E1085" s="107"/>
      <c r="F1085" s="107"/>
      <c r="G1085" s="107"/>
      <c r="H1085" s="123"/>
      <c r="I1085" s="123"/>
      <c r="J1085" s="137"/>
      <c r="K1085" s="175"/>
      <c r="L1085" s="104"/>
      <c r="M1085" s="138"/>
      <c r="N1085" s="99"/>
      <c r="O1085" s="99"/>
      <c r="P1085" s="99"/>
      <c r="Q1085" s="99"/>
      <c r="R1085" s="99"/>
      <c r="S1085" s="99"/>
      <c r="T1085" s="99"/>
      <c r="U1085" s="99"/>
      <c r="V1085" s="99"/>
      <c r="W1085" s="99"/>
      <c r="X1085" s="99"/>
      <c r="Y1085" s="99"/>
      <c r="Z1085" s="99"/>
    </row>
    <row r="1086">
      <c r="A1086" s="99"/>
      <c r="B1086" s="124"/>
      <c r="C1086" s="115"/>
      <c r="D1086" s="115"/>
      <c r="E1086" s="115"/>
      <c r="F1086" s="115"/>
      <c r="G1086" s="115"/>
      <c r="H1086" s="120"/>
      <c r="I1086" s="120"/>
      <c r="J1086" s="135"/>
      <c r="K1086" s="176"/>
      <c r="L1086" s="101"/>
      <c r="M1086" s="136"/>
      <c r="N1086" s="99"/>
      <c r="O1086" s="99"/>
      <c r="P1086" s="99"/>
      <c r="Q1086" s="99"/>
      <c r="R1086" s="99"/>
      <c r="S1086" s="99"/>
      <c r="T1086" s="99"/>
      <c r="U1086" s="99"/>
      <c r="V1086" s="99"/>
      <c r="W1086" s="99"/>
      <c r="X1086" s="99"/>
      <c r="Y1086" s="99"/>
      <c r="Z1086" s="99"/>
    </row>
    <row r="1087">
      <c r="A1087" s="99"/>
      <c r="B1087" s="125"/>
      <c r="C1087" s="107"/>
      <c r="D1087" s="107"/>
      <c r="E1087" s="107"/>
      <c r="F1087" s="107"/>
      <c r="G1087" s="107"/>
      <c r="H1087" s="123"/>
      <c r="I1087" s="123"/>
      <c r="J1087" s="137"/>
      <c r="K1087" s="175"/>
      <c r="L1087" s="104"/>
      <c r="M1087" s="138"/>
      <c r="N1087" s="99"/>
      <c r="O1087" s="99"/>
      <c r="P1087" s="99"/>
      <c r="Q1087" s="99"/>
      <c r="R1087" s="99"/>
      <c r="S1087" s="99"/>
      <c r="T1087" s="99"/>
      <c r="U1087" s="99"/>
      <c r="V1087" s="99"/>
      <c r="W1087" s="99"/>
      <c r="X1087" s="99"/>
      <c r="Y1087" s="99"/>
      <c r="Z1087" s="99"/>
    </row>
    <row r="1088">
      <c r="A1088" s="99"/>
      <c r="B1088" s="124"/>
      <c r="C1088" s="115"/>
      <c r="D1088" s="115"/>
      <c r="E1088" s="115"/>
      <c r="F1088" s="115"/>
      <c r="G1088" s="115"/>
      <c r="H1088" s="120"/>
      <c r="I1088" s="120"/>
      <c r="J1088" s="135"/>
      <c r="K1088" s="176"/>
      <c r="L1088" s="101"/>
      <c r="M1088" s="136"/>
      <c r="N1088" s="99"/>
      <c r="O1088" s="99"/>
      <c r="P1088" s="99"/>
      <c r="Q1088" s="99"/>
      <c r="R1088" s="99"/>
      <c r="S1088" s="99"/>
      <c r="T1088" s="99"/>
      <c r="U1088" s="99"/>
      <c r="V1088" s="99"/>
      <c r="W1088" s="99"/>
      <c r="X1088" s="99"/>
      <c r="Y1088" s="99"/>
      <c r="Z1088" s="99"/>
    </row>
    <row r="1089">
      <c r="A1089" s="99"/>
      <c r="B1089" s="125"/>
      <c r="C1089" s="107"/>
      <c r="D1089" s="107"/>
      <c r="E1089" s="107"/>
      <c r="F1089" s="107"/>
      <c r="G1089" s="107"/>
      <c r="H1089" s="123"/>
      <c r="I1089" s="123"/>
      <c r="J1089" s="137"/>
      <c r="K1089" s="175"/>
      <c r="L1089" s="104"/>
      <c r="M1089" s="138"/>
      <c r="N1089" s="99"/>
      <c r="O1089" s="99"/>
      <c r="P1089" s="99"/>
      <c r="Q1089" s="99"/>
      <c r="R1089" s="99"/>
      <c r="S1089" s="99"/>
      <c r="T1089" s="99"/>
      <c r="U1089" s="99"/>
      <c r="V1089" s="99"/>
      <c r="W1089" s="99"/>
      <c r="X1089" s="99"/>
      <c r="Y1089" s="99"/>
      <c r="Z1089" s="99"/>
    </row>
    <row r="1090">
      <c r="A1090" s="99"/>
      <c r="B1090" s="124"/>
      <c r="C1090" s="115"/>
      <c r="D1090" s="115"/>
      <c r="E1090" s="115"/>
      <c r="F1090" s="115"/>
      <c r="G1090" s="115"/>
      <c r="H1090" s="120"/>
      <c r="I1090" s="120"/>
      <c r="J1090" s="135"/>
      <c r="K1090" s="176"/>
      <c r="L1090" s="101"/>
      <c r="M1090" s="136"/>
      <c r="N1090" s="99"/>
      <c r="O1090" s="99"/>
      <c r="P1090" s="99"/>
      <c r="Q1090" s="99"/>
      <c r="R1090" s="99"/>
      <c r="S1090" s="99"/>
      <c r="T1090" s="99"/>
      <c r="U1090" s="99"/>
      <c r="V1090" s="99"/>
      <c r="W1090" s="99"/>
      <c r="X1090" s="99"/>
      <c r="Y1090" s="99"/>
      <c r="Z1090" s="99"/>
    </row>
    <row r="1091">
      <c r="A1091" s="99"/>
      <c r="B1091" s="125"/>
      <c r="C1091" s="107"/>
      <c r="D1091" s="107"/>
      <c r="E1091" s="107"/>
      <c r="F1091" s="107"/>
      <c r="G1091" s="107"/>
      <c r="H1091" s="123"/>
      <c r="I1091" s="123"/>
      <c r="J1091" s="137"/>
      <c r="K1091" s="175"/>
      <c r="L1091" s="104"/>
      <c r="M1091" s="138"/>
      <c r="N1091" s="99"/>
      <c r="O1091" s="99"/>
      <c r="P1091" s="99"/>
      <c r="Q1091" s="99"/>
      <c r="R1091" s="99"/>
      <c r="S1091" s="99"/>
      <c r="T1091" s="99"/>
      <c r="U1091" s="99"/>
      <c r="V1091" s="99"/>
      <c r="W1091" s="99"/>
      <c r="X1091" s="99"/>
      <c r="Y1091" s="99"/>
      <c r="Z1091" s="99"/>
    </row>
    <row r="1092">
      <c r="A1092" s="99"/>
      <c r="B1092" s="124"/>
      <c r="C1092" s="115"/>
      <c r="D1092" s="115"/>
      <c r="E1092" s="115"/>
      <c r="F1092" s="115"/>
      <c r="G1092" s="115"/>
      <c r="H1092" s="120"/>
      <c r="I1092" s="120"/>
      <c r="J1092" s="135"/>
      <c r="K1092" s="176"/>
      <c r="L1092" s="101"/>
      <c r="M1092" s="136"/>
      <c r="N1092" s="99"/>
      <c r="O1092" s="99"/>
      <c r="P1092" s="99"/>
      <c r="Q1092" s="99"/>
      <c r="R1092" s="99"/>
      <c r="S1092" s="99"/>
      <c r="T1092" s="99"/>
      <c r="U1092" s="99"/>
      <c r="V1092" s="99"/>
      <c r="W1092" s="99"/>
      <c r="X1092" s="99"/>
      <c r="Y1092" s="99"/>
      <c r="Z1092" s="99"/>
    </row>
    <row r="1093">
      <c r="A1093" s="99"/>
      <c r="B1093" s="125"/>
      <c r="C1093" s="107"/>
      <c r="D1093" s="107"/>
      <c r="E1093" s="107"/>
      <c r="F1093" s="107"/>
      <c r="G1093" s="107"/>
      <c r="H1093" s="123"/>
      <c r="I1093" s="123"/>
      <c r="J1093" s="137"/>
      <c r="K1093" s="175"/>
      <c r="L1093" s="104"/>
      <c r="M1093" s="138"/>
      <c r="N1093" s="99"/>
      <c r="O1093" s="99"/>
      <c r="P1093" s="99"/>
      <c r="Q1093" s="99"/>
      <c r="R1093" s="99"/>
      <c r="S1093" s="99"/>
      <c r="T1093" s="99"/>
      <c r="U1093" s="99"/>
      <c r="V1093" s="99"/>
      <c r="W1093" s="99"/>
      <c r="X1093" s="99"/>
      <c r="Y1093" s="99"/>
      <c r="Z1093" s="99"/>
    </row>
    <row r="1094">
      <c r="A1094" s="99"/>
      <c r="B1094" s="124"/>
      <c r="C1094" s="115"/>
      <c r="D1094" s="115"/>
      <c r="E1094" s="115"/>
      <c r="F1094" s="115"/>
      <c r="G1094" s="115"/>
      <c r="H1094" s="120"/>
      <c r="I1094" s="120"/>
      <c r="J1094" s="135"/>
      <c r="K1094" s="176"/>
      <c r="L1094" s="101"/>
      <c r="M1094" s="136"/>
      <c r="N1094" s="99"/>
      <c r="O1094" s="99"/>
      <c r="P1094" s="99"/>
      <c r="Q1094" s="99"/>
      <c r="R1094" s="99"/>
      <c r="S1094" s="99"/>
      <c r="T1094" s="99"/>
      <c r="U1094" s="99"/>
      <c r="V1094" s="99"/>
      <c r="W1094" s="99"/>
      <c r="X1094" s="99"/>
      <c r="Y1094" s="99"/>
      <c r="Z1094" s="99"/>
    </row>
    <row r="1095">
      <c r="A1095" s="99"/>
      <c r="B1095" s="125"/>
      <c r="C1095" s="107"/>
      <c r="D1095" s="107"/>
      <c r="E1095" s="107"/>
      <c r="F1095" s="107"/>
      <c r="G1095" s="107"/>
      <c r="H1095" s="123"/>
      <c r="I1095" s="123"/>
      <c r="J1095" s="137"/>
      <c r="K1095" s="175"/>
      <c r="L1095" s="104"/>
      <c r="M1095" s="138"/>
      <c r="N1095" s="99"/>
      <c r="O1095" s="99"/>
      <c r="P1095" s="99"/>
      <c r="Q1095" s="99"/>
      <c r="R1095" s="99"/>
      <c r="S1095" s="99"/>
      <c r="T1095" s="99"/>
      <c r="U1095" s="99"/>
      <c r="V1095" s="99"/>
      <c r="W1095" s="99"/>
      <c r="X1095" s="99"/>
      <c r="Y1095" s="99"/>
      <c r="Z1095" s="99"/>
    </row>
    <row r="1096">
      <c r="A1096" s="99"/>
      <c r="B1096" s="124"/>
      <c r="C1096" s="115"/>
      <c r="D1096" s="115"/>
      <c r="E1096" s="115"/>
      <c r="F1096" s="115"/>
      <c r="G1096" s="115"/>
      <c r="H1096" s="120"/>
      <c r="I1096" s="120"/>
      <c r="J1096" s="135"/>
      <c r="K1096" s="176"/>
      <c r="L1096" s="101"/>
      <c r="M1096" s="136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</row>
    <row r="1097">
      <c r="A1097" s="99"/>
      <c r="B1097" s="125"/>
      <c r="C1097" s="107"/>
      <c r="D1097" s="107"/>
      <c r="E1097" s="107"/>
      <c r="F1097" s="107"/>
      <c r="G1097" s="107"/>
      <c r="H1097" s="123"/>
      <c r="I1097" s="123"/>
      <c r="J1097" s="137"/>
      <c r="K1097" s="175"/>
      <c r="L1097" s="104"/>
      <c r="M1097" s="138"/>
      <c r="N1097" s="99"/>
      <c r="O1097" s="99"/>
      <c r="P1097" s="99"/>
      <c r="Q1097" s="99"/>
      <c r="R1097" s="99"/>
      <c r="S1097" s="99"/>
      <c r="T1097" s="99"/>
      <c r="U1097" s="99"/>
      <c r="V1097" s="99"/>
      <c r="W1097" s="99"/>
      <c r="X1097" s="99"/>
      <c r="Y1097" s="99"/>
      <c r="Z1097" s="99"/>
    </row>
    <row r="1098">
      <c r="A1098" s="99"/>
      <c r="B1098" s="124"/>
      <c r="C1098" s="115"/>
      <c r="D1098" s="115"/>
      <c r="E1098" s="115"/>
      <c r="F1098" s="115"/>
      <c r="G1098" s="115"/>
      <c r="H1098" s="120"/>
      <c r="I1098" s="120"/>
      <c r="J1098" s="135"/>
      <c r="K1098" s="176"/>
      <c r="L1098" s="101"/>
      <c r="M1098" s="136"/>
      <c r="N1098" s="99"/>
      <c r="O1098" s="99"/>
      <c r="P1098" s="99"/>
      <c r="Q1098" s="99"/>
      <c r="R1098" s="99"/>
      <c r="S1098" s="99"/>
      <c r="T1098" s="99"/>
      <c r="U1098" s="99"/>
      <c r="V1098" s="99"/>
      <c r="W1098" s="99"/>
      <c r="X1098" s="99"/>
      <c r="Y1098" s="99"/>
      <c r="Z1098" s="99"/>
    </row>
    <row r="1099">
      <c r="A1099" s="99"/>
      <c r="B1099" s="125"/>
      <c r="C1099" s="107"/>
      <c r="D1099" s="107"/>
      <c r="E1099" s="107"/>
      <c r="F1099" s="107"/>
      <c r="G1099" s="107"/>
      <c r="H1099" s="123"/>
      <c r="I1099" s="123"/>
      <c r="J1099" s="137"/>
      <c r="K1099" s="175"/>
      <c r="L1099" s="104"/>
      <c r="M1099" s="138"/>
      <c r="N1099" s="99"/>
      <c r="O1099" s="99"/>
      <c r="P1099" s="99"/>
      <c r="Q1099" s="99"/>
      <c r="R1099" s="99"/>
      <c r="S1099" s="99"/>
      <c r="T1099" s="99"/>
      <c r="U1099" s="99"/>
      <c r="V1099" s="99"/>
      <c r="W1099" s="99"/>
      <c r="X1099" s="99"/>
      <c r="Y1099" s="99"/>
      <c r="Z1099" s="99"/>
    </row>
    <row r="1100">
      <c r="A1100" s="99"/>
      <c r="B1100" s="124"/>
      <c r="C1100" s="115"/>
      <c r="D1100" s="115"/>
      <c r="E1100" s="115"/>
      <c r="F1100" s="115"/>
      <c r="G1100" s="115"/>
      <c r="H1100" s="120"/>
      <c r="I1100" s="120"/>
      <c r="J1100" s="135"/>
      <c r="K1100" s="176"/>
      <c r="L1100" s="101"/>
      <c r="M1100" s="136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</row>
    <row r="1101">
      <c r="A1101" s="99"/>
      <c r="B1101" s="125"/>
      <c r="C1101" s="107"/>
      <c r="D1101" s="107"/>
      <c r="E1101" s="107"/>
      <c r="F1101" s="107"/>
      <c r="G1101" s="107"/>
      <c r="H1101" s="123"/>
      <c r="I1101" s="123"/>
      <c r="J1101" s="137"/>
      <c r="K1101" s="175"/>
      <c r="L1101" s="104"/>
      <c r="M1101" s="138"/>
      <c r="N1101" s="99"/>
      <c r="O1101" s="99"/>
      <c r="P1101" s="99"/>
      <c r="Q1101" s="99"/>
      <c r="R1101" s="99"/>
      <c r="S1101" s="99"/>
      <c r="T1101" s="99"/>
      <c r="U1101" s="99"/>
      <c r="V1101" s="99"/>
      <c r="W1101" s="99"/>
      <c r="X1101" s="99"/>
      <c r="Y1101" s="99"/>
      <c r="Z1101" s="99"/>
    </row>
    <row r="1102">
      <c r="A1102" s="99"/>
      <c r="B1102" s="124"/>
      <c r="C1102" s="115"/>
      <c r="D1102" s="115"/>
      <c r="E1102" s="115"/>
      <c r="F1102" s="115"/>
      <c r="G1102" s="115"/>
      <c r="H1102" s="120"/>
      <c r="I1102" s="120"/>
      <c r="J1102" s="135"/>
      <c r="K1102" s="176"/>
      <c r="L1102" s="101"/>
      <c r="M1102" s="136"/>
      <c r="N1102" s="99"/>
      <c r="O1102" s="99"/>
      <c r="P1102" s="99"/>
      <c r="Q1102" s="99"/>
      <c r="R1102" s="99"/>
      <c r="S1102" s="99"/>
      <c r="T1102" s="99"/>
      <c r="U1102" s="99"/>
      <c r="V1102" s="99"/>
      <c r="W1102" s="99"/>
      <c r="X1102" s="99"/>
      <c r="Y1102" s="99"/>
      <c r="Z1102" s="99"/>
    </row>
    <row r="1103">
      <c r="A1103" s="99"/>
      <c r="B1103" s="125"/>
      <c r="C1103" s="107"/>
      <c r="D1103" s="107"/>
      <c r="E1103" s="107"/>
      <c r="F1103" s="107"/>
      <c r="G1103" s="107"/>
      <c r="H1103" s="123"/>
      <c r="I1103" s="123"/>
      <c r="J1103" s="137"/>
      <c r="K1103" s="175"/>
      <c r="L1103" s="104"/>
      <c r="M1103" s="138"/>
      <c r="N1103" s="99"/>
      <c r="O1103" s="99"/>
      <c r="P1103" s="99"/>
      <c r="Q1103" s="99"/>
      <c r="R1103" s="99"/>
      <c r="S1103" s="99"/>
      <c r="T1103" s="99"/>
      <c r="U1103" s="99"/>
      <c r="V1103" s="99"/>
      <c r="W1103" s="99"/>
      <c r="X1103" s="99"/>
      <c r="Y1103" s="99"/>
      <c r="Z1103" s="99"/>
    </row>
    <row r="1104">
      <c r="A1104" s="99"/>
      <c r="B1104" s="124"/>
      <c r="C1104" s="115"/>
      <c r="D1104" s="115"/>
      <c r="E1104" s="115"/>
      <c r="F1104" s="115"/>
      <c r="G1104" s="115"/>
      <c r="H1104" s="120"/>
      <c r="I1104" s="120"/>
      <c r="J1104" s="135"/>
      <c r="K1104" s="176"/>
      <c r="L1104" s="101"/>
      <c r="M1104" s="136"/>
      <c r="N1104" s="99"/>
      <c r="O1104" s="99"/>
      <c r="P1104" s="99"/>
      <c r="Q1104" s="99"/>
      <c r="R1104" s="99"/>
      <c r="S1104" s="99"/>
      <c r="T1104" s="99"/>
      <c r="U1104" s="99"/>
      <c r="V1104" s="99"/>
      <c r="W1104" s="99"/>
      <c r="X1104" s="99"/>
      <c r="Y1104" s="99"/>
      <c r="Z1104" s="99"/>
    </row>
    <row r="1105">
      <c r="A1105" s="99"/>
      <c r="B1105" s="125"/>
      <c r="C1105" s="107"/>
      <c r="D1105" s="107"/>
      <c r="E1105" s="107"/>
      <c r="F1105" s="107"/>
      <c r="G1105" s="107"/>
      <c r="H1105" s="123"/>
      <c r="I1105" s="123"/>
      <c r="J1105" s="137"/>
      <c r="K1105" s="175"/>
      <c r="L1105" s="104"/>
      <c r="M1105" s="138"/>
      <c r="N1105" s="99"/>
      <c r="O1105" s="99"/>
      <c r="P1105" s="99"/>
      <c r="Q1105" s="99"/>
      <c r="R1105" s="99"/>
      <c r="S1105" s="99"/>
      <c r="T1105" s="99"/>
      <c r="U1105" s="99"/>
      <c r="V1105" s="99"/>
      <c r="W1105" s="99"/>
      <c r="X1105" s="99"/>
      <c r="Y1105" s="99"/>
      <c r="Z1105" s="99"/>
    </row>
    <row r="1106">
      <c r="A1106" s="99"/>
      <c r="B1106" s="124"/>
      <c r="C1106" s="115"/>
      <c r="D1106" s="115"/>
      <c r="E1106" s="115"/>
      <c r="F1106" s="115"/>
      <c r="G1106" s="115"/>
      <c r="H1106" s="120"/>
      <c r="I1106" s="120"/>
      <c r="J1106" s="135"/>
      <c r="K1106" s="176"/>
      <c r="L1106" s="101"/>
      <c r="M1106" s="136"/>
      <c r="N1106" s="99"/>
      <c r="O1106" s="99"/>
      <c r="P1106" s="99"/>
      <c r="Q1106" s="99"/>
      <c r="R1106" s="99"/>
      <c r="S1106" s="99"/>
      <c r="T1106" s="99"/>
      <c r="U1106" s="99"/>
      <c r="V1106" s="99"/>
      <c r="W1106" s="99"/>
      <c r="X1106" s="99"/>
      <c r="Y1106" s="99"/>
      <c r="Z1106" s="99"/>
    </row>
    <row r="1107">
      <c r="A1107" s="99"/>
      <c r="B1107" s="125"/>
      <c r="C1107" s="107"/>
      <c r="D1107" s="107"/>
      <c r="E1107" s="107"/>
      <c r="F1107" s="107"/>
      <c r="G1107" s="107"/>
      <c r="H1107" s="123"/>
      <c r="I1107" s="123"/>
      <c r="J1107" s="137"/>
      <c r="K1107" s="175"/>
      <c r="L1107" s="104"/>
      <c r="M1107" s="138"/>
      <c r="N1107" s="99"/>
      <c r="O1107" s="99"/>
      <c r="P1107" s="99"/>
      <c r="Q1107" s="99"/>
      <c r="R1107" s="99"/>
      <c r="S1107" s="99"/>
      <c r="T1107" s="99"/>
      <c r="U1107" s="99"/>
      <c r="V1107" s="99"/>
      <c r="W1107" s="99"/>
      <c r="X1107" s="99"/>
      <c r="Y1107" s="99"/>
      <c r="Z1107" s="99"/>
    </row>
    <row r="1108">
      <c r="A1108" s="99"/>
      <c r="B1108" s="124"/>
      <c r="C1108" s="115"/>
      <c r="D1108" s="115"/>
      <c r="E1108" s="115"/>
      <c r="F1108" s="115"/>
      <c r="G1108" s="115"/>
      <c r="H1108" s="120"/>
      <c r="I1108" s="120"/>
      <c r="J1108" s="135"/>
      <c r="K1108" s="176"/>
      <c r="L1108" s="101"/>
      <c r="M1108" s="136"/>
      <c r="N1108" s="99"/>
      <c r="O1108" s="99"/>
      <c r="P1108" s="99"/>
      <c r="Q1108" s="99"/>
      <c r="R1108" s="99"/>
      <c r="S1108" s="99"/>
      <c r="T1108" s="99"/>
      <c r="U1108" s="99"/>
      <c r="V1108" s="99"/>
      <c r="W1108" s="99"/>
      <c r="X1108" s="99"/>
      <c r="Y1108" s="99"/>
      <c r="Z1108" s="99"/>
    </row>
    <row r="1109">
      <c r="A1109" s="99"/>
      <c r="B1109" s="125"/>
      <c r="C1109" s="107"/>
      <c r="D1109" s="107"/>
      <c r="E1109" s="107"/>
      <c r="F1109" s="107"/>
      <c r="G1109" s="107"/>
      <c r="H1109" s="123"/>
      <c r="I1109" s="123"/>
      <c r="J1109" s="137"/>
      <c r="K1109" s="175"/>
      <c r="L1109" s="104"/>
      <c r="M1109" s="138"/>
      <c r="N1109" s="99"/>
      <c r="O1109" s="99"/>
      <c r="P1109" s="99"/>
      <c r="Q1109" s="99"/>
      <c r="R1109" s="99"/>
      <c r="S1109" s="99"/>
      <c r="T1109" s="99"/>
      <c r="U1109" s="99"/>
      <c r="V1109" s="99"/>
      <c r="W1109" s="99"/>
      <c r="X1109" s="99"/>
      <c r="Y1109" s="99"/>
      <c r="Z1109" s="99"/>
    </row>
    <row r="1110">
      <c r="A1110" s="99"/>
      <c r="B1110" s="124"/>
      <c r="C1110" s="115"/>
      <c r="D1110" s="115"/>
      <c r="E1110" s="115"/>
      <c r="F1110" s="115"/>
      <c r="G1110" s="115"/>
      <c r="H1110" s="120"/>
      <c r="I1110" s="120"/>
      <c r="J1110" s="135"/>
      <c r="K1110" s="176"/>
      <c r="L1110" s="101"/>
      <c r="M1110" s="136"/>
      <c r="N1110" s="99"/>
      <c r="O1110" s="99"/>
      <c r="P1110" s="99"/>
      <c r="Q1110" s="99"/>
      <c r="R1110" s="99"/>
      <c r="S1110" s="99"/>
      <c r="T1110" s="99"/>
      <c r="U1110" s="99"/>
      <c r="V1110" s="99"/>
      <c r="W1110" s="99"/>
      <c r="X1110" s="99"/>
      <c r="Y1110" s="99"/>
      <c r="Z1110" s="99"/>
    </row>
    <row r="1111">
      <c r="A1111" s="99"/>
      <c r="B1111" s="125"/>
      <c r="C1111" s="107"/>
      <c r="D1111" s="107"/>
      <c r="E1111" s="107"/>
      <c r="F1111" s="107"/>
      <c r="G1111" s="107"/>
      <c r="H1111" s="123"/>
      <c r="I1111" s="123"/>
      <c r="J1111" s="137"/>
      <c r="K1111" s="175"/>
      <c r="L1111" s="104"/>
      <c r="M1111" s="138"/>
      <c r="N1111" s="99"/>
      <c r="O1111" s="99"/>
      <c r="P1111" s="99"/>
      <c r="Q1111" s="99"/>
      <c r="R1111" s="99"/>
      <c r="S1111" s="99"/>
      <c r="T1111" s="99"/>
      <c r="U1111" s="99"/>
      <c r="V1111" s="99"/>
      <c r="W1111" s="99"/>
      <c r="X1111" s="99"/>
      <c r="Y1111" s="99"/>
      <c r="Z1111" s="99"/>
    </row>
    <row r="1112">
      <c r="A1112" s="99"/>
      <c r="B1112" s="124"/>
      <c r="C1112" s="115"/>
      <c r="D1112" s="115"/>
      <c r="E1112" s="115"/>
      <c r="F1112" s="115"/>
      <c r="G1112" s="115"/>
      <c r="H1112" s="120"/>
      <c r="I1112" s="120"/>
      <c r="J1112" s="135"/>
      <c r="K1112" s="176"/>
      <c r="L1112" s="101"/>
      <c r="M1112" s="136"/>
      <c r="N1112" s="99"/>
      <c r="O1112" s="99"/>
      <c r="P1112" s="99"/>
      <c r="Q1112" s="99"/>
      <c r="R1112" s="99"/>
      <c r="S1112" s="99"/>
      <c r="T1112" s="99"/>
      <c r="U1112" s="99"/>
      <c r="V1112" s="99"/>
      <c r="W1112" s="99"/>
      <c r="X1112" s="99"/>
      <c r="Y1112" s="99"/>
      <c r="Z1112" s="99"/>
    </row>
    <row r="1113">
      <c r="A1113" s="99"/>
      <c r="B1113" s="125"/>
      <c r="C1113" s="107"/>
      <c r="D1113" s="107"/>
      <c r="E1113" s="107"/>
      <c r="F1113" s="107"/>
      <c r="G1113" s="107"/>
      <c r="H1113" s="123"/>
      <c r="I1113" s="123"/>
      <c r="J1113" s="137"/>
      <c r="K1113" s="175"/>
      <c r="L1113" s="104"/>
      <c r="M1113" s="138"/>
      <c r="N1113" s="99"/>
      <c r="O1113" s="99"/>
      <c r="P1113" s="99"/>
      <c r="Q1113" s="99"/>
      <c r="R1113" s="99"/>
      <c r="S1113" s="99"/>
      <c r="T1113" s="99"/>
      <c r="U1113" s="99"/>
      <c r="V1113" s="99"/>
      <c r="W1113" s="99"/>
      <c r="X1113" s="99"/>
      <c r="Y1113" s="99"/>
      <c r="Z1113" s="99"/>
    </row>
    <row r="1114">
      <c r="A1114" s="99"/>
      <c r="B1114" s="124"/>
      <c r="C1114" s="115"/>
      <c r="D1114" s="115"/>
      <c r="E1114" s="115"/>
      <c r="F1114" s="115"/>
      <c r="G1114" s="115"/>
      <c r="H1114" s="120"/>
      <c r="I1114" s="120"/>
      <c r="J1114" s="135"/>
      <c r="K1114" s="176"/>
      <c r="L1114" s="101"/>
      <c r="M1114" s="136"/>
      <c r="N1114" s="99"/>
      <c r="O1114" s="99"/>
      <c r="P1114" s="99"/>
      <c r="Q1114" s="99"/>
      <c r="R1114" s="99"/>
      <c r="S1114" s="99"/>
      <c r="T1114" s="99"/>
      <c r="U1114" s="99"/>
      <c r="V1114" s="99"/>
      <c r="W1114" s="99"/>
      <c r="X1114" s="99"/>
      <c r="Y1114" s="99"/>
      <c r="Z1114" s="99"/>
    </row>
    <row r="1115">
      <c r="A1115" s="99"/>
      <c r="B1115" s="125"/>
      <c r="C1115" s="107"/>
      <c r="D1115" s="107"/>
      <c r="E1115" s="107"/>
      <c r="F1115" s="107"/>
      <c r="G1115" s="107"/>
      <c r="H1115" s="123"/>
      <c r="I1115" s="123"/>
      <c r="J1115" s="137"/>
      <c r="K1115" s="175"/>
      <c r="L1115" s="104"/>
      <c r="M1115" s="138"/>
      <c r="N1115" s="99"/>
      <c r="O1115" s="99"/>
      <c r="P1115" s="99"/>
      <c r="Q1115" s="99"/>
      <c r="R1115" s="99"/>
      <c r="S1115" s="99"/>
      <c r="T1115" s="99"/>
      <c r="U1115" s="99"/>
      <c r="V1115" s="99"/>
      <c r="W1115" s="99"/>
      <c r="X1115" s="99"/>
      <c r="Y1115" s="99"/>
      <c r="Z1115" s="99"/>
    </row>
    <row r="1116">
      <c r="A1116" s="99"/>
      <c r="B1116" s="124"/>
      <c r="C1116" s="115"/>
      <c r="D1116" s="115"/>
      <c r="E1116" s="115"/>
      <c r="F1116" s="115"/>
      <c r="G1116" s="115"/>
      <c r="H1116" s="120"/>
      <c r="I1116" s="120"/>
      <c r="J1116" s="135"/>
      <c r="K1116" s="176"/>
      <c r="L1116" s="101"/>
      <c r="M1116" s="136"/>
      <c r="N1116" s="99"/>
      <c r="O1116" s="99"/>
      <c r="P1116" s="99"/>
      <c r="Q1116" s="99"/>
      <c r="R1116" s="99"/>
      <c r="S1116" s="99"/>
      <c r="T1116" s="99"/>
      <c r="U1116" s="99"/>
      <c r="V1116" s="99"/>
      <c r="W1116" s="99"/>
      <c r="X1116" s="99"/>
      <c r="Y1116" s="99"/>
      <c r="Z1116" s="99"/>
    </row>
    <row r="1117">
      <c r="A1117" s="99"/>
      <c r="B1117" s="125"/>
      <c r="C1117" s="107"/>
      <c r="D1117" s="107"/>
      <c r="E1117" s="107"/>
      <c r="F1117" s="107"/>
      <c r="G1117" s="107"/>
      <c r="H1117" s="123"/>
      <c r="I1117" s="123"/>
      <c r="J1117" s="137"/>
      <c r="K1117" s="175"/>
      <c r="L1117" s="104"/>
      <c r="M1117" s="138"/>
      <c r="N1117" s="99"/>
      <c r="O1117" s="99"/>
      <c r="P1117" s="99"/>
      <c r="Q1117" s="99"/>
      <c r="R1117" s="99"/>
      <c r="S1117" s="99"/>
      <c r="T1117" s="99"/>
      <c r="U1117" s="99"/>
      <c r="V1117" s="99"/>
      <c r="W1117" s="99"/>
      <c r="X1117" s="99"/>
      <c r="Y1117" s="99"/>
      <c r="Z1117" s="99"/>
    </row>
    <row r="1118">
      <c r="A1118" s="99"/>
      <c r="B1118" s="124"/>
      <c r="C1118" s="115"/>
      <c r="D1118" s="115"/>
      <c r="E1118" s="115"/>
      <c r="F1118" s="115"/>
      <c r="G1118" s="115"/>
      <c r="H1118" s="120"/>
      <c r="I1118" s="120"/>
      <c r="J1118" s="135"/>
      <c r="K1118" s="176"/>
      <c r="L1118" s="101"/>
      <c r="M1118" s="136"/>
      <c r="N1118" s="99"/>
      <c r="O1118" s="99"/>
      <c r="P1118" s="99"/>
      <c r="Q1118" s="99"/>
      <c r="R1118" s="99"/>
      <c r="S1118" s="99"/>
      <c r="T1118" s="99"/>
      <c r="U1118" s="99"/>
      <c r="V1118" s="99"/>
      <c r="W1118" s="99"/>
      <c r="X1118" s="99"/>
      <c r="Y1118" s="99"/>
      <c r="Z1118" s="99"/>
    </row>
    <row r="1119">
      <c r="A1119" s="99"/>
      <c r="B1119" s="125"/>
      <c r="C1119" s="107"/>
      <c r="D1119" s="107"/>
      <c r="E1119" s="107"/>
      <c r="F1119" s="107"/>
      <c r="G1119" s="107"/>
      <c r="H1119" s="123"/>
      <c r="I1119" s="123"/>
      <c r="J1119" s="137"/>
      <c r="K1119" s="175"/>
      <c r="L1119" s="104"/>
      <c r="M1119" s="138"/>
      <c r="N1119" s="99"/>
      <c r="O1119" s="99"/>
      <c r="P1119" s="99"/>
      <c r="Q1119" s="99"/>
      <c r="R1119" s="99"/>
      <c r="S1119" s="99"/>
      <c r="T1119" s="99"/>
      <c r="U1119" s="99"/>
      <c r="V1119" s="99"/>
      <c r="W1119" s="99"/>
      <c r="X1119" s="99"/>
      <c r="Y1119" s="99"/>
      <c r="Z1119" s="99"/>
    </row>
    <row r="1120">
      <c r="A1120" s="99"/>
      <c r="B1120" s="124"/>
      <c r="C1120" s="115"/>
      <c r="D1120" s="115"/>
      <c r="E1120" s="115"/>
      <c r="F1120" s="115"/>
      <c r="G1120" s="115"/>
      <c r="H1120" s="120"/>
      <c r="I1120" s="120"/>
      <c r="J1120" s="135"/>
      <c r="K1120" s="176"/>
      <c r="L1120" s="101"/>
      <c r="M1120" s="136"/>
      <c r="N1120" s="99"/>
      <c r="O1120" s="99"/>
      <c r="P1120" s="99"/>
      <c r="Q1120" s="99"/>
      <c r="R1120" s="99"/>
      <c r="S1120" s="99"/>
      <c r="T1120" s="99"/>
      <c r="U1120" s="99"/>
      <c r="V1120" s="99"/>
      <c r="W1120" s="99"/>
      <c r="X1120" s="99"/>
      <c r="Y1120" s="99"/>
      <c r="Z1120" s="99"/>
    </row>
    <row r="1121">
      <c r="A1121" s="99"/>
      <c r="B1121" s="125"/>
      <c r="C1121" s="107"/>
      <c r="D1121" s="107"/>
      <c r="E1121" s="107"/>
      <c r="F1121" s="107"/>
      <c r="G1121" s="107"/>
      <c r="H1121" s="123"/>
      <c r="I1121" s="123"/>
      <c r="J1121" s="137"/>
      <c r="K1121" s="175"/>
      <c r="L1121" s="104"/>
      <c r="M1121" s="138"/>
      <c r="N1121" s="99"/>
      <c r="O1121" s="99"/>
      <c r="P1121" s="99"/>
      <c r="Q1121" s="99"/>
      <c r="R1121" s="99"/>
      <c r="S1121" s="99"/>
      <c r="T1121" s="99"/>
      <c r="U1121" s="99"/>
      <c r="V1121" s="99"/>
      <c r="W1121" s="99"/>
      <c r="X1121" s="99"/>
      <c r="Y1121" s="99"/>
      <c r="Z1121" s="99"/>
    </row>
    <row r="1122">
      <c r="A1122" s="99"/>
      <c r="B1122" s="124"/>
      <c r="C1122" s="115"/>
      <c r="D1122" s="115"/>
      <c r="E1122" s="115"/>
      <c r="F1122" s="115"/>
      <c r="G1122" s="115"/>
      <c r="H1122" s="120"/>
      <c r="I1122" s="120"/>
      <c r="J1122" s="135"/>
      <c r="K1122" s="176"/>
      <c r="L1122" s="101"/>
      <c r="M1122" s="136"/>
      <c r="N1122" s="99"/>
      <c r="O1122" s="99"/>
      <c r="P1122" s="99"/>
      <c r="Q1122" s="99"/>
      <c r="R1122" s="99"/>
      <c r="S1122" s="99"/>
      <c r="T1122" s="99"/>
      <c r="U1122" s="99"/>
      <c r="V1122" s="99"/>
      <c r="W1122" s="99"/>
      <c r="X1122" s="99"/>
      <c r="Y1122" s="99"/>
      <c r="Z1122" s="99"/>
    </row>
    <row r="1123">
      <c r="A1123" s="99"/>
      <c r="B1123" s="125"/>
      <c r="C1123" s="107"/>
      <c r="D1123" s="107"/>
      <c r="E1123" s="107"/>
      <c r="F1123" s="107"/>
      <c r="G1123" s="107"/>
      <c r="H1123" s="123"/>
      <c r="I1123" s="123"/>
      <c r="J1123" s="137"/>
      <c r="K1123" s="175"/>
      <c r="L1123" s="104"/>
      <c r="M1123" s="138"/>
      <c r="N1123" s="99"/>
      <c r="O1123" s="99"/>
      <c r="P1123" s="99"/>
      <c r="Q1123" s="99"/>
      <c r="R1123" s="99"/>
      <c r="S1123" s="99"/>
      <c r="T1123" s="99"/>
      <c r="U1123" s="99"/>
      <c r="V1123" s="99"/>
      <c r="W1123" s="99"/>
      <c r="X1123" s="99"/>
      <c r="Y1123" s="99"/>
      <c r="Z1123" s="99"/>
    </row>
    <row r="1124">
      <c r="A1124" s="99"/>
      <c r="B1124" s="124"/>
      <c r="C1124" s="115"/>
      <c r="D1124" s="115"/>
      <c r="E1124" s="115"/>
      <c r="F1124" s="115"/>
      <c r="G1124" s="115"/>
      <c r="H1124" s="120"/>
      <c r="I1124" s="120"/>
      <c r="J1124" s="135"/>
      <c r="K1124" s="176"/>
      <c r="L1124" s="101"/>
      <c r="M1124" s="136"/>
      <c r="N1124" s="99"/>
      <c r="O1124" s="99"/>
      <c r="P1124" s="99"/>
      <c r="Q1124" s="99"/>
      <c r="R1124" s="99"/>
      <c r="S1124" s="99"/>
      <c r="T1124" s="99"/>
      <c r="U1124" s="99"/>
      <c r="V1124" s="99"/>
      <c r="W1124" s="99"/>
      <c r="X1124" s="99"/>
      <c r="Y1124" s="99"/>
      <c r="Z1124" s="99"/>
    </row>
    <row r="1125">
      <c r="A1125" s="99"/>
      <c r="B1125" s="125"/>
      <c r="C1125" s="107"/>
      <c r="D1125" s="107"/>
      <c r="E1125" s="107"/>
      <c r="F1125" s="107"/>
      <c r="G1125" s="107"/>
      <c r="H1125" s="123"/>
      <c r="I1125" s="123"/>
      <c r="J1125" s="137"/>
      <c r="K1125" s="175"/>
      <c r="L1125" s="104"/>
      <c r="M1125" s="138"/>
      <c r="N1125" s="99"/>
      <c r="O1125" s="99"/>
      <c r="P1125" s="99"/>
      <c r="Q1125" s="99"/>
      <c r="R1125" s="99"/>
      <c r="S1125" s="99"/>
      <c r="T1125" s="99"/>
      <c r="U1125" s="99"/>
      <c r="V1125" s="99"/>
      <c r="W1125" s="99"/>
      <c r="X1125" s="99"/>
      <c r="Y1125" s="99"/>
      <c r="Z1125" s="99"/>
    </row>
    <row r="1126">
      <c r="A1126" s="99"/>
      <c r="B1126" s="124"/>
      <c r="C1126" s="115"/>
      <c r="D1126" s="115"/>
      <c r="E1126" s="115"/>
      <c r="F1126" s="115"/>
      <c r="G1126" s="115"/>
      <c r="H1126" s="120"/>
      <c r="I1126" s="120"/>
      <c r="J1126" s="135"/>
      <c r="K1126" s="176"/>
      <c r="L1126" s="101"/>
      <c r="M1126" s="136"/>
      <c r="N1126" s="99"/>
      <c r="O1126" s="99"/>
      <c r="P1126" s="99"/>
      <c r="Q1126" s="99"/>
      <c r="R1126" s="99"/>
      <c r="S1126" s="99"/>
      <c r="T1126" s="99"/>
      <c r="U1126" s="99"/>
      <c r="V1126" s="99"/>
      <c r="W1126" s="99"/>
      <c r="X1126" s="99"/>
      <c r="Y1126" s="99"/>
      <c r="Z1126" s="99"/>
    </row>
    <row r="1127">
      <c r="A1127" s="99"/>
      <c r="B1127" s="125"/>
      <c r="C1127" s="107"/>
      <c r="D1127" s="107"/>
      <c r="E1127" s="107"/>
      <c r="F1127" s="107"/>
      <c r="G1127" s="107"/>
      <c r="H1127" s="123"/>
      <c r="I1127" s="123"/>
      <c r="J1127" s="137"/>
      <c r="K1127" s="175"/>
      <c r="L1127" s="104"/>
      <c r="M1127" s="138"/>
      <c r="N1127" s="99"/>
      <c r="O1127" s="99"/>
      <c r="P1127" s="99"/>
      <c r="Q1127" s="99"/>
      <c r="R1127" s="99"/>
      <c r="S1127" s="99"/>
      <c r="T1127" s="99"/>
      <c r="U1127" s="99"/>
      <c r="V1127" s="99"/>
      <c r="W1127" s="99"/>
      <c r="X1127" s="99"/>
      <c r="Y1127" s="99"/>
      <c r="Z1127" s="99"/>
    </row>
    <row r="1128">
      <c r="A1128" s="99"/>
      <c r="B1128" s="124"/>
      <c r="C1128" s="115"/>
      <c r="D1128" s="115"/>
      <c r="E1128" s="115"/>
      <c r="F1128" s="115"/>
      <c r="G1128" s="115"/>
      <c r="H1128" s="120"/>
      <c r="I1128" s="120"/>
      <c r="J1128" s="135"/>
      <c r="K1128" s="176"/>
      <c r="L1128" s="101"/>
      <c r="M1128" s="136"/>
      <c r="N1128" s="99"/>
      <c r="O1128" s="99"/>
      <c r="P1128" s="99"/>
      <c r="Q1128" s="99"/>
      <c r="R1128" s="99"/>
      <c r="S1128" s="99"/>
      <c r="T1128" s="99"/>
      <c r="U1128" s="99"/>
      <c r="V1128" s="99"/>
      <c r="W1128" s="99"/>
      <c r="X1128" s="99"/>
      <c r="Y1128" s="99"/>
      <c r="Z1128" s="99"/>
    </row>
    <row r="1129">
      <c r="A1129" s="99"/>
      <c r="B1129" s="125"/>
      <c r="C1129" s="107"/>
      <c r="D1129" s="107"/>
      <c r="E1129" s="107"/>
      <c r="F1129" s="107"/>
      <c r="G1129" s="107"/>
      <c r="H1129" s="123"/>
      <c r="I1129" s="123"/>
      <c r="J1129" s="137"/>
      <c r="K1129" s="175"/>
      <c r="L1129" s="104"/>
      <c r="M1129" s="138"/>
      <c r="N1129" s="99"/>
      <c r="O1129" s="99"/>
      <c r="P1129" s="99"/>
      <c r="Q1129" s="99"/>
      <c r="R1129" s="99"/>
      <c r="S1129" s="99"/>
      <c r="T1129" s="99"/>
      <c r="U1129" s="99"/>
      <c r="V1129" s="99"/>
      <c r="W1129" s="99"/>
      <c r="X1129" s="99"/>
      <c r="Y1129" s="99"/>
      <c r="Z1129" s="99"/>
    </row>
    <row r="1130">
      <c r="A1130" s="99"/>
      <c r="B1130" s="124"/>
      <c r="C1130" s="115"/>
      <c r="D1130" s="115"/>
      <c r="E1130" s="115"/>
      <c r="F1130" s="115"/>
      <c r="G1130" s="115"/>
      <c r="H1130" s="120"/>
      <c r="I1130" s="120"/>
      <c r="J1130" s="135"/>
      <c r="K1130" s="176"/>
      <c r="L1130" s="101"/>
      <c r="M1130" s="136"/>
      <c r="N1130" s="99"/>
      <c r="O1130" s="99"/>
      <c r="P1130" s="99"/>
      <c r="Q1130" s="99"/>
      <c r="R1130" s="99"/>
      <c r="S1130" s="99"/>
      <c r="T1130" s="99"/>
      <c r="U1130" s="99"/>
      <c r="V1130" s="99"/>
      <c r="W1130" s="99"/>
      <c r="X1130" s="99"/>
      <c r="Y1130" s="99"/>
      <c r="Z1130" s="99"/>
    </row>
    <row r="1131">
      <c r="A1131" s="99"/>
      <c r="B1131" s="125"/>
      <c r="C1131" s="107"/>
      <c r="D1131" s="107"/>
      <c r="E1131" s="107"/>
      <c r="F1131" s="107"/>
      <c r="G1131" s="107"/>
      <c r="H1131" s="123"/>
      <c r="I1131" s="123"/>
      <c r="J1131" s="137"/>
      <c r="K1131" s="175"/>
      <c r="L1131" s="104"/>
      <c r="M1131" s="138"/>
      <c r="N1131" s="99"/>
      <c r="O1131" s="99"/>
      <c r="P1131" s="99"/>
      <c r="Q1131" s="99"/>
      <c r="R1131" s="99"/>
      <c r="S1131" s="99"/>
      <c r="T1131" s="99"/>
      <c r="U1131" s="99"/>
      <c r="V1131" s="99"/>
      <c r="W1131" s="99"/>
      <c r="X1131" s="99"/>
      <c r="Y1131" s="99"/>
      <c r="Z1131" s="99"/>
    </row>
    <row r="1132">
      <c r="A1132" s="99"/>
      <c r="B1132" s="124"/>
      <c r="C1132" s="115"/>
      <c r="D1132" s="115"/>
      <c r="E1132" s="115"/>
      <c r="F1132" s="115"/>
      <c r="G1132" s="115"/>
      <c r="H1132" s="120"/>
      <c r="I1132" s="120"/>
      <c r="J1132" s="135"/>
      <c r="K1132" s="176"/>
      <c r="L1132" s="101"/>
      <c r="M1132" s="136"/>
      <c r="N1132" s="99"/>
      <c r="O1132" s="99"/>
      <c r="P1132" s="99"/>
      <c r="Q1132" s="99"/>
      <c r="R1132" s="99"/>
      <c r="S1132" s="99"/>
      <c r="T1132" s="99"/>
      <c r="U1132" s="99"/>
      <c r="V1132" s="99"/>
      <c r="W1132" s="99"/>
      <c r="X1132" s="99"/>
      <c r="Y1132" s="99"/>
      <c r="Z1132" s="99"/>
    </row>
    <row r="1133">
      <c r="A1133" s="99"/>
      <c r="B1133" s="125"/>
      <c r="C1133" s="107"/>
      <c r="D1133" s="107"/>
      <c r="E1133" s="107"/>
      <c r="F1133" s="107"/>
      <c r="G1133" s="107"/>
      <c r="H1133" s="123"/>
      <c r="I1133" s="123"/>
      <c r="J1133" s="137"/>
      <c r="K1133" s="175"/>
      <c r="L1133" s="104"/>
      <c r="M1133" s="138"/>
      <c r="N1133" s="99"/>
      <c r="O1133" s="99"/>
      <c r="P1133" s="99"/>
      <c r="Q1133" s="99"/>
      <c r="R1133" s="99"/>
      <c r="S1133" s="99"/>
      <c r="T1133" s="99"/>
      <c r="U1133" s="99"/>
      <c r="V1133" s="99"/>
      <c r="W1133" s="99"/>
      <c r="X1133" s="99"/>
      <c r="Y1133" s="99"/>
      <c r="Z1133" s="99"/>
    </row>
    <row r="1134">
      <c r="A1134" s="99"/>
      <c r="B1134" s="124"/>
      <c r="C1134" s="115"/>
      <c r="D1134" s="115"/>
      <c r="E1134" s="115"/>
      <c r="F1134" s="115"/>
      <c r="G1134" s="115"/>
      <c r="H1134" s="120"/>
      <c r="I1134" s="120"/>
      <c r="J1134" s="135"/>
      <c r="K1134" s="176"/>
      <c r="L1134" s="101"/>
      <c r="M1134" s="136"/>
      <c r="N1134" s="99"/>
      <c r="O1134" s="99"/>
      <c r="P1134" s="99"/>
      <c r="Q1134" s="99"/>
      <c r="R1134" s="99"/>
      <c r="S1134" s="99"/>
      <c r="T1134" s="99"/>
      <c r="U1134" s="99"/>
      <c r="V1134" s="99"/>
      <c r="W1134" s="99"/>
      <c r="X1134" s="99"/>
      <c r="Y1134" s="99"/>
      <c r="Z1134" s="99"/>
    </row>
    <row r="1135">
      <c r="A1135" s="99"/>
      <c r="B1135" s="125"/>
      <c r="C1135" s="107"/>
      <c r="D1135" s="107"/>
      <c r="E1135" s="107"/>
      <c r="F1135" s="107"/>
      <c r="G1135" s="107"/>
      <c r="H1135" s="123"/>
      <c r="I1135" s="123"/>
      <c r="J1135" s="137"/>
      <c r="K1135" s="175"/>
      <c r="L1135" s="104"/>
      <c r="M1135" s="138"/>
      <c r="N1135" s="99"/>
      <c r="O1135" s="99"/>
      <c r="P1135" s="99"/>
      <c r="Q1135" s="99"/>
      <c r="R1135" s="99"/>
      <c r="S1135" s="99"/>
      <c r="T1135" s="99"/>
      <c r="U1135" s="99"/>
      <c r="V1135" s="99"/>
      <c r="W1135" s="99"/>
      <c r="X1135" s="99"/>
      <c r="Y1135" s="99"/>
      <c r="Z1135" s="99"/>
    </row>
    <row r="1136">
      <c r="A1136" s="99"/>
      <c r="B1136" s="124"/>
      <c r="C1136" s="115"/>
      <c r="D1136" s="115"/>
      <c r="E1136" s="115"/>
      <c r="F1136" s="115"/>
      <c r="G1136" s="115"/>
      <c r="H1136" s="120"/>
      <c r="I1136" s="120"/>
      <c r="J1136" s="135"/>
      <c r="K1136" s="176"/>
      <c r="L1136" s="101"/>
      <c r="M1136" s="136"/>
      <c r="N1136" s="99"/>
      <c r="O1136" s="99"/>
      <c r="P1136" s="99"/>
      <c r="Q1136" s="99"/>
      <c r="R1136" s="99"/>
      <c r="S1136" s="99"/>
      <c r="T1136" s="99"/>
      <c r="U1136" s="99"/>
      <c r="V1136" s="99"/>
      <c r="W1136" s="99"/>
      <c r="X1136" s="99"/>
      <c r="Y1136" s="99"/>
      <c r="Z1136" s="99"/>
    </row>
    <row r="1137">
      <c r="A1137" s="99"/>
      <c r="B1137" s="125"/>
      <c r="C1137" s="107"/>
      <c r="D1137" s="107"/>
      <c r="E1137" s="107"/>
      <c r="F1137" s="107"/>
      <c r="G1137" s="107"/>
      <c r="H1137" s="123"/>
      <c r="I1137" s="123"/>
      <c r="J1137" s="137"/>
      <c r="K1137" s="175"/>
      <c r="L1137" s="104"/>
      <c r="M1137" s="138"/>
      <c r="N1137" s="99"/>
      <c r="O1137" s="99"/>
      <c r="P1137" s="99"/>
      <c r="Q1137" s="99"/>
      <c r="R1137" s="99"/>
      <c r="S1137" s="99"/>
      <c r="T1137" s="99"/>
      <c r="U1137" s="99"/>
      <c r="V1137" s="99"/>
      <c r="W1137" s="99"/>
      <c r="X1137" s="99"/>
      <c r="Y1137" s="99"/>
      <c r="Z1137" s="99"/>
    </row>
    <row r="1138">
      <c r="A1138" s="99"/>
      <c r="B1138" s="124"/>
      <c r="C1138" s="115"/>
      <c r="D1138" s="115"/>
      <c r="E1138" s="115"/>
      <c r="F1138" s="115"/>
      <c r="G1138" s="115"/>
      <c r="H1138" s="120"/>
      <c r="I1138" s="120"/>
      <c r="J1138" s="135"/>
      <c r="K1138" s="176"/>
      <c r="L1138" s="101"/>
      <c r="M1138" s="136"/>
      <c r="N1138" s="99"/>
      <c r="O1138" s="99"/>
      <c r="P1138" s="99"/>
      <c r="Q1138" s="99"/>
      <c r="R1138" s="99"/>
      <c r="S1138" s="99"/>
      <c r="T1138" s="99"/>
      <c r="U1138" s="99"/>
      <c r="V1138" s="99"/>
      <c r="W1138" s="99"/>
      <c r="X1138" s="99"/>
      <c r="Y1138" s="99"/>
      <c r="Z1138" s="99"/>
    </row>
    <row r="1139">
      <c r="A1139" s="99"/>
      <c r="B1139" s="125"/>
      <c r="C1139" s="107"/>
      <c r="D1139" s="107"/>
      <c r="E1139" s="107"/>
      <c r="F1139" s="107"/>
      <c r="G1139" s="107"/>
      <c r="H1139" s="123"/>
      <c r="I1139" s="123"/>
      <c r="J1139" s="137"/>
      <c r="K1139" s="175"/>
      <c r="L1139" s="104"/>
      <c r="M1139" s="138"/>
      <c r="N1139" s="99"/>
      <c r="O1139" s="99"/>
      <c r="P1139" s="99"/>
      <c r="Q1139" s="99"/>
      <c r="R1139" s="99"/>
      <c r="S1139" s="99"/>
      <c r="T1139" s="99"/>
      <c r="U1139" s="99"/>
      <c r="V1139" s="99"/>
      <c r="W1139" s="99"/>
      <c r="X1139" s="99"/>
      <c r="Y1139" s="99"/>
      <c r="Z1139" s="99"/>
    </row>
    <row r="1140">
      <c r="A1140" s="99"/>
      <c r="B1140" s="124"/>
      <c r="C1140" s="115"/>
      <c r="D1140" s="115"/>
      <c r="E1140" s="115"/>
      <c r="F1140" s="115"/>
      <c r="G1140" s="115"/>
      <c r="H1140" s="120"/>
      <c r="I1140" s="120"/>
      <c r="J1140" s="135"/>
      <c r="K1140" s="176"/>
      <c r="L1140" s="101"/>
      <c r="M1140" s="136"/>
      <c r="N1140" s="99"/>
      <c r="O1140" s="99"/>
      <c r="P1140" s="99"/>
      <c r="Q1140" s="99"/>
      <c r="R1140" s="99"/>
      <c r="S1140" s="99"/>
      <c r="T1140" s="99"/>
      <c r="U1140" s="99"/>
      <c r="V1140" s="99"/>
      <c r="W1140" s="99"/>
      <c r="X1140" s="99"/>
      <c r="Y1140" s="99"/>
      <c r="Z1140" s="99"/>
    </row>
    <row r="1141">
      <c r="A1141" s="99"/>
      <c r="B1141" s="125"/>
      <c r="C1141" s="107"/>
      <c r="D1141" s="107"/>
      <c r="E1141" s="107"/>
      <c r="F1141" s="107"/>
      <c r="G1141" s="107"/>
      <c r="H1141" s="123"/>
      <c r="I1141" s="123"/>
      <c r="J1141" s="137"/>
      <c r="K1141" s="175"/>
      <c r="L1141" s="104"/>
      <c r="M1141" s="138"/>
      <c r="N1141" s="99"/>
      <c r="O1141" s="99"/>
      <c r="P1141" s="99"/>
      <c r="Q1141" s="99"/>
      <c r="R1141" s="99"/>
      <c r="S1141" s="99"/>
      <c r="T1141" s="99"/>
      <c r="U1141" s="99"/>
      <c r="V1141" s="99"/>
      <c r="W1141" s="99"/>
      <c r="X1141" s="99"/>
      <c r="Y1141" s="99"/>
      <c r="Z1141" s="99"/>
    </row>
    <row r="1142">
      <c r="A1142" s="99"/>
      <c r="B1142" s="124"/>
      <c r="C1142" s="115"/>
      <c r="D1142" s="115"/>
      <c r="E1142" s="115"/>
      <c r="F1142" s="115"/>
      <c r="G1142" s="115"/>
      <c r="H1142" s="120"/>
      <c r="I1142" s="120"/>
      <c r="J1142" s="135"/>
      <c r="K1142" s="176"/>
      <c r="L1142" s="101"/>
      <c r="M1142" s="136"/>
      <c r="N1142" s="99"/>
      <c r="O1142" s="99"/>
      <c r="P1142" s="99"/>
      <c r="Q1142" s="99"/>
      <c r="R1142" s="99"/>
      <c r="S1142" s="99"/>
      <c r="T1142" s="99"/>
      <c r="U1142" s="99"/>
      <c r="V1142" s="99"/>
      <c r="W1142" s="99"/>
      <c r="X1142" s="99"/>
      <c r="Y1142" s="99"/>
      <c r="Z1142" s="99"/>
    </row>
    <row r="1143">
      <c r="A1143" s="99"/>
      <c r="B1143" s="125"/>
      <c r="C1143" s="107"/>
      <c r="D1143" s="107"/>
      <c r="E1143" s="107"/>
      <c r="F1143" s="107"/>
      <c r="G1143" s="107"/>
      <c r="H1143" s="123"/>
      <c r="I1143" s="123"/>
      <c r="J1143" s="137"/>
      <c r="K1143" s="175"/>
      <c r="L1143" s="104"/>
      <c r="M1143" s="138"/>
      <c r="N1143" s="99"/>
      <c r="O1143" s="99"/>
      <c r="P1143" s="99"/>
      <c r="Q1143" s="99"/>
      <c r="R1143" s="99"/>
      <c r="S1143" s="99"/>
      <c r="T1143" s="99"/>
      <c r="U1143" s="99"/>
      <c r="V1143" s="99"/>
      <c r="W1143" s="99"/>
      <c r="X1143" s="99"/>
      <c r="Y1143" s="99"/>
      <c r="Z1143" s="99"/>
    </row>
    <row r="1144">
      <c r="A1144" s="99"/>
      <c r="B1144" s="124"/>
      <c r="C1144" s="115"/>
      <c r="D1144" s="115"/>
      <c r="E1144" s="115"/>
      <c r="F1144" s="115"/>
      <c r="G1144" s="115"/>
      <c r="H1144" s="120"/>
      <c r="I1144" s="120"/>
      <c r="J1144" s="135"/>
      <c r="K1144" s="176"/>
      <c r="L1144" s="101"/>
      <c r="M1144" s="136"/>
      <c r="N1144" s="99"/>
      <c r="O1144" s="99"/>
      <c r="P1144" s="99"/>
      <c r="Q1144" s="99"/>
      <c r="R1144" s="99"/>
      <c r="S1144" s="99"/>
      <c r="T1144" s="99"/>
      <c r="U1144" s="99"/>
      <c r="V1144" s="99"/>
      <c r="W1144" s="99"/>
      <c r="X1144" s="99"/>
      <c r="Y1144" s="99"/>
      <c r="Z1144" s="99"/>
    </row>
    <row r="1145">
      <c r="A1145" s="99"/>
      <c r="B1145" s="125"/>
      <c r="C1145" s="107"/>
      <c r="D1145" s="107"/>
      <c r="E1145" s="107"/>
      <c r="F1145" s="107"/>
      <c r="G1145" s="107"/>
      <c r="H1145" s="123"/>
      <c r="I1145" s="123"/>
      <c r="J1145" s="137"/>
      <c r="K1145" s="175"/>
      <c r="L1145" s="104"/>
      <c r="M1145" s="138"/>
      <c r="N1145" s="99"/>
      <c r="O1145" s="99"/>
      <c r="P1145" s="99"/>
      <c r="Q1145" s="99"/>
      <c r="R1145" s="99"/>
      <c r="S1145" s="99"/>
      <c r="T1145" s="99"/>
      <c r="U1145" s="99"/>
      <c r="V1145" s="99"/>
      <c r="W1145" s="99"/>
      <c r="X1145" s="99"/>
      <c r="Y1145" s="99"/>
      <c r="Z1145" s="99"/>
    </row>
    <row r="1146">
      <c r="A1146" s="99"/>
      <c r="B1146" s="124"/>
      <c r="C1146" s="115"/>
      <c r="D1146" s="115"/>
      <c r="E1146" s="115"/>
      <c r="F1146" s="115"/>
      <c r="G1146" s="115"/>
      <c r="H1146" s="120"/>
      <c r="I1146" s="120"/>
      <c r="J1146" s="135"/>
      <c r="K1146" s="176"/>
      <c r="L1146" s="101"/>
      <c r="M1146" s="136"/>
      <c r="N1146" s="99"/>
      <c r="O1146" s="99"/>
      <c r="P1146" s="99"/>
      <c r="Q1146" s="99"/>
      <c r="R1146" s="99"/>
      <c r="S1146" s="99"/>
      <c r="T1146" s="99"/>
      <c r="U1146" s="99"/>
      <c r="V1146" s="99"/>
      <c r="W1146" s="99"/>
      <c r="X1146" s="99"/>
      <c r="Y1146" s="99"/>
      <c r="Z1146" s="99"/>
    </row>
    <row r="1147">
      <c r="A1147" s="99"/>
      <c r="B1147" s="125"/>
      <c r="C1147" s="107"/>
      <c r="D1147" s="107"/>
      <c r="E1147" s="107"/>
      <c r="F1147" s="107"/>
      <c r="G1147" s="107"/>
      <c r="H1147" s="123"/>
      <c r="I1147" s="123"/>
      <c r="J1147" s="137"/>
      <c r="K1147" s="175"/>
      <c r="L1147" s="104"/>
      <c r="M1147" s="138"/>
      <c r="N1147" s="99"/>
      <c r="O1147" s="99"/>
      <c r="P1147" s="99"/>
      <c r="Q1147" s="99"/>
      <c r="R1147" s="99"/>
      <c r="S1147" s="99"/>
      <c r="T1147" s="99"/>
      <c r="U1147" s="99"/>
      <c r="V1147" s="99"/>
      <c r="W1147" s="99"/>
      <c r="X1147" s="99"/>
      <c r="Y1147" s="99"/>
      <c r="Z1147" s="99"/>
    </row>
    <row r="1148">
      <c r="A1148" s="99"/>
      <c r="B1148" s="124"/>
      <c r="C1148" s="115"/>
      <c r="D1148" s="115"/>
      <c r="E1148" s="115"/>
      <c r="F1148" s="115"/>
      <c r="G1148" s="115"/>
      <c r="H1148" s="120"/>
      <c r="I1148" s="120"/>
      <c r="J1148" s="135"/>
      <c r="K1148" s="176"/>
      <c r="L1148" s="101"/>
      <c r="M1148" s="136"/>
      <c r="N1148" s="99"/>
      <c r="O1148" s="99"/>
      <c r="P1148" s="99"/>
      <c r="Q1148" s="99"/>
      <c r="R1148" s="99"/>
      <c r="S1148" s="99"/>
      <c r="T1148" s="99"/>
      <c r="U1148" s="99"/>
      <c r="V1148" s="99"/>
      <c r="W1148" s="99"/>
      <c r="X1148" s="99"/>
      <c r="Y1148" s="99"/>
      <c r="Z1148" s="99"/>
    </row>
    <row r="1149">
      <c r="A1149" s="99"/>
      <c r="B1149" s="125"/>
      <c r="C1149" s="107"/>
      <c r="D1149" s="107"/>
      <c r="E1149" s="107"/>
      <c r="F1149" s="107"/>
      <c r="G1149" s="107"/>
      <c r="H1149" s="123"/>
      <c r="I1149" s="123"/>
      <c r="J1149" s="137"/>
      <c r="K1149" s="175"/>
      <c r="L1149" s="104"/>
      <c r="M1149" s="138"/>
      <c r="N1149" s="99"/>
      <c r="O1149" s="99"/>
      <c r="P1149" s="99"/>
      <c r="Q1149" s="99"/>
      <c r="R1149" s="99"/>
      <c r="S1149" s="99"/>
      <c r="T1149" s="99"/>
      <c r="U1149" s="99"/>
      <c r="V1149" s="99"/>
      <c r="W1149" s="99"/>
      <c r="X1149" s="99"/>
      <c r="Y1149" s="99"/>
      <c r="Z1149" s="99"/>
    </row>
    <row r="1150">
      <c r="A1150" s="99"/>
      <c r="B1150" s="124"/>
      <c r="C1150" s="115"/>
      <c r="D1150" s="115"/>
      <c r="E1150" s="115"/>
      <c r="F1150" s="115"/>
      <c r="G1150" s="115"/>
      <c r="H1150" s="120"/>
      <c r="I1150" s="120"/>
      <c r="J1150" s="135"/>
      <c r="K1150" s="176"/>
      <c r="L1150" s="101"/>
      <c r="M1150" s="136"/>
      <c r="N1150" s="99"/>
      <c r="O1150" s="99"/>
      <c r="P1150" s="99"/>
      <c r="Q1150" s="99"/>
      <c r="R1150" s="99"/>
      <c r="S1150" s="99"/>
      <c r="T1150" s="99"/>
      <c r="U1150" s="99"/>
      <c r="V1150" s="99"/>
      <c r="W1150" s="99"/>
      <c r="X1150" s="99"/>
      <c r="Y1150" s="99"/>
      <c r="Z1150" s="99"/>
    </row>
    <row r="1151">
      <c r="A1151" s="99"/>
      <c r="B1151" s="125"/>
      <c r="C1151" s="107"/>
      <c r="D1151" s="107"/>
      <c r="E1151" s="107"/>
      <c r="F1151" s="107"/>
      <c r="G1151" s="107"/>
      <c r="H1151" s="123"/>
      <c r="I1151" s="123"/>
      <c r="J1151" s="137"/>
      <c r="K1151" s="175"/>
      <c r="L1151" s="104"/>
      <c r="M1151" s="138"/>
      <c r="N1151" s="99"/>
      <c r="O1151" s="99"/>
      <c r="P1151" s="99"/>
      <c r="Q1151" s="99"/>
      <c r="R1151" s="99"/>
      <c r="S1151" s="99"/>
      <c r="T1151" s="99"/>
      <c r="U1151" s="99"/>
      <c r="V1151" s="99"/>
      <c r="W1151" s="99"/>
      <c r="X1151" s="99"/>
      <c r="Y1151" s="99"/>
      <c r="Z1151" s="99"/>
    </row>
    <row r="1152">
      <c r="A1152" s="99"/>
      <c r="B1152" s="124"/>
      <c r="C1152" s="115"/>
      <c r="D1152" s="115"/>
      <c r="E1152" s="115"/>
      <c r="F1152" s="115"/>
      <c r="G1152" s="115"/>
      <c r="H1152" s="120"/>
      <c r="I1152" s="120"/>
      <c r="J1152" s="135"/>
      <c r="K1152" s="176"/>
      <c r="L1152" s="101"/>
      <c r="M1152" s="136"/>
      <c r="N1152" s="99"/>
      <c r="O1152" s="99"/>
      <c r="P1152" s="99"/>
      <c r="Q1152" s="99"/>
      <c r="R1152" s="99"/>
      <c r="S1152" s="99"/>
      <c r="T1152" s="99"/>
      <c r="U1152" s="99"/>
      <c r="V1152" s="99"/>
      <c r="W1152" s="99"/>
      <c r="X1152" s="99"/>
      <c r="Y1152" s="99"/>
      <c r="Z1152" s="99"/>
    </row>
    <row r="1153">
      <c r="A1153" s="99"/>
      <c r="B1153" s="125"/>
      <c r="C1153" s="107"/>
      <c r="D1153" s="107"/>
      <c r="E1153" s="107"/>
      <c r="F1153" s="107"/>
      <c r="G1153" s="107"/>
      <c r="H1153" s="123"/>
      <c r="I1153" s="123"/>
      <c r="J1153" s="137"/>
      <c r="K1153" s="175"/>
      <c r="L1153" s="104"/>
      <c r="M1153" s="138"/>
      <c r="N1153" s="99"/>
      <c r="O1153" s="99"/>
      <c r="P1153" s="99"/>
      <c r="Q1153" s="99"/>
      <c r="R1153" s="99"/>
      <c r="S1153" s="99"/>
      <c r="T1153" s="99"/>
      <c r="U1153" s="99"/>
      <c r="V1153" s="99"/>
      <c r="W1153" s="99"/>
      <c r="X1153" s="99"/>
      <c r="Y1153" s="99"/>
      <c r="Z1153" s="99"/>
    </row>
    <row r="1154">
      <c r="A1154" s="99"/>
      <c r="B1154" s="124"/>
      <c r="C1154" s="115"/>
      <c r="D1154" s="115"/>
      <c r="E1154" s="115"/>
      <c r="F1154" s="115"/>
      <c r="G1154" s="115"/>
      <c r="H1154" s="120"/>
      <c r="I1154" s="120"/>
      <c r="J1154" s="135"/>
      <c r="K1154" s="176"/>
      <c r="L1154" s="101"/>
      <c r="M1154" s="136"/>
      <c r="N1154" s="99"/>
      <c r="O1154" s="99"/>
      <c r="P1154" s="99"/>
      <c r="Q1154" s="99"/>
      <c r="R1154" s="99"/>
      <c r="S1154" s="99"/>
      <c r="T1154" s="99"/>
      <c r="U1154" s="99"/>
      <c r="V1154" s="99"/>
      <c r="W1154" s="99"/>
      <c r="X1154" s="99"/>
      <c r="Y1154" s="99"/>
      <c r="Z1154" s="99"/>
    </row>
    <row r="1155">
      <c r="A1155" s="99"/>
      <c r="B1155" s="125"/>
      <c r="C1155" s="107"/>
      <c r="D1155" s="107"/>
      <c r="E1155" s="107"/>
      <c r="F1155" s="107"/>
      <c r="G1155" s="107"/>
      <c r="H1155" s="123"/>
      <c r="I1155" s="123"/>
      <c r="J1155" s="137"/>
      <c r="K1155" s="175"/>
      <c r="L1155" s="104"/>
      <c r="M1155" s="138"/>
      <c r="N1155" s="99"/>
      <c r="O1155" s="99"/>
      <c r="P1155" s="99"/>
      <c r="Q1155" s="99"/>
      <c r="R1155" s="99"/>
      <c r="S1155" s="99"/>
      <c r="T1155" s="99"/>
      <c r="U1155" s="99"/>
      <c r="V1155" s="99"/>
      <c r="W1155" s="99"/>
      <c r="X1155" s="99"/>
      <c r="Y1155" s="99"/>
      <c r="Z1155" s="99"/>
    </row>
    <row r="1156">
      <c r="A1156" s="99"/>
      <c r="B1156" s="124"/>
      <c r="C1156" s="115"/>
      <c r="D1156" s="115"/>
      <c r="E1156" s="115"/>
      <c r="F1156" s="115"/>
      <c r="G1156" s="115"/>
      <c r="H1156" s="120"/>
      <c r="I1156" s="120"/>
      <c r="J1156" s="135"/>
      <c r="K1156" s="176"/>
      <c r="L1156" s="101"/>
      <c r="M1156" s="136"/>
      <c r="N1156" s="99"/>
      <c r="O1156" s="99"/>
      <c r="P1156" s="99"/>
      <c r="Q1156" s="99"/>
      <c r="R1156" s="99"/>
      <c r="S1156" s="99"/>
      <c r="T1156" s="99"/>
      <c r="U1156" s="99"/>
      <c r="V1156" s="99"/>
      <c r="W1156" s="99"/>
      <c r="X1156" s="99"/>
      <c r="Y1156" s="99"/>
      <c r="Z1156" s="99"/>
    </row>
    <row r="1157">
      <c r="A1157" s="99"/>
      <c r="B1157" s="125"/>
      <c r="C1157" s="107"/>
      <c r="D1157" s="107"/>
      <c r="E1157" s="107"/>
      <c r="F1157" s="107"/>
      <c r="G1157" s="107"/>
      <c r="H1157" s="123"/>
      <c r="I1157" s="123"/>
      <c r="J1157" s="137"/>
      <c r="K1157" s="175"/>
      <c r="L1157" s="104"/>
      <c r="M1157" s="138"/>
      <c r="N1157" s="99"/>
      <c r="O1157" s="99"/>
      <c r="P1157" s="99"/>
      <c r="Q1157" s="99"/>
      <c r="R1157" s="99"/>
      <c r="S1157" s="99"/>
      <c r="T1157" s="99"/>
      <c r="U1157" s="99"/>
      <c r="V1157" s="99"/>
      <c r="W1157" s="99"/>
      <c r="X1157" s="99"/>
      <c r="Y1157" s="99"/>
      <c r="Z1157" s="99"/>
    </row>
    <row r="1158">
      <c r="A1158" s="99"/>
      <c r="B1158" s="124"/>
      <c r="C1158" s="115"/>
      <c r="D1158" s="115"/>
      <c r="E1158" s="115"/>
      <c r="F1158" s="115"/>
      <c r="G1158" s="115"/>
      <c r="H1158" s="120"/>
      <c r="I1158" s="120"/>
      <c r="J1158" s="135"/>
      <c r="K1158" s="176"/>
      <c r="L1158" s="101"/>
      <c r="M1158" s="136"/>
      <c r="N1158" s="99"/>
      <c r="O1158" s="99"/>
      <c r="P1158" s="99"/>
      <c r="Q1158" s="99"/>
      <c r="R1158" s="99"/>
      <c r="S1158" s="99"/>
      <c r="T1158" s="99"/>
      <c r="U1158" s="99"/>
      <c r="V1158" s="99"/>
      <c r="W1158" s="99"/>
      <c r="X1158" s="99"/>
      <c r="Y1158" s="99"/>
      <c r="Z1158" s="99"/>
    </row>
    <row r="1159">
      <c r="A1159" s="99"/>
      <c r="B1159" s="125"/>
      <c r="C1159" s="107"/>
      <c r="D1159" s="107"/>
      <c r="E1159" s="107"/>
      <c r="F1159" s="107"/>
      <c r="G1159" s="107"/>
      <c r="H1159" s="123"/>
      <c r="I1159" s="123"/>
      <c r="J1159" s="137"/>
      <c r="K1159" s="175"/>
      <c r="L1159" s="104"/>
      <c r="M1159" s="138"/>
      <c r="N1159" s="99"/>
      <c r="O1159" s="99"/>
      <c r="P1159" s="99"/>
      <c r="Q1159" s="99"/>
      <c r="R1159" s="99"/>
      <c r="S1159" s="99"/>
      <c r="T1159" s="99"/>
      <c r="U1159" s="99"/>
      <c r="V1159" s="99"/>
      <c r="W1159" s="99"/>
      <c r="X1159" s="99"/>
      <c r="Y1159" s="99"/>
      <c r="Z1159" s="99"/>
    </row>
    <row r="1160">
      <c r="A1160" s="99"/>
      <c r="B1160" s="124"/>
      <c r="C1160" s="115"/>
      <c r="D1160" s="115"/>
      <c r="E1160" s="115"/>
      <c r="F1160" s="115"/>
      <c r="G1160" s="115"/>
      <c r="H1160" s="120"/>
      <c r="I1160" s="120"/>
      <c r="J1160" s="135"/>
      <c r="K1160" s="176"/>
      <c r="L1160" s="101"/>
      <c r="M1160" s="136"/>
      <c r="N1160" s="99"/>
      <c r="O1160" s="99"/>
      <c r="P1160" s="99"/>
      <c r="Q1160" s="99"/>
      <c r="R1160" s="99"/>
      <c r="S1160" s="99"/>
      <c r="T1160" s="99"/>
      <c r="U1160" s="99"/>
      <c r="V1160" s="99"/>
      <c r="W1160" s="99"/>
      <c r="X1160" s="99"/>
      <c r="Y1160" s="99"/>
      <c r="Z1160" s="99"/>
    </row>
    <row r="1161">
      <c r="A1161" s="99"/>
      <c r="B1161" s="125"/>
      <c r="C1161" s="107"/>
      <c r="D1161" s="107"/>
      <c r="E1161" s="107"/>
      <c r="F1161" s="107"/>
      <c r="G1161" s="107"/>
      <c r="H1161" s="123"/>
      <c r="I1161" s="123"/>
      <c r="J1161" s="137"/>
      <c r="K1161" s="175"/>
      <c r="L1161" s="104"/>
      <c r="M1161" s="138"/>
      <c r="N1161" s="99"/>
      <c r="O1161" s="99"/>
      <c r="P1161" s="99"/>
      <c r="Q1161" s="99"/>
      <c r="R1161" s="99"/>
      <c r="S1161" s="99"/>
      <c r="T1161" s="99"/>
      <c r="U1161" s="99"/>
      <c r="V1161" s="99"/>
      <c r="W1161" s="99"/>
      <c r="X1161" s="99"/>
      <c r="Y1161" s="99"/>
      <c r="Z1161" s="99"/>
    </row>
    <row r="1162">
      <c r="A1162" s="99"/>
      <c r="B1162" s="124"/>
      <c r="C1162" s="115"/>
      <c r="D1162" s="115"/>
      <c r="E1162" s="115"/>
      <c r="F1162" s="115"/>
      <c r="G1162" s="115"/>
      <c r="H1162" s="120"/>
      <c r="I1162" s="120"/>
      <c r="J1162" s="135"/>
      <c r="K1162" s="176"/>
      <c r="L1162" s="101"/>
      <c r="M1162" s="136"/>
      <c r="N1162" s="99"/>
      <c r="O1162" s="99"/>
      <c r="P1162" s="99"/>
      <c r="Q1162" s="99"/>
      <c r="R1162" s="99"/>
      <c r="S1162" s="99"/>
      <c r="T1162" s="99"/>
      <c r="U1162" s="99"/>
      <c r="V1162" s="99"/>
      <c r="W1162" s="99"/>
      <c r="X1162" s="99"/>
      <c r="Y1162" s="99"/>
      <c r="Z1162" s="99"/>
    </row>
    <row r="1163">
      <c r="A1163" s="99"/>
      <c r="B1163" s="125"/>
      <c r="C1163" s="107"/>
      <c r="D1163" s="107"/>
      <c r="E1163" s="107"/>
      <c r="F1163" s="107"/>
      <c r="G1163" s="107"/>
      <c r="H1163" s="123"/>
      <c r="I1163" s="123"/>
      <c r="J1163" s="137"/>
      <c r="K1163" s="175"/>
      <c r="L1163" s="104"/>
      <c r="M1163" s="138"/>
      <c r="N1163" s="99"/>
      <c r="O1163" s="99"/>
      <c r="P1163" s="99"/>
      <c r="Q1163" s="99"/>
      <c r="R1163" s="99"/>
      <c r="S1163" s="99"/>
      <c r="T1163" s="99"/>
      <c r="U1163" s="99"/>
      <c r="V1163" s="99"/>
      <c r="W1163" s="99"/>
      <c r="X1163" s="99"/>
      <c r="Y1163" s="99"/>
      <c r="Z1163" s="99"/>
    </row>
    <row r="1164">
      <c r="A1164" s="99"/>
      <c r="B1164" s="124"/>
      <c r="C1164" s="115"/>
      <c r="D1164" s="115"/>
      <c r="E1164" s="115"/>
      <c r="F1164" s="115"/>
      <c r="G1164" s="115"/>
      <c r="H1164" s="120"/>
      <c r="I1164" s="120"/>
      <c r="J1164" s="135"/>
      <c r="K1164" s="176"/>
      <c r="L1164" s="101"/>
      <c r="M1164" s="136"/>
      <c r="N1164" s="99"/>
      <c r="O1164" s="99"/>
      <c r="P1164" s="99"/>
      <c r="Q1164" s="99"/>
      <c r="R1164" s="99"/>
      <c r="S1164" s="99"/>
      <c r="T1164" s="99"/>
      <c r="U1164" s="99"/>
      <c r="V1164" s="99"/>
      <c r="W1164" s="99"/>
      <c r="X1164" s="99"/>
      <c r="Y1164" s="99"/>
      <c r="Z1164" s="99"/>
    </row>
    <row r="1165">
      <c r="A1165" s="99"/>
      <c r="B1165" s="125"/>
      <c r="C1165" s="107"/>
      <c r="D1165" s="107"/>
      <c r="E1165" s="107"/>
      <c r="F1165" s="107"/>
      <c r="G1165" s="107"/>
      <c r="H1165" s="123"/>
      <c r="I1165" s="123"/>
      <c r="J1165" s="137"/>
      <c r="K1165" s="175"/>
      <c r="L1165" s="104"/>
      <c r="M1165" s="138"/>
      <c r="N1165" s="99"/>
      <c r="O1165" s="99"/>
      <c r="P1165" s="99"/>
      <c r="Q1165" s="99"/>
      <c r="R1165" s="99"/>
      <c r="S1165" s="99"/>
      <c r="T1165" s="99"/>
      <c r="U1165" s="99"/>
      <c r="V1165" s="99"/>
      <c r="W1165" s="99"/>
      <c r="X1165" s="99"/>
      <c r="Y1165" s="99"/>
      <c r="Z1165" s="99"/>
    </row>
    <row r="1166">
      <c r="A1166" s="99"/>
      <c r="B1166" s="124"/>
      <c r="C1166" s="115"/>
      <c r="D1166" s="115"/>
      <c r="E1166" s="115"/>
      <c r="F1166" s="115"/>
      <c r="G1166" s="115"/>
      <c r="H1166" s="120"/>
      <c r="I1166" s="120"/>
      <c r="J1166" s="135"/>
      <c r="K1166" s="176"/>
      <c r="L1166" s="101"/>
      <c r="M1166" s="136"/>
      <c r="N1166" s="99"/>
      <c r="O1166" s="99"/>
      <c r="P1166" s="99"/>
      <c r="Q1166" s="99"/>
      <c r="R1166" s="99"/>
      <c r="S1166" s="99"/>
      <c r="T1166" s="99"/>
      <c r="U1166" s="99"/>
      <c r="V1166" s="99"/>
      <c r="W1166" s="99"/>
      <c r="X1166" s="99"/>
      <c r="Y1166" s="99"/>
      <c r="Z1166" s="99"/>
    </row>
    <row r="1167">
      <c r="A1167" s="99"/>
      <c r="B1167" s="125"/>
      <c r="C1167" s="107"/>
      <c r="D1167" s="107"/>
      <c r="E1167" s="107"/>
      <c r="F1167" s="107"/>
      <c r="G1167" s="107"/>
      <c r="H1167" s="123"/>
      <c r="I1167" s="123"/>
      <c r="J1167" s="137"/>
      <c r="K1167" s="175"/>
      <c r="L1167" s="104"/>
      <c r="M1167" s="138"/>
      <c r="N1167" s="99"/>
      <c r="O1167" s="99"/>
      <c r="P1167" s="99"/>
      <c r="Q1167" s="99"/>
      <c r="R1167" s="99"/>
      <c r="S1167" s="99"/>
      <c r="T1167" s="99"/>
      <c r="U1167" s="99"/>
      <c r="V1167" s="99"/>
      <c r="W1167" s="99"/>
      <c r="X1167" s="99"/>
      <c r="Y1167" s="99"/>
      <c r="Z1167" s="99"/>
    </row>
    <row r="1168">
      <c r="A1168" s="99"/>
      <c r="B1168" s="124"/>
      <c r="C1168" s="115"/>
      <c r="D1168" s="115"/>
      <c r="E1168" s="115"/>
      <c r="F1168" s="115"/>
      <c r="G1168" s="115"/>
      <c r="H1168" s="120"/>
      <c r="I1168" s="120"/>
      <c r="J1168" s="135"/>
      <c r="K1168" s="176"/>
      <c r="L1168" s="101"/>
      <c r="M1168" s="136"/>
      <c r="N1168" s="99"/>
      <c r="O1168" s="99"/>
      <c r="P1168" s="99"/>
      <c r="Q1168" s="99"/>
      <c r="R1168" s="99"/>
      <c r="S1168" s="99"/>
      <c r="T1168" s="99"/>
      <c r="U1168" s="99"/>
      <c r="V1168" s="99"/>
      <c r="W1168" s="99"/>
      <c r="X1168" s="99"/>
      <c r="Y1168" s="99"/>
      <c r="Z1168" s="99"/>
    </row>
    <row r="1169">
      <c r="A1169" s="99"/>
      <c r="B1169" s="125"/>
      <c r="C1169" s="107"/>
      <c r="D1169" s="107"/>
      <c r="E1169" s="107"/>
      <c r="F1169" s="107"/>
      <c r="G1169" s="107"/>
      <c r="H1169" s="123"/>
      <c r="I1169" s="123"/>
      <c r="J1169" s="137"/>
      <c r="K1169" s="175"/>
      <c r="L1169" s="104"/>
      <c r="M1169" s="138"/>
      <c r="N1169" s="99"/>
      <c r="O1169" s="99"/>
      <c r="P1169" s="99"/>
      <c r="Q1169" s="99"/>
      <c r="R1169" s="99"/>
      <c r="S1169" s="99"/>
      <c r="T1169" s="99"/>
      <c r="U1169" s="99"/>
      <c r="V1169" s="99"/>
      <c r="W1169" s="99"/>
      <c r="X1169" s="99"/>
      <c r="Y1169" s="99"/>
      <c r="Z1169" s="99"/>
    </row>
    <row r="1170">
      <c r="A1170" s="99"/>
      <c r="B1170" s="124"/>
      <c r="C1170" s="115"/>
      <c r="D1170" s="115"/>
      <c r="E1170" s="115"/>
      <c r="F1170" s="115"/>
      <c r="G1170" s="115"/>
      <c r="H1170" s="120"/>
      <c r="I1170" s="120"/>
      <c r="J1170" s="135"/>
      <c r="K1170" s="176"/>
      <c r="L1170" s="101"/>
      <c r="M1170" s="136"/>
      <c r="N1170" s="99"/>
      <c r="O1170" s="99"/>
      <c r="P1170" s="99"/>
      <c r="Q1170" s="99"/>
      <c r="R1170" s="99"/>
      <c r="S1170" s="99"/>
      <c r="T1170" s="99"/>
      <c r="U1170" s="99"/>
      <c r="V1170" s="99"/>
      <c r="W1170" s="99"/>
      <c r="X1170" s="99"/>
      <c r="Y1170" s="99"/>
      <c r="Z1170" s="99"/>
    </row>
    <row r="1171">
      <c r="A1171" s="99"/>
      <c r="B1171" s="125"/>
      <c r="C1171" s="107"/>
      <c r="D1171" s="107"/>
      <c r="E1171" s="107"/>
      <c r="F1171" s="107"/>
      <c r="G1171" s="107"/>
      <c r="H1171" s="123"/>
      <c r="I1171" s="123"/>
      <c r="J1171" s="137"/>
      <c r="K1171" s="175"/>
      <c r="L1171" s="104"/>
      <c r="M1171" s="138"/>
      <c r="N1171" s="99"/>
      <c r="O1171" s="99"/>
      <c r="P1171" s="99"/>
      <c r="Q1171" s="99"/>
      <c r="R1171" s="99"/>
      <c r="S1171" s="99"/>
      <c r="T1171" s="99"/>
      <c r="U1171" s="99"/>
      <c r="V1171" s="99"/>
      <c r="W1171" s="99"/>
      <c r="X1171" s="99"/>
      <c r="Y1171" s="99"/>
      <c r="Z1171" s="99"/>
    </row>
    <row r="1172">
      <c r="A1172" s="99"/>
      <c r="B1172" s="124"/>
      <c r="C1172" s="115"/>
      <c r="D1172" s="115"/>
      <c r="E1172" s="115"/>
      <c r="F1172" s="115"/>
      <c r="G1172" s="115"/>
      <c r="H1172" s="120"/>
      <c r="I1172" s="120"/>
      <c r="J1172" s="135"/>
      <c r="K1172" s="176"/>
      <c r="L1172" s="101"/>
      <c r="M1172" s="136"/>
      <c r="N1172" s="99"/>
      <c r="O1172" s="99"/>
      <c r="P1172" s="99"/>
      <c r="Q1172" s="99"/>
      <c r="R1172" s="99"/>
      <c r="S1172" s="99"/>
      <c r="T1172" s="99"/>
      <c r="U1172" s="99"/>
      <c r="V1172" s="99"/>
      <c r="W1172" s="99"/>
      <c r="X1172" s="99"/>
      <c r="Y1172" s="99"/>
      <c r="Z1172" s="99"/>
    </row>
    <row r="1173">
      <c r="A1173" s="99"/>
      <c r="B1173" s="125"/>
      <c r="C1173" s="107"/>
      <c r="D1173" s="107"/>
      <c r="E1173" s="107"/>
      <c r="F1173" s="107"/>
      <c r="G1173" s="107"/>
      <c r="H1173" s="123"/>
      <c r="I1173" s="123"/>
      <c r="J1173" s="137"/>
      <c r="K1173" s="175"/>
      <c r="L1173" s="104"/>
      <c r="M1173" s="138"/>
      <c r="N1173" s="99"/>
      <c r="O1173" s="99"/>
      <c r="P1173" s="99"/>
      <c r="Q1173" s="99"/>
      <c r="R1173" s="99"/>
      <c r="S1173" s="99"/>
      <c r="T1173" s="99"/>
      <c r="U1173" s="99"/>
      <c r="V1173" s="99"/>
      <c r="W1173" s="99"/>
      <c r="X1173" s="99"/>
      <c r="Y1173" s="99"/>
      <c r="Z1173" s="99"/>
    </row>
    <row r="1174">
      <c r="A1174" s="99"/>
      <c r="B1174" s="124"/>
      <c r="C1174" s="115"/>
      <c r="D1174" s="115"/>
      <c r="E1174" s="115"/>
      <c r="F1174" s="115"/>
      <c r="G1174" s="115"/>
      <c r="H1174" s="120"/>
      <c r="I1174" s="120"/>
      <c r="J1174" s="135"/>
      <c r="K1174" s="176"/>
      <c r="L1174" s="101"/>
      <c r="M1174" s="136"/>
      <c r="N1174" s="99"/>
      <c r="O1174" s="99"/>
      <c r="P1174" s="99"/>
      <c r="Q1174" s="99"/>
      <c r="R1174" s="99"/>
      <c r="S1174" s="99"/>
      <c r="T1174" s="99"/>
      <c r="U1174" s="99"/>
      <c r="V1174" s="99"/>
      <c r="W1174" s="99"/>
      <c r="X1174" s="99"/>
      <c r="Y1174" s="99"/>
      <c r="Z1174" s="99"/>
    </row>
    <row r="1175">
      <c r="A1175" s="99"/>
      <c r="B1175" s="125"/>
      <c r="C1175" s="107"/>
      <c r="D1175" s="107"/>
      <c r="E1175" s="107"/>
      <c r="F1175" s="107"/>
      <c r="G1175" s="107"/>
      <c r="H1175" s="123"/>
      <c r="I1175" s="123"/>
      <c r="J1175" s="137"/>
      <c r="K1175" s="175"/>
      <c r="L1175" s="104"/>
      <c r="M1175" s="138"/>
      <c r="N1175" s="99"/>
      <c r="O1175" s="99"/>
      <c r="P1175" s="99"/>
      <c r="Q1175" s="99"/>
      <c r="R1175" s="99"/>
      <c r="S1175" s="99"/>
      <c r="T1175" s="99"/>
      <c r="U1175" s="99"/>
      <c r="V1175" s="99"/>
      <c r="W1175" s="99"/>
      <c r="X1175" s="99"/>
      <c r="Y1175" s="99"/>
      <c r="Z1175" s="99"/>
    </row>
    <row r="1176">
      <c r="A1176" s="99"/>
      <c r="B1176" s="124"/>
      <c r="C1176" s="115"/>
      <c r="D1176" s="115"/>
      <c r="E1176" s="115"/>
      <c r="F1176" s="115"/>
      <c r="G1176" s="115"/>
      <c r="H1176" s="120"/>
      <c r="I1176" s="120"/>
      <c r="J1176" s="135"/>
      <c r="K1176" s="176"/>
      <c r="L1176" s="101"/>
      <c r="M1176" s="136"/>
      <c r="N1176" s="99"/>
      <c r="O1176" s="99"/>
      <c r="P1176" s="99"/>
      <c r="Q1176" s="99"/>
      <c r="R1176" s="99"/>
      <c r="S1176" s="99"/>
      <c r="T1176" s="99"/>
      <c r="U1176" s="99"/>
      <c r="V1176" s="99"/>
      <c r="W1176" s="99"/>
      <c r="X1176" s="99"/>
      <c r="Y1176" s="99"/>
      <c r="Z1176" s="99"/>
    </row>
    <row r="1177">
      <c r="A1177" s="99"/>
      <c r="B1177" s="125"/>
      <c r="C1177" s="107"/>
      <c r="D1177" s="107"/>
      <c r="E1177" s="107"/>
      <c r="F1177" s="107"/>
      <c r="G1177" s="107"/>
      <c r="H1177" s="123"/>
      <c r="I1177" s="123"/>
      <c r="J1177" s="137"/>
      <c r="K1177" s="175"/>
      <c r="L1177" s="104"/>
      <c r="M1177" s="138"/>
      <c r="N1177" s="99"/>
      <c r="O1177" s="99"/>
      <c r="P1177" s="99"/>
      <c r="Q1177" s="99"/>
      <c r="R1177" s="99"/>
      <c r="S1177" s="99"/>
      <c r="T1177" s="99"/>
      <c r="U1177" s="99"/>
      <c r="V1177" s="99"/>
      <c r="W1177" s="99"/>
      <c r="X1177" s="99"/>
      <c r="Y1177" s="99"/>
      <c r="Z1177" s="99"/>
    </row>
    <row r="1178">
      <c r="A1178" s="99"/>
      <c r="B1178" s="124"/>
      <c r="C1178" s="115"/>
      <c r="D1178" s="115"/>
      <c r="E1178" s="115"/>
      <c r="F1178" s="115"/>
      <c r="G1178" s="115"/>
      <c r="H1178" s="120"/>
      <c r="I1178" s="120"/>
      <c r="J1178" s="135"/>
      <c r="K1178" s="176"/>
      <c r="L1178" s="101"/>
      <c r="M1178" s="136"/>
      <c r="N1178" s="99"/>
      <c r="O1178" s="99"/>
      <c r="P1178" s="99"/>
      <c r="Q1178" s="99"/>
      <c r="R1178" s="99"/>
      <c r="S1178" s="99"/>
      <c r="T1178" s="99"/>
      <c r="U1178" s="99"/>
      <c r="V1178" s="99"/>
      <c r="W1178" s="99"/>
      <c r="X1178" s="99"/>
      <c r="Y1178" s="99"/>
      <c r="Z1178" s="99"/>
    </row>
    <row r="1179">
      <c r="A1179" s="99"/>
      <c r="B1179" s="125"/>
      <c r="C1179" s="107"/>
      <c r="D1179" s="107"/>
      <c r="E1179" s="107"/>
      <c r="F1179" s="107"/>
      <c r="G1179" s="107"/>
      <c r="H1179" s="123"/>
      <c r="I1179" s="123"/>
      <c r="J1179" s="137"/>
      <c r="K1179" s="175"/>
      <c r="L1179" s="104"/>
      <c r="M1179" s="138"/>
      <c r="N1179" s="99"/>
      <c r="O1179" s="99"/>
      <c r="P1179" s="99"/>
      <c r="Q1179" s="99"/>
      <c r="R1179" s="99"/>
      <c r="S1179" s="99"/>
      <c r="T1179" s="99"/>
      <c r="U1179" s="99"/>
      <c r="V1179" s="99"/>
      <c r="W1179" s="99"/>
      <c r="X1179" s="99"/>
      <c r="Y1179" s="99"/>
      <c r="Z1179" s="99"/>
    </row>
    <row r="1180">
      <c r="A1180" s="99"/>
      <c r="B1180" s="124"/>
      <c r="C1180" s="115"/>
      <c r="D1180" s="115"/>
      <c r="E1180" s="115"/>
      <c r="F1180" s="115"/>
      <c r="G1180" s="115"/>
      <c r="H1180" s="120"/>
      <c r="I1180" s="120"/>
      <c r="J1180" s="135"/>
      <c r="K1180" s="176"/>
      <c r="L1180" s="101"/>
      <c r="M1180" s="136"/>
      <c r="N1180" s="99"/>
      <c r="O1180" s="99"/>
      <c r="P1180" s="99"/>
      <c r="Q1180" s="99"/>
      <c r="R1180" s="99"/>
      <c r="S1180" s="99"/>
      <c r="T1180" s="99"/>
      <c r="U1180" s="99"/>
      <c r="V1180" s="99"/>
      <c r="W1180" s="99"/>
      <c r="X1180" s="99"/>
      <c r="Y1180" s="99"/>
      <c r="Z1180" s="99"/>
    </row>
    <row r="1181">
      <c r="A1181" s="99"/>
      <c r="B1181" s="125"/>
      <c r="C1181" s="107"/>
      <c r="D1181" s="107"/>
      <c r="E1181" s="107"/>
      <c r="F1181" s="107"/>
      <c r="G1181" s="107"/>
      <c r="H1181" s="123"/>
      <c r="I1181" s="123"/>
      <c r="J1181" s="137"/>
      <c r="K1181" s="175"/>
      <c r="L1181" s="104"/>
      <c r="M1181" s="138"/>
      <c r="N1181" s="99"/>
      <c r="O1181" s="99"/>
      <c r="P1181" s="99"/>
      <c r="Q1181" s="99"/>
      <c r="R1181" s="99"/>
      <c r="S1181" s="99"/>
      <c r="T1181" s="99"/>
      <c r="U1181" s="99"/>
      <c r="V1181" s="99"/>
      <c r="W1181" s="99"/>
      <c r="X1181" s="99"/>
      <c r="Y1181" s="99"/>
      <c r="Z1181" s="99"/>
    </row>
    <row r="1182">
      <c r="A1182" s="99"/>
      <c r="B1182" s="124"/>
      <c r="C1182" s="115"/>
      <c r="D1182" s="115"/>
      <c r="E1182" s="115"/>
      <c r="F1182" s="115"/>
      <c r="G1182" s="115"/>
      <c r="H1182" s="120"/>
      <c r="I1182" s="120"/>
      <c r="J1182" s="135"/>
      <c r="K1182" s="176"/>
      <c r="L1182" s="101"/>
      <c r="M1182" s="136"/>
      <c r="N1182" s="99"/>
      <c r="O1182" s="99"/>
      <c r="P1182" s="99"/>
      <c r="Q1182" s="99"/>
      <c r="R1182" s="99"/>
      <c r="S1182" s="99"/>
      <c r="T1182" s="99"/>
      <c r="U1182" s="99"/>
      <c r="V1182" s="99"/>
      <c r="W1182" s="99"/>
      <c r="X1182" s="99"/>
      <c r="Y1182" s="99"/>
      <c r="Z1182" s="99"/>
    </row>
    <row r="1183">
      <c r="A1183" s="99"/>
      <c r="B1183" s="125"/>
      <c r="C1183" s="107"/>
      <c r="D1183" s="107"/>
      <c r="E1183" s="107"/>
      <c r="F1183" s="107"/>
      <c r="G1183" s="107"/>
      <c r="H1183" s="123"/>
      <c r="I1183" s="123"/>
      <c r="J1183" s="137"/>
      <c r="K1183" s="175"/>
      <c r="L1183" s="104"/>
      <c r="M1183" s="138"/>
      <c r="N1183" s="99"/>
      <c r="O1183" s="99"/>
      <c r="P1183" s="99"/>
      <c r="Q1183" s="99"/>
      <c r="R1183" s="99"/>
      <c r="S1183" s="99"/>
      <c r="T1183" s="99"/>
      <c r="U1183" s="99"/>
      <c r="V1183" s="99"/>
      <c r="W1183" s="99"/>
      <c r="X1183" s="99"/>
      <c r="Y1183" s="99"/>
      <c r="Z1183" s="99"/>
    </row>
    <row r="1184">
      <c r="A1184" s="99"/>
      <c r="B1184" s="124"/>
      <c r="C1184" s="115"/>
      <c r="D1184" s="115"/>
      <c r="E1184" s="115"/>
      <c r="F1184" s="115"/>
      <c r="G1184" s="115"/>
      <c r="H1184" s="120"/>
      <c r="I1184" s="120"/>
      <c r="J1184" s="135"/>
      <c r="K1184" s="176"/>
      <c r="L1184" s="101"/>
      <c r="M1184" s="136"/>
      <c r="N1184" s="99"/>
      <c r="O1184" s="99"/>
      <c r="P1184" s="99"/>
      <c r="Q1184" s="99"/>
      <c r="R1184" s="99"/>
      <c r="S1184" s="99"/>
      <c r="T1184" s="99"/>
      <c r="U1184" s="99"/>
      <c r="V1184" s="99"/>
      <c r="W1184" s="99"/>
      <c r="X1184" s="99"/>
      <c r="Y1184" s="99"/>
      <c r="Z1184" s="99"/>
    </row>
    <row r="1185">
      <c r="A1185" s="99"/>
      <c r="B1185" s="125"/>
      <c r="C1185" s="107"/>
      <c r="D1185" s="107"/>
      <c r="E1185" s="107"/>
      <c r="F1185" s="107"/>
      <c r="G1185" s="107"/>
      <c r="H1185" s="123"/>
      <c r="I1185" s="123"/>
      <c r="J1185" s="137"/>
      <c r="K1185" s="175"/>
      <c r="L1185" s="104"/>
      <c r="M1185" s="138"/>
      <c r="N1185" s="99"/>
      <c r="O1185" s="99"/>
      <c r="P1185" s="99"/>
      <c r="Q1185" s="99"/>
      <c r="R1185" s="99"/>
      <c r="S1185" s="99"/>
      <c r="T1185" s="99"/>
      <c r="U1185" s="99"/>
      <c r="V1185" s="99"/>
      <c r="W1185" s="99"/>
      <c r="X1185" s="99"/>
      <c r="Y1185" s="99"/>
      <c r="Z1185" s="99"/>
    </row>
    <row r="1186">
      <c r="A1186" s="99"/>
      <c r="B1186" s="124"/>
      <c r="C1186" s="115"/>
      <c r="D1186" s="115"/>
      <c r="E1186" s="115"/>
      <c r="F1186" s="115"/>
      <c r="G1186" s="115"/>
      <c r="H1186" s="120"/>
      <c r="I1186" s="120"/>
      <c r="J1186" s="135"/>
      <c r="K1186" s="176"/>
      <c r="L1186" s="101"/>
      <c r="M1186" s="136"/>
      <c r="N1186" s="99"/>
      <c r="O1186" s="99"/>
      <c r="P1186" s="99"/>
      <c r="Q1186" s="99"/>
      <c r="R1186" s="99"/>
      <c r="S1186" s="99"/>
      <c r="T1186" s="99"/>
      <c r="U1186" s="99"/>
      <c r="V1186" s="99"/>
      <c r="W1186" s="99"/>
      <c r="X1186" s="99"/>
      <c r="Y1186" s="99"/>
      <c r="Z1186" s="99"/>
    </row>
    <row r="1187">
      <c r="A1187" s="99"/>
      <c r="B1187" s="125"/>
      <c r="C1187" s="107"/>
      <c r="D1187" s="107"/>
      <c r="E1187" s="107"/>
      <c r="F1187" s="107"/>
      <c r="G1187" s="107"/>
      <c r="H1187" s="123"/>
      <c r="I1187" s="123"/>
      <c r="J1187" s="137"/>
      <c r="K1187" s="175"/>
      <c r="L1187" s="104"/>
      <c r="M1187" s="138"/>
      <c r="N1187" s="99"/>
      <c r="O1187" s="99"/>
      <c r="P1187" s="99"/>
      <c r="Q1187" s="99"/>
      <c r="R1187" s="99"/>
      <c r="S1187" s="99"/>
      <c r="T1187" s="99"/>
      <c r="U1187" s="99"/>
      <c r="V1187" s="99"/>
      <c r="W1187" s="99"/>
      <c r="X1187" s="99"/>
      <c r="Y1187" s="99"/>
      <c r="Z1187" s="99"/>
    </row>
    <row r="1188">
      <c r="A1188" s="99"/>
      <c r="B1188" s="124"/>
      <c r="C1188" s="115"/>
      <c r="D1188" s="115"/>
      <c r="E1188" s="115"/>
      <c r="F1188" s="115"/>
      <c r="G1188" s="115"/>
      <c r="H1188" s="120"/>
      <c r="I1188" s="120"/>
      <c r="J1188" s="135"/>
      <c r="K1188" s="176"/>
      <c r="L1188" s="101"/>
      <c r="M1188" s="136"/>
      <c r="N1188" s="99"/>
      <c r="O1188" s="99"/>
      <c r="P1188" s="99"/>
      <c r="Q1188" s="99"/>
      <c r="R1188" s="99"/>
      <c r="S1188" s="99"/>
      <c r="T1188" s="99"/>
      <c r="U1188" s="99"/>
      <c r="V1188" s="99"/>
      <c r="W1188" s="99"/>
      <c r="X1188" s="99"/>
      <c r="Y1188" s="99"/>
      <c r="Z1188" s="99"/>
    </row>
    <row r="1189">
      <c r="A1189" s="99"/>
      <c r="B1189" s="125"/>
      <c r="C1189" s="107"/>
      <c r="D1189" s="107"/>
      <c r="E1189" s="107"/>
      <c r="F1189" s="107"/>
      <c r="G1189" s="107"/>
      <c r="H1189" s="123"/>
      <c r="I1189" s="123"/>
      <c r="J1189" s="137"/>
      <c r="K1189" s="175"/>
      <c r="L1189" s="104"/>
      <c r="M1189" s="138"/>
      <c r="N1189" s="99"/>
      <c r="O1189" s="99"/>
      <c r="P1189" s="99"/>
      <c r="Q1189" s="99"/>
      <c r="R1189" s="99"/>
      <c r="S1189" s="99"/>
      <c r="T1189" s="99"/>
      <c r="U1189" s="99"/>
      <c r="V1189" s="99"/>
      <c r="W1189" s="99"/>
      <c r="X1189" s="99"/>
      <c r="Y1189" s="99"/>
      <c r="Z1189" s="99"/>
    </row>
    <row r="1190">
      <c r="A1190" s="99"/>
      <c r="B1190" s="124"/>
      <c r="C1190" s="115"/>
      <c r="D1190" s="115"/>
      <c r="E1190" s="115"/>
      <c r="F1190" s="115"/>
      <c r="G1190" s="115"/>
      <c r="H1190" s="120"/>
      <c r="I1190" s="120"/>
      <c r="J1190" s="135"/>
      <c r="K1190" s="176"/>
      <c r="L1190" s="101"/>
      <c r="M1190" s="136"/>
      <c r="N1190" s="99"/>
      <c r="O1190" s="99"/>
      <c r="P1190" s="99"/>
      <c r="Q1190" s="99"/>
      <c r="R1190" s="99"/>
      <c r="S1190" s="99"/>
      <c r="T1190" s="99"/>
      <c r="U1190" s="99"/>
      <c r="V1190" s="99"/>
      <c r="W1190" s="99"/>
      <c r="X1190" s="99"/>
      <c r="Y1190" s="99"/>
      <c r="Z1190" s="99"/>
    </row>
    <row r="1191">
      <c r="A1191" s="99"/>
      <c r="B1191" s="125"/>
      <c r="C1191" s="107"/>
      <c r="D1191" s="107"/>
      <c r="E1191" s="107"/>
      <c r="F1191" s="107"/>
      <c r="G1191" s="107"/>
      <c r="H1191" s="123"/>
      <c r="I1191" s="123"/>
      <c r="J1191" s="137"/>
      <c r="K1191" s="175"/>
      <c r="L1191" s="104"/>
      <c r="M1191" s="138"/>
      <c r="N1191" s="99"/>
      <c r="O1191" s="99"/>
      <c r="P1191" s="99"/>
      <c r="Q1191" s="99"/>
      <c r="R1191" s="99"/>
      <c r="S1191" s="99"/>
      <c r="T1191" s="99"/>
      <c r="U1191" s="99"/>
      <c r="V1191" s="99"/>
      <c r="W1191" s="99"/>
      <c r="X1191" s="99"/>
      <c r="Y1191" s="99"/>
      <c r="Z1191" s="99"/>
    </row>
    <row r="1192">
      <c r="A1192" s="99"/>
      <c r="B1192" s="124"/>
      <c r="C1192" s="115"/>
      <c r="D1192" s="115"/>
      <c r="E1192" s="115"/>
      <c r="F1192" s="115"/>
      <c r="G1192" s="115"/>
      <c r="H1192" s="120"/>
      <c r="I1192" s="120"/>
      <c r="J1192" s="135"/>
      <c r="K1192" s="176"/>
      <c r="L1192" s="101"/>
      <c r="M1192" s="136"/>
      <c r="N1192" s="99"/>
      <c r="O1192" s="99"/>
      <c r="P1192" s="99"/>
      <c r="Q1192" s="99"/>
      <c r="R1192" s="99"/>
      <c r="S1192" s="99"/>
      <c r="T1192" s="99"/>
      <c r="U1192" s="99"/>
      <c r="V1192" s="99"/>
      <c r="W1192" s="99"/>
      <c r="X1192" s="99"/>
      <c r="Y1192" s="99"/>
      <c r="Z1192" s="99"/>
    </row>
    <row r="1193">
      <c r="A1193" s="99"/>
      <c r="B1193" s="125"/>
      <c r="C1193" s="107"/>
      <c r="D1193" s="107"/>
      <c r="E1193" s="107"/>
      <c r="F1193" s="107"/>
      <c r="G1193" s="107"/>
      <c r="H1193" s="123"/>
      <c r="I1193" s="123"/>
      <c r="J1193" s="137"/>
      <c r="K1193" s="175"/>
      <c r="L1193" s="104"/>
      <c r="M1193" s="138"/>
      <c r="N1193" s="99"/>
      <c r="O1193" s="99"/>
      <c r="P1193" s="99"/>
      <c r="Q1193" s="99"/>
      <c r="R1193" s="99"/>
      <c r="S1193" s="99"/>
      <c r="T1193" s="99"/>
      <c r="U1193" s="99"/>
      <c r="V1193" s="99"/>
      <c r="W1193" s="99"/>
      <c r="X1193" s="99"/>
      <c r="Y1193" s="99"/>
      <c r="Z1193" s="99"/>
    </row>
    <row r="1194">
      <c r="A1194" s="99"/>
      <c r="B1194" s="124"/>
      <c r="C1194" s="115"/>
      <c r="D1194" s="115"/>
      <c r="E1194" s="115"/>
      <c r="F1194" s="115"/>
      <c r="G1194" s="115"/>
      <c r="H1194" s="120"/>
      <c r="I1194" s="120"/>
      <c r="J1194" s="135"/>
      <c r="K1194" s="176"/>
      <c r="L1194" s="101"/>
      <c r="M1194" s="136"/>
      <c r="N1194" s="99"/>
      <c r="O1194" s="99"/>
      <c r="P1194" s="99"/>
      <c r="Q1194" s="99"/>
      <c r="R1194" s="99"/>
      <c r="S1194" s="99"/>
      <c r="T1194" s="99"/>
      <c r="U1194" s="99"/>
      <c r="V1194" s="99"/>
      <c r="W1194" s="99"/>
      <c r="X1194" s="99"/>
      <c r="Y1194" s="99"/>
      <c r="Z1194" s="99"/>
    </row>
    <row r="1195">
      <c r="A1195" s="99"/>
      <c r="B1195" s="125"/>
      <c r="C1195" s="107"/>
      <c r="D1195" s="107"/>
      <c r="E1195" s="107"/>
      <c r="F1195" s="107"/>
      <c r="G1195" s="107"/>
      <c r="H1195" s="123"/>
      <c r="I1195" s="123"/>
      <c r="J1195" s="137"/>
      <c r="K1195" s="175"/>
      <c r="L1195" s="104"/>
      <c r="M1195" s="138"/>
      <c r="N1195" s="99"/>
      <c r="O1195" s="99"/>
      <c r="P1195" s="99"/>
      <c r="Q1195" s="99"/>
      <c r="R1195" s="99"/>
      <c r="S1195" s="99"/>
      <c r="T1195" s="99"/>
      <c r="U1195" s="99"/>
      <c r="V1195" s="99"/>
      <c r="W1195" s="99"/>
      <c r="X1195" s="99"/>
      <c r="Y1195" s="99"/>
      <c r="Z1195" s="99"/>
    </row>
    <row r="1196">
      <c r="A1196" s="99"/>
      <c r="B1196" s="124"/>
      <c r="C1196" s="115"/>
      <c r="D1196" s="115"/>
      <c r="E1196" s="115"/>
      <c r="F1196" s="115"/>
      <c r="G1196" s="115"/>
      <c r="H1196" s="120"/>
      <c r="I1196" s="120"/>
      <c r="J1196" s="135"/>
      <c r="K1196" s="176"/>
      <c r="L1196" s="101"/>
      <c r="M1196" s="136"/>
      <c r="N1196" s="99"/>
      <c r="O1196" s="99"/>
      <c r="P1196" s="99"/>
      <c r="Q1196" s="99"/>
      <c r="R1196" s="99"/>
      <c r="S1196" s="99"/>
      <c r="T1196" s="99"/>
      <c r="U1196" s="99"/>
      <c r="V1196" s="99"/>
      <c r="W1196" s="99"/>
      <c r="X1196" s="99"/>
      <c r="Y1196" s="99"/>
      <c r="Z1196" s="99"/>
    </row>
    <row r="1197">
      <c r="A1197" s="99"/>
      <c r="B1197" s="125"/>
      <c r="C1197" s="107"/>
      <c r="D1197" s="107"/>
      <c r="E1197" s="107"/>
      <c r="F1197" s="107"/>
      <c r="G1197" s="107"/>
      <c r="H1197" s="123"/>
      <c r="I1197" s="123"/>
      <c r="J1197" s="137"/>
      <c r="K1197" s="175"/>
      <c r="L1197" s="104"/>
      <c r="M1197" s="138"/>
      <c r="N1197" s="99"/>
      <c r="O1197" s="99"/>
      <c r="P1197" s="99"/>
      <c r="Q1197" s="99"/>
      <c r="R1197" s="99"/>
      <c r="S1197" s="99"/>
      <c r="T1197" s="99"/>
      <c r="U1197" s="99"/>
      <c r="V1197" s="99"/>
      <c r="W1197" s="99"/>
      <c r="X1197" s="99"/>
      <c r="Y1197" s="99"/>
      <c r="Z1197" s="99"/>
    </row>
    <row r="1198">
      <c r="A1198" s="99"/>
      <c r="B1198" s="124"/>
      <c r="C1198" s="115"/>
      <c r="D1198" s="115"/>
      <c r="E1198" s="115"/>
      <c r="F1198" s="115"/>
      <c r="G1198" s="115"/>
      <c r="H1198" s="120"/>
      <c r="I1198" s="120"/>
      <c r="J1198" s="135"/>
      <c r="K1198" s="176"/>
      <c r="L1198" s="101"/>
      <c r="M1198" s="136"/>
      <c r="N1198" s="99"/>
      <c r="O1198" s="99"/>
      <c r="P1198" s="99"/>
      <c r="Q1198" s="99"/>
      <c r="R1198" s="99"/>
      <c r="S1198" s="99"/>
      <c r="T1198" s="99"/>
      <c r="U1198" s="99"/>
      <c r="V1198" s="99"/>
      <c r="W1198" s="99"/>
      <c r="X1198" s="99"/>
      <c r="Y1198" s="99"/>
      <c r="Z1198" s="99"/>
    </row>
    <row r="1199">
      <c r="A1199" s="99"/>
      <c r="B1199" s="125"/>
      <c r="C1199" s="107"/>
      <c r="D1199" s="107"/>
      <c r="E1199" s="107"/>
      <c r="F1199" s="107"/>
      <c r="G1199" s="107"/>
      <c r="H1199" s="123"/>
      <c r="I1199" s="123"/>
      <c r="J1199" s="137"/>
      <c r="K1199" s="175"/>
      <c r="L1199" s="104"/>
      <c r="M1199" s="138"/>
      <c r="N1199" s="99"/>
      <c r="O1199" s="99"/>
      <c r="P1199" s="99"/>
      <c r="Q1199" s="99"/>
      <c r="R1199" s="99"/>
      <c r="S1199" s="99"/>
      <c r="T1199" s="99"/>
      <c r="U1199" s="99"/>
      <c r="V1199" s="99"/>
      <c r="W1199" s="99"/>
      <c r="X1199" s="99"/>
      <c r="Y1199" s="99"/>
      <c r="Z1199" s="99"/>
    </row>
    <row r="1200">
      <c r="A1200" s="99"/>
      <c r="B1200" s="124"/>
      <c r="C1200" s="115"/>
      <c r="D1200" s="115"/>
      <c r="E1200" s="115"/>
      <c r="F1200" s="115"/>
      <c r="G1200" s="115"/>
      <c r="H1200" s="120"/>
      <c r="I1200" s="120"/>
      <c r="J1200" s="135"/>
      <c r="K1200" s="176"/>
      <c r="L1200" s="101"/>
      <c r="M1200" s="136"/>
      <c r="N1200" s="99"/>
      <c r="O1200" s="99"/>
      <c r="P1200" s="99"/>
      <c r="Q1200" s="99"/>
      <c r="R1200" s="99"/>
      <c r="S1200" s="99"/>
      <c r="T1200" s="99"/>
      <c r="U1200" s="99"/>
      <c r="V1200" s="99"/>
      <c r="W1200" s="99"/>
      <c r="X1200" s="99"/>
      <c r="Y1200" s="99"/>
      <c r="Z1200" s="99"/>
    </row>
    <row r="1201">
      <c r="A1201" s="99"/>
      <c r="B1201" s="125"/>
      <c r="C1201" s="107"/>
      <c r="D1201" s="107"/>
      <c r="E1201" s="107"/>
      <c r="F1201" s="107"/>
      <c r="G1201" s="107"/>
      <c r="H1201" s="123"/>
      <c r="I1201" s="123"/>
      <c r="J1201" s="137"/>
      <c r="K1201" s="175"/>
      <c r="L1201" s="104"/>
      <c r="M1201" s="138"/>
      <c r="N1201" s="99"/>
      <c r="O1201" s="99"/>
      <c r="P1201" s="99"/>
      <c r="Q1201" s="99"/>
      <c r="R1201" s="99"/>
      <c r="S1201" s="99"/>
      <c r="T1201" s="99"/>
      <c r="U1201" s="99"/>
      <c r="V1201" s="99"/>
      <c r="W1201" s="99"/>
      <c r="X1201" s="99"/>
      <c r="Y1201" s="99"/>
      <c r="Z1201" s="99"/>
    </row>
    <row r="1202">
      <c r="A1202" s="99"/>
      <c r="B1202" s="124"/>
      <c r="C1202" s="115"/>
      <c r="D1202" s="115"/>
      <c r="E1202" s="115"/>
      <c r="F1202" s="115"/>
      <c r="G1202" s="115"/>
      <c r="H1202" s="120"/>
      <c r="I1202" s="120"/>
      <c r="J1202" s="135"/>
      <c r="K1202" s="176"/>
      <c r="L1202" s="101"/>
      <c r="M1202" s="136"/>
      <c r="N1202" s="99"/>
      <c r="O1202" s="99"/>
      <c r="P1202" s="99"/>
      <c r="Q1202" s="99"/>
      <c r="R1202" s="99"/>
      <c r="S1202" s="99"/>
      <c r="T1202" s="99"/>
      <c r="U1202" s="99"/>
      <c r="V1202" s="99"/>
      <c r="W1202" s="99"/>
      <c r="X1202" s="99"/>
      <c r="Y1202" s="99"/>
      <c r="Z1202" s="99"/>
    </row>
    <row r="1203">
      <c r="A1203" s="99"/>
      <c r="B1203" s="125"/>
      <c r="C1203" s="107"/>
      <c r="D1203" s="107"/>
      <c r="E1203" s="107"/>
      <c r="F1203" s="107"/>
      <c r="G1203" s="107"/>
      <c r="H1203" s="123"/>
      <c r="I1203" s="123"/>
      <c r="J1203" s="137"/>
      <c r="K1203" s="175"/>
      <c r="L1203" s="104"/>
      <c r="M1203" s="138"/>
      <c r="N1203" s="99"/>
      <c r="O1203" s="99"/>
      <c r="P1203" s="99"/>
      <c r="Q1203" s="99"/>
      <c r="R1203" s="99"/>
      <c r="S1203" s="99"/>
      <c r="T1203" s="99"/>
      <c r="U1203" s="99"/>
      <c r="V1203" s="99"/>
      <c r="W1203" s="99"/>
      <c r="X1203" s="99"/>
      <c r="Y1203" s="99"/>
      <c r="Z1203" s="99"/>
    </row>
    <row r="1204">
      <c r="A1204" s="99"/>
      <c r="B1204" s="124"/>
      <c r="C1204" s="115"/>
      <c r="D1204" s="115"/>
      <c r="E1204" s="115"/>
      <c r="F1204" s="115"/>
      <c r="G1204" s="115"/>
      <c r="H1204" s="120"/>
      <c r="I1204" s="120"/>
      <c r="J1204" s="135"/>
      <c r="K1204" s="176"/>
      <c r="L1204" s="101"/>
      <c r="M1204" s="136"/>
      <c r="N1204" s="99"/>
      <c r="O1204" s="99"/>
      <c r="P1204" s="99"/>
      <c r="Q1204" s="99"/>
      <c r="R1204" s="99"/>
      <c r="S1204" s="99"/>
      <c r="T1204" s="99"/>
      <c r="U1204" s="99"/>
      <c r="V1204" s="99"/>
      <c r="W1204" s="99"/>
      <c r="X1204" s="99"/>
      <c r="Y1204" s="99"/>
      <c r="Z1204" s="99"/>
    </row>
    <row r="1205">
      <c r="A1205" s="99"/>
      <c r="B1205" s="125"/>
      <c r="C1205" s="107"/>
      <c r="D1205" s="107"/>
      <c r="E1205" s="107"/>
      <c r="F1205" s="107"/>
      <c r="G1205" s="107"/>
      <c r="H1205" s="123"/>
      <c r="I1205" s="123"/>
      <c r="J1205" s="137"/>
      <c r="K1205" s="175"/>
      <c r="L1205" s="104"/>
      <c r="M1205" s="138"/>
      <c r="N1205" s="99"/>
      <c r="O1205" s="99"/>
      <c r="P1205" s="99"/>
      <c r="Q1205" s="99"/>
      <c r="R1205" s="99"/>
      <c r="S1205" s="99"/>
      <c r="T1205" s="99"/>
      <c r="U1205" s="99"/>
      <c r="V1205" s="99"/>
      <c r="W1205" s="99"/>
      <c r="X1205" s="99"/>
      <c r="Y1205" s="99"/>
      <c r="Z1205" s="99"/>
    </row>
    <row r="1206">
      <c r="A1206" s="99"/>
      <c r="B1206" s="124"/>
      <c r="C1206" s="115"/>
      <c r="D1206" s="115"/>
      <c r="E1206" s="115"/>
      <c r="F1206" s="115"/>
      <c r="G1206" s="115"/>
      <c r="H1206" s="120"/>
      <c r="I1206" s="120"/>
      <c r="J1206" s="135"/>
      <c r="K1206" s="176"/>
      <c r="L1206" s="101"/>
      <c r="M1206" s="136"/>
      <c r="N1206" s="99"/>
      <c r="O1206" s="99"/>
      <c r="P1206" s="99"/>
      <c r="Q1206" s="99"/>
      <c r="R1206" s="99"/>
      <c r="S1206" s="99"/>
      <c r="T1206" s="99"/>
      <c r="U1206" s="99"/>
      <c r="V1206" s="99"/>
      <c r="W1206" s="99"/>
      <c r="X1206" s="99"/>
      <c r="Y1206" s="99"/>
      <c r="Z1206" s="99"/>
    </row>
    <row r="1207">
      <c r="A1207" s="99"/>
      <c r="B1207" s="125"/>
      <c r="C1207" s="107"/>
      <c r="D1207" s="107"/>
      <c r="E1207" s="107"/>
      <c r="F1207" s="107"/>
      <c r="G1207" s="107"/>
      <c r="H1207" s="123"/>
      <c r="I1207" s="123"/>
      <c r="J1207" s="137"/>
      <c r="K1207" s="175"/>
      <c r="L1207" s="104"/>
      <c r="M1207" s="138"/>
      <c r="N1207" s="99"/>
      <c r="O1207" s="99"/>
      <c r="P1207" s="99"/>
      <c r="Q1207" s="99"/>
      <c r="R1207" s="99"/>
      <c r="S1207" s="99"/>
      <c r="T1207" s="99"/>
      <c r="U1207" s="99"/>
      <c r="V1207" s="99"/>
      <c r="W1207" s="99"/>
      <c r="X1207" s="99"/>
      <c r="Y1207" s="99"/>
      <c r="Z1207" s="99"/>
    </row>
    <row r="1208">
      <c r="A1208" s="99"/>
      <c r="B1208" s="124"/>
      <c r="C1208" s="115"/>
      <c r="D1208" s="115"/>
      <c r="E1208" s="115"/>
      <c r="F1208" s="115"/>
      <c r="G1208" s="115"/>
      <c r="H1208" s="120"/>
      <c r="I1208" s="120"/>
      <c r="J1208" s="135"/>
      <c r="K1208" s="176"/>
      <c r="L1208" s="101"/>
      <c r="M1208" s="136"/>
      <c r="N1208" s="99"/>
      <c r="O1208" s="99"/>
      <c r="P1208" s="99"/>
      <c r="Q1208" s="99"/>
      <c r="R1208" s="99"/>
      <c r="S1208" s="99"/>
      <c r="T1208" s="99"/>
      <c r="U1208" s="99"/>
      <c r="V1208" s="99"/>
      <c r="W1208" s="99"/>
      <c r="X1208" s="99"/>
      <c r="Y1208" s="99"/>
      <c r="Z1208" s="99"/>
    </row>
    <row r="1209">
      <c r="A1209" s="99"/>
      <c r="B1209" s="125"/>
      <c r="C1209" s="107"/>
      <c r="D1209" s="107"/>
      <c r="E1209" s="107"/>
      <c r="F1209" s="107"/>
      <c r="G1209" s="107"/>
      <c r="H1209" s="123"/>
      <c r="I1209" s="123"/>
      <c r="J1209" s="137"/>
      <c r="K1209" s="175"/>
      <c r="L1209" s="104"/>
      <c r="M1209" s="138"/>
      <c r="N1209" s="99"/>
      <c r="O1209" s="99"/>
      <c r="P1209" s="99"/>
      <c r="Q1209" s="99"/>
      <c r="R1209" s="99"/>
      <c r="S1209" s="99"/>
      <c r="T1209" s="99"/>
      <c r="U1209" s="99"/>
      <c r="V1209" s="99"/>
      <c r="W1209" s="99"/>
      <c r="X1209" s="99"/>
      <c r="Y1209" s="99"/>
      <c r="Z1209" s="99"/>
    </row>
    <row r="1210">
      <c r="A1210" s="99"/>
      <c r="B1210" s="124"/>
      <c r="C1210" s="115"/>
      <c r="D1210" s="115"/>
      <c r="E1210" s="115"/>
      <c r="F1210" s="115"/>
      <c r="G1210" s="115"/>
      <c r="H1210" s="120"/>
      <c r="I1210" s="120"/>
      <c r="J1210" s="135"/>
      <c r="K1210" s="176"/>
      <c r="L1210" s="101"/>
      <c r="M1210" s="136"/>
      <c r="N1210" s="99"/>
      <c r="O1210" s="99"/>
      <c r="P1210" s="99"/>
      <c r="Q1210" s="99"/>
      <c r="R1210" s="99"/>
      <c r="S1210" s="99"/>
      <c r="T1210" s="99"/>
      <c r="U1210" s="99"/>
      <c r="V1210" s="99"/>
      <c r="W1210" s="99"/>
      <c r="X1210" s="99"/>
      <c r="Y1210" s="99"/>
      <c r="Z1210" s="99"/>
    </row>
    <row r="1211">
      <c r="A1211" s="99"/>
      <c r="B1211" s="125"/>
      <c r="C1211" s="107"/>
      <c r="D1211" s="107"/>
      <c r="E1211" s="107"/>
      <c r="F1211" s="107"/>
      <c r="G1211" s="107"/>
      <c r="H1211" s="123"/>
      <c r="I1211" s="123"/>
      <c r="J1211" s="137"/>
      <c r="K1211" s="175"/>
      <c r="L1211" s="104"/>
      <c r="M1211" s="138"/>
      <c r="N1211" s="99"/>
      <c r="O1211" s="99"/>
      <c r="P1211" s="99"/>
      <c r="Q1211" s="99"/>
      <c r="R1211" s="99"/>
      <c r="S1211" s="99"/>
      <c r="T1211" s="99"/>
      <c r="U1211" s="99"/>
      <c r="V1211" s="99"/>
      <c r="W1211" s="99"/>
      <c r="X1211" s="99"/>
      <c r="Y1211" s="99"/>
      <c r="Z1211" s="99"/>
    </row>
    <row r="1212">
      <c r="A1212" s="99"/>
      <c r="B1212" s="124"/>
      <c r="C1212" s="115"/>
      <c r="D1212" s="115"/>
      <c r="E1212" s="115"/>
      <c r="F1212" s="115"/>
      <c r="G1212" s="115"/>
      <c r="H1212" s="120"/>
      <c r="I1212" s="120"/>
      <c r="J1212" s="135"/>
      <c r="K1212" s="176"/>
      <c r="L1212" s="101"/>
      <c r="M1212" s="136"/>
      <c r="N1212" s="99"/>
      <c r="O1212" s="99"/>
      <c r="P1212" s="99"/>
      <c r="Q1212" s="99"/>
      <c r="R1212" s="99"/>
      <c r="S1212" s="99"/>
      <c r="T1212" s="99"/>
      <c r="U1212" s="99"/>
      <c r="V1212" s="99"/>
      <c r="W1212" s="99"/>
      <c r="X1212" s="99"/>
      <c r="Y1212" s="99"/>
      <c r="Z1212" s="99"/>
    </row>
    <row r="1213">
      <c r="A1213" s="99"/>
      <c r="B1213" s="125"/>
      <c r="C1213" s="107"/>
      <c r="D1213" s="107"/>
      <c r="E1213" s="107"/>
      <c r="F1213" s="107"/>
      <c r="G1213" s="107"/>
      <c r="H1213" s="123"/>
      <c r="I1213" s="123"/>
      <c r="J1213" s="137"/>
      <c r="K1213" s="175"/>
      <c r="L1213" s="104"/>
      <c r="M1213" s="138"/>
      <c r="N1213" s="99"/>
      <c r="O1213" s="99"/>
      <c r="P1213" s="99"/>
      <c r="Q1213" s="99"/>
      <c r="R1213" s="99"/>
      <c r="S1213" s="99"/>
      <c r="T1213" s="99"/>
      <c r="U1213" s="99"/>
      <c r="V1213" s="99"/>
      <c r="W1213" s="99"/>
      <c r="X1213" s="99"/>
      <c r="Y1213" s="99"/>
      <c r="Z1213" s="99"/>
    </row>
    <row r="1214">
      <c r="A1214" s="99"/>
      <c r="B1214" s="124"/>
      <c r="C1214" s="115"/>
      <c r="D1214" s="115"/>
      <c r="E1214" s="115"/>
      <c r="F1214" s="115"/>
      <c r="G1214" s="115"/>
      <c r="H1214" s="120"/>
      <c r="I1214" s="120"/>
      <c r="J1214" s="135"/>
      <c r="K1214" s="176"/>
      <c r="L1214" s="101"/>
      <c r="M1214" s="136"/>
      <c r="N1214" s="99"/>
      <c r="O1214" s="99"/>
      <c r="P1214" s="99"/>
      <c r="Q1214" s="99"/>
      <c r="R1214" s="99"/>
      <c r="S1214" s="99"/>
      <c r="T1214" s="99"/>
      <c r="U1214" s="99"/>
      <c r="V1214" s="99"/>
      <c r="W1214" s="99"/>
      <c r="X1214" s="99"/>
      <c r="Y1214" s="99"/>
      <c r="Z1214" s="99"/>
    </row>
    <row r="1215">
      <c r="A1215" s="99"/>
      <c r="B1215" s="125"/>
      <c r="C1215" s="107"/>
      <c r="D1215" s="107"/>
      <c r="E1215" s="107"/>
      <c r="F1215" s="107"/>
      <c r="G1215" s="107"/>
      <c r="H1215" s="123"/>
      <c r="I1215" s="123"/>
      <c r="J1215" s="137"/>
      <c r="K1215" s="175"/>
      <c r="L1215" s="104"/>
      <c r="M1215" s="138"/>
      <c r="N1215" s="99"/>
      <c r="O1215" s="99"/>
      <c r="P1215" s="99"/>
      <c r="Q1215" s="99"/>
      <c r="R1215" s="99"/>
      <c r="S1215" s="99"/>
      <c r="T1215" s="99"/>
      <c r="U1215" s="99"/>
      <c r="V1215" s="99"/>
      <c r="W1215" s="99"/>
      <c r="X1215" s="99"/>
      <c r="Y1215" s="99"/>
      <c r="Z1215" s="99"/>
    </row>
    <row r="1216">
      <c r="A1216" s="99"/>
      <c r="B1216" s="124"/>
      <c r="C1216" s="115"/>
      <c r="D1216" s="115"/>
      <c r="E1216" s="115"/>
      <c r="F1216" s="115"/>
      <c r="G1216" s="115"/>
      <c r="H1216" s="120"/>
      <c r="I1216" s="120"/>
      <c r="J1216" s="135"/>
      <c r="K1216" s="176"/>
      <c r="L1216" s="101"/>
      <c r="M1216" s="136"/>
      <c r="N1216" s="99"/>
      <c r="O1216" s="99"/>
      <c r="P1216" s="99"/>
      <c r="Q1216" s="99"/>
      <c r="R1216" s="99"/>
      <c r="S1216" s="99"/>
      <c r="T1216" s="99"/>
      <c r="U1216" s="99"/>
      <c r="V1216" s="99"/>
      <c r="W1216" s="99"/>
      <c r="X1216" s="99"/>
      <c r="Y1216" s="99"/>
      <c r="Z1216" s="99"/>
    </row>
    <row r="1217">
      <c r="A1217" s="99"/>
      <c r="B1217" s="125"/>
      <c r="C1217" s="107"/>
      <c r="D1217" s="107"/>
      <c r="E1217" s="107"/>
      <c r="F1217" s="107"/>
      <c r="G1217" s="107"/>
      <c r="H1217" s="123"/>
      <c r="I1217" s="123"/>
      <c r="J1217" s="137"/>
      <c r="K1217" s="175"/>
      <c r="L1217" s="104"/>
      <c r="M1217" s="138"/>
      <c r="N1217" s="99"/>
      <c r="O1217" s="99"/>
      <c r="P1217" s="99"/>
      <c r="Q1217" s="99"/>
      <c r="R1217" s="99"/>
      <c r="S1217" s="99"/>
      <c r="T1217" s="99"/>
      <c r="U1217" s="99"/>
      <c r="V1217" s="99"/>
      <c r="W1217" s="99"/>
      <c r="X1217" s="99"/>
      <c r="Y1217" s="99"/>
      <c r="Z1217" s="99"/>
    </row>
    <row r="1218">
      <c r="A1218" s="99"/>
      <c r="B1218" s="124"/>
      <c r="C1218" s="115"/>
      <c r="D1218" s="115"/>
      <c r="E1218" s="115"/>
      <c r="F1218" s="115"/>
      <c r="G1218" s="115"/>
      <c r="H1218" s="120"/>
      <c r="I1218" s="120"/>
      <c r="J1218" s="135"/>
      <c r="K1218" s="176"/>
      <c r="L1218" s="101"/>
      <c r="M1218" s="136"/>
      <c r="N1218" s="99"/>
      <c r="O1218" s="99"/>
      <c r="P1218" s="99"/>
      <c r="Q1218" s="99"/>
      <c r="R1218" s="99"/>
      <c r="S1218" s="99"/>
      <c r="T1218" s="99"/>
      <c r="U1218" s="99"/>
      <c r="V1218" s="99"/>
      <c r="W1218" s="99"/>
      <c r="X1218" s="99"/>
      <c r="Y1218" s="99"/>
      <c r="Z1218" s="99"/>
    </row>
    <row r="1219">
      <c r="A1219" s="99"/>
      <c r="B1219" s="125"/>
      <c r="C1219" s="107"/>
      <c r="D1219" s="107"/>
      <c r="E1219" s="107"/>
      <c r="F1219" s="107"/>
      <c r="G1219" s="107"/>
      <c r="H1219" s="123"/>
      <c r="I1219" s="123"/>
      <c r="J1219" s="137"/>
      <c r="K1219" s="175"/>
      <c r="L1219" s="104"/>
      <c r="M1219" s="138"/>
      <c r="N1219" s="99"/>
      <c r="O1219" s="99"/>
      <c r="P1219" s="99"/>
      <c r="Q1219" s="99"/>
      <c r="R1219" s="99"/>
      <c r="S1219" s="99"/>
      <c r="T1219" s="99"/>
      <c r="U1219" s="99"/>
      <c r="V1219" s="99"/>
      <c r="W1219" s="99"/>
      <c r="X1219" s="99"/>
      <c r="Y1219" s="99"/>
      <c r="Z1219" s="99"/>
    </row>
    <row r="1220">
      <c r="A1220" s="99"/>
      <c r="B1220" s="124"/>
      <c r="C1220" s="115"/>
      <c r="D1220" s="115"/>
      <c r="E1220" s="115"/>
      <c r="F1220" s="115"/>
      <c r="G1220" s="115"/>
      <c r="H1220" s="120"/>
      <c r="I1220" s="120"/>
      <c r="J1220" s="135"/>
      <c r="K1220" s="176"/>
      <c r="L1220" s="101"/>
      <c r="M1220" s="136"/>
      <c r="N1220" s="99"/>
      <c r="O1220" s="99"/>
      <c r="P1220" s="99"/>
      <c r="Q1220" s="99"/>
      <c r="R1220" s="99"/>
      <c r="S1220" s="99"/>
      <c r="T1220" s="99"/>
      <c r="U1220" s="99"/>
      <c r="V1220" s="99"/>
      <c r="W1220" s="99"/>
      <c r="X1220" s="99"/>
      <c r="Y1220" s="99"/>
      <c r="Z1220" s="99"/>
    </row>
    <row r="1221">
      <c r="A1221" s="99"/>
      <c r="B1221" s="125"/>
      <c r="C1221" s="107"/>
      <c r="D1221" s="107"/>
      <c r="E1221" s="107"/>
      <c r="F1221" s="107"/>
      <c r="G1221" s="107"/>
      <c r="H1221" s="123"/>
      <c r="I1221" s="123"/>
      <c r="J1221" s="137"/>
      <c r="K1221" s="175"/>
      <c r="L1221" s="104"/>
      <c r="M1221" s="138"/>
      <c r="N1221" s="99"/>
      <c r="O1221" s="99"/>
      <c r="P1221" s="99"/>
      <c r="Q1221" s="99"/>
      <c r="R1221" s="99"/>
      <c r="S1221" s="99"/>
      <c r="T1221" s="99"/>
      <c r="U1221" s="99"/>
      <c r="V1221" s="99"/>
      <c r="W1221" s="99"/>
      <c r="X1221" s="99"/>
      <c r="Y1221" s="99"/>
      <c r="Z1221" s="99"/>
    </row>
    <row r="1222">
      <c r="A1222" s="99"/>
      <c r="B1222" s="124"/>
      <c r="C1222" s="115"/>
      <c r="D1222" s="115"/>
      <c r="E1222" s="115"/>
      <c r="F1222" s="115"/>
      <c r="G1222" s="115"/>
      <c r="H1222" s="120"/>
      <c r="I1222" s="120"/>
      <c r="J1222" s="135"/>
      <c r="K1222" s="176"/>
      <c r="L1222" s="101"/>
      <c r="M1222" s="136"/>
      <c r="N1222" s="99"/>
      <c r="O1222" s="99"/>
      <c r="P1222" s="99"/>
      <c r="Q1222" s="99"/>
      <c r="R1222" s="99"/>
      <c r="S1222" s="99"/>
      <c r="T1222" s="99"/>
      <c r="U1222" s="99"/>
      <c r="V1222" s="99"/>
      <c r="W1222" s="99"/>
      <c r="X1222" s="99"/>
      <c r="Y1222" s="99"/>
      <c r="Z1222" s="99"/>
    </row>
    <row r="1223">
      <c r="A1223" s="99"/>
      <c r="B1223" s="125"/>
      <c r="C1223" s="107"/>
      <c r="D1223" s="107"/>
      <c r="E1223" s="107"/>
      <c r="F1223" s="107"/>
      <c r="G1223" s="107"/>
      <c r="H1223" s="123"/>
      <c r="I1223" s="123"/>
      <c r="J1223" s="137"/>
      <c r="K1223" s="175"/>
      <c r="L1223" s="104"/>
      <c r="M1223" s="138"/>
      <c r="N1223" s="99"/>
      <c r="O1223" s="99"/>
      <c r="P1223" s="99"/>
      <c r="Q1223" s="99"/>
      <c r="R1223" s="99"/>
      <c r="S1223" s="99"/>
      <c r="T1223" s="99"/>
      <c r="U1223" s="99"/>
      <c r="V1223" s="99"/>
      <c r="W1223" s="99"/>
      <c r="X1223" s="99"/>
      <c r="Y1223" s="99"/>
      <c r="Z1223" s="99"/>
    </row>
    <row r="1224">
      <c r="A1224" s="99"/>
      <c r="B1224" s="124"/>
      <c r="C1224" s="115"/>
      <c r="D1224" s="115"/>
      <c r="E1224" s="115"/>
      <c r="F1224" s="115"/>
      <c r="G1224" s="115"/>
      <c r="H1224" s="120"/>
      <c r="I1224" s="120"/>
      <c r="J1224" s="135"/>
      <c r="K1224" s="176"/>
      <c r="L1224" s="101"/>
      <c r="M1224" s="136"/>
      <c r="N1224" s="99"/>
      <c r="O1224" s="99"/>
      <c r="P1224" s="99"/>
      <c r="Q1224" s="99"/>
      <c r="R1224" s="99"/>
      <c r="S1224" s="99"/>
      <c r="T1224" s="99"/>
      <c r="U1224" s="99"/>
      <c r="V1224" s="99"/>
      <c r="W1224" s="99"/>
      <c r="X1224" s="99"/>
      <c r="Y1224" s="99"/>
      <c r="Z1224" s="99"/>
    </row>
    <row r="1225">
      <c r="A1225" s="99"/>
      <c r="B1225" s="125"/>
      <c r="C1225" s="107"/>
      <c r="D1225" s="107"/>
      <c r="E1225" s="107"/>
      <c r="F1225" s="107"/>
      <c r="G1225" s="107"/>
      <c r="H1225" s="123"/>
      <c r="I1225" s="123"/>
      <c r="J1225" s="137"/>
      <c r="K1225" s="175"/>
      <c r="L1225" s="104"/>
      <c r="M1225" s="138"/>
      <c r="N1225" s="99"/>
      <c r="O1225" s="99"/>
      <c r="P1225" s="99"/>
      <c r="Q1225" s="99"/>
      <c r="R1225" s="99"/>
      <c r="S1225" s="99"/>
      <c r="T1225" s="99"/>
      <c r="U1225" s="99"/>
      <c r="V1225" s="99"/>
      <c r="W1225" s="99"/>
      <c r="X1225" s="99"/>
      <c r="Y1225" s="99"/>
      <c r="Z1225" s="99"/>
    </row>
    <row r="1226">
      <c r="A1226" s="99"/>
      <c r="B1226" s="124"/>
      <c r="C1226" s="115"/>
      <c r="D1226" s="115"/>
      <c r="E1226" s="115"/>
      <c r="F1226" s="115"/>
      <c r="G1226" s="115"/>
      <c r="H1226" s="120"/>
      <c r="I1226" s="120"/>
      <c r="J1226" s="135"/>
      <c r="K1226" s="176"/>
      <c r="L1226" s="101"/>
      <c r="M1226" s="136"/>
      <c r="N1226" s="99"/>
      <c r="O1226" s="99"/>
      <c r="P1226" s="99"/>
      <c r="Q1226" s="99"/>
      <c r="R1226" s="99"/>
      <c r="S1226" s="99"/>
      <c r="T1226" s="99"/>
      <c r="U1226" s="99"/>
      <c r="V1226" s="99"/>
      <c r="W1226" s="99"/>
      <c r="X1226" s="99"/>
      <c r="Y1226" s="99"/>
      <c r="Z1226" s="99"/>
    </row>
    <row r="1227">
      <c r="A1227" s="99"/>
      <c r="B1227" s="125"/>
      <c r="C1227" s="107"/>
      <c r="D1227" s="107"/>
      <c r="E1227" s="107"/>
      <c r="F1227" s="107"/>
      <c r="G1227" s="107"/>
      <c r="H1227" s="123"/>
      <c r="I1227" s="123"/>
      <c r="J1227" s="137"/>
      <c r="K1227" s="175"/>
      <c r="L1227" s="104"/>
      <c r="M1227" s="138"/>
      <c r="N1227" s="99"/>
      <c r="O1227" s="99"/>
      <c r="P1227" s="99"/>
      <c r="Q1227" s="99"/>
      <c r="R1227" s="99"/>
      <c r="S1227" s="99"/>
      <c r="T1227" s="99"/>
      <c r="U1227" s="99"/>
      <c r="V1227" s="99"/>
      <c r="W1227" s="99"/>
      <c r="X1227" s="99"/>
      <c r="Y1227" s="99"/>
      <c r="Z1227" s="99"/>
    </row>
    <row r="1228">
      <c r="A1228" s="99"/>
      <c r="B1228" s="124"/>
      <c r="C1228" s="115"/>
      <c r="D1228" s="115"/>
      <c r="E1228" s="115"/>
      <c r="F1228" s="115"/>
      <c r="G1228" s="115"/>
      <c r="H1228" s="120"/>
      <c r="I1228" s="120"/>
      <c r="J1228" s="135"/>
      <c r="K1228" s="176"/>
      <c r="L1228" s="101"/>
      <c r="M1228" s="136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</row>
    <row r="1229">
      <c r="A1229" s="99"/>
      <c r="B1229" s="125"/>
      <c r="C1229" s="107"/>
      <c r="D1229" s="107"/>
      <c r="E1229" s="107"/>
      <c r="F1229" s="107"/>
      <c r="G1229" s="107"/>
      <c r="H1229" s="123"/>
      <c r="I1229" s="123"/>
      <c r="J1229" s="137"/>
      <c r="K1229" s="175"/>
      <c r="L1229" s="104"/>
      <c r="M1229" s="138"/>
      <c r="N1229" s="99"/>
      <c r="O1229" s="99"/>
      <c r="P1229" s="99"/>
      <c r="Q1229" s="99"/>
      <c r="R1229" s="99"/>
      <c r="S1229" s="99"/>
      <c r="T1229" s="99"/>
      <c r="U1229" s="99"/>
      <c r="V1229" s="99"/>
      <c r="W1229" s="99"/>
      <c r="X1229" s="99"/>
      <c r="Y1229" s="99"/>
      <c r="Z1229" s="99"/>
    </row>
    <row r="1230">
      <c r="A1230" s="99"/>
      <c r="B1230" s="124"/>
      <c r="C1230" s="115"/>
      <c r="D1230" s="115"/>
      <c r="E1230" s="115"/>
      <c r="F1230" s="115"/>
      <c r="G1230" s="115"/>
      <c r="H1230" s="120"/>
      <c r="I1230" s="120"/>
      <c r="J1230" s="135"/>
      <c r="K1230" s="176"/>
      <c r="L1230" s="101"/>
      <c r="M1230" s="136"/>
      <c r="N1230" s="99"/>
      <c r="O1230" s="99"/>
      <c r="P1230" s="99"/>
      <c r="Q1230" s="99"/>
      <c r="R1230" s="99"/>
      <c r="S1230" s="99"/>
      <c r="T1230" s="99"/>
      <c r="U1230" s="99"/>
      <c r="V1230" s="99"/>
      <c r="W1230" s="99"/>
      <c r="X1230" s="99"/>
      <c r="Y1230" s="99"/>
      <c r="Z1230" s="99"/>
    </row>
    <row r="1231">
      <c r="A1231" s="99"/>
      <c r="B1231" s="125"/>
      <c r="C1231" s="107"/>
      <c r="D1231" s="107"/>
      <c r="E1231" s="107"/>
      <c r="F1231" s="107"/>
      <c r="G1231" s="107"/>
      <c r="H1231" s="123"/>
      <c r="I1231" s="123"/>
      <c r="J1231" s="137"/>
      <c r="K1231" s="175"/>
      <c r="L1231" s="104"/>
      <c r="M1231" s="138"/>
      <c r="N1231" s="99"/>
      <c r="O1231" s="99"/>
      <c r="P1231" s="99"/>
      <c r="Q1231" s="99"/>
      <c r="R1231" s="99"/>
      <c r="S1231" s="99"/>
      <c r="T1231" s="99"/>
      <c r="U1231" s="99"/>
      <c r="V1231" s="99"/>
      <c r="W1231" s="99"/>
      <c r="X1231" s="99"/>
      <c r="Y1231" s="99"/>
      <c r="Z1231" s="99"/>
    </row>
    <row r="1232">
      <c r="A1232" s="99"/>
      <c r="B1232" s="124"/>
      <c r="C1232" s="115"/>
      <c r="D1232" s="115"/>
      <c r="E1232" s="115"/>
      <c r="F1232" s="115"/>
      <c r="G1232" s="115"/>
      <c r="H1232" s="120"/>
      <c r="I1232" s="120"/>
      <c r="J1232" s="135"/>
      <c r="K1232" s="176"/>
      <c r="L1232" s="101"/>
      <c r="M1232" s="136"/>
      <c r="N1232" s="99"/>
      <c r="O1232" s="99"/>
      <c r="P1232" s="99"/>
      <c r="Q1232" s="99"/>
      <c r="R1232" s="99"/>
      <c r="S1232" s="99"/>
      <c r="T1232" s="99"/>
      <c r="U1232" s="99"/>
      <c r="V1232" s="99"/>
      <c r="W1232" s="99"/>
      <c r="X1232" s="99"/>
      <c r="Y1232" s="99"/>
      <c r="Z1232" s="99"/>
    </row>
    <row r="1233">
      <c r="A1233" s="99"/>
      <c r="B1233" s="125"/>
      <c r="C1233" s="107"/>
      <c r="D1233" s="107"/>
      <c r="E1233" s="107"/>
      <c r="F1233" s="107"/>
      <c r="G1233" s="107"/>
      <c r="H1233" s="123"/>
      <c r="I1233" s="123"/>
      <c r="J1233" s="137"/>
      <c r="K1233" s="175"/>
      <c r="L1233" s="104"/>
      <c r="M1233" s="138"/>
      <c r="N1233" s="99"/>
      <c r="O1233" s="99"/>
      <c r="P1233" s="99"/>
      <c r="Q1233" s="99"/>
      <c r="R1233" s="99"/>
      <c r="S1233" s="99"/>
      <c r="T1233" s="99"/>
      <c r="U1233" s="99"/>
      <c r="V1233" s="99"/>
      <c r="W1233" s="99"/>
      <c r="X1233" s="99"/>
      <c r="Y1233" s="99"/>
      <c r="Z1233" s="99"/>
    </row>
    <row r="1234">
      <c r="A1234" s="99"/>
      <c r="B1234" s="124"/>
      <c r="C1234" s="115"/>
      <c r="D1234" s="115"/>
      <c r="E1234" s="115"/>
      <c r="F1234" s="115"/>
      <c r="G1234" s="115"/>
      <c r="H1234" s="120"/>
      <c r="I1234" s="120"/>
      <c r="J1234" s="135"/>
      <c r="K1234" s="176"/>
      <c r="L1234" s="101"/>
      <c r="M1234" s="136"/>
      <c r="N1234" s="99"/>
      <c r="O1234" s="99"/>
      <c r="P1234" s="99"/>
      <c r="Q1234" s="99"/>
      <c r="R1234" s="99"/>
      <c r="S1234" s="99"/>
      <c r="T1234" s="99"/>
      <c r="U1234" s="99"/>
      <c r="V1234" s="99"/>
      <c r="W1234" s="99"/>
      <c r="X1234" s="99"/>
      <c r="Y1234" s="99"/>
      <c r="Z1234" s="99"/>
    </row>
    <row r="1235">
      <c r="A1235" s="99"/>
      <c r="B1235" s="125"/>
      <c r="C1235" s="107"/>
      <c r="D1235" s="107"/>
      <c r="E1235" s="107"/>
      <c r="F1235" s="107"/>
      <c r="G1235" s="107"/>
      <c r="H1235" s="123"/>
      <c r="I1235" s="123"/>
      <c r="J1235" s="137"/>
      <c r="K1235" s="175"/>
      <c r="L1235" s="104"/>
      <c r="M1235" s="138"/>
      <c r="N1235" s="99"/>
      <c r="O1235" s="99"/>
      <c r="P1235" s="99"/>
      <c r="Q1235" s="99"/>
      <c r="R1235" s="99"/>
      <c r="S1235" s="99"/>
      <c r="T1235" s="99"/>
      <c r="U1235" s="99"/>
      <c r="V1235" s="99"/>
      <c r="W1235" s="99"/>
      <c r="X1235" s="99"/>
      <c r="Y1235" s="99"/>
      <c r="Z1235" s="99"/>
    </row>
    <row r="1236">
      <c r="A1236" s="99"/>
      <c r="B1236" s="124"/>
      <c r="C1236" s="115"/>
      <c r="D1236" s="115"/>
      <c r="E1236" s="115"/>
      <c r="F1236" s="115"/>
      <c r="G1236" s="115"/>
      <c r="H1236" s="120"/>
      <c r="I1236" s="120"/>
      <c r="J1236" s="135"/>
      <c r="K1236" s="176"/>
      <c r="L1236" s="182"/>
      <c r="M1236" s="136"/>
      <c r="N1236" s="99"/>
      <c r="O1236" s="99"/>
      <c r="P1236" s="99"/>
      <c r="Q1236" s="99"/>
      <c r="R1236" s="99"/>
      <c r="S1236" s="99"/>
      <c r="T1236" s="99"/>
      <c r="U1236" s="99"/>
      <c r="V1236" s="99"/>
      <c r="W1236" s="99"/>
      <c r="X1236" s="99"/>
      <c r="Y1236" s="99"/>
      <c r="Z1236" s="99"/>
    </row>
  </sheetData>
  <autoFilter ref="$A$1:$M$944">
    <sortState ref="A1:M944">
      <sortCondition ref="B1:B944"/>
    </sortState>
  </autoFilter>
  <dataValidations>
    <dataValidation type="list" allowBlank="1" sqref="C833:C837 C848:C851 C854:C866 C868:C877 C881:C895 C897:C965">
      <formula1>RESPONSABLE[Responsable]</formula1>
    </dataValidation>
    <dataValidation type="list" allowBlank="1" sqref="D2:D1236">
      <formula1>BBDD!$A$2:$A$1124</formula1>
    </dataValidation>
    <dataValidation type="list" allowBlank="1" sqref="F2:F1236">
      <formula1>BBDD!$E$2:$E$1124</formula1>
    </dataValidation>
    <dataValidation type="list" allowBlank="1" sqref="E2:E1236">
      <formula1>BBDD!$C$2:$C$1124</formula1>
    </dataValidation>
    <dataValidation type="list" allowBlank="1" sqref="G2:G1236">
      <formula1>PROCESO[Proceso]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183" t="s">
        <v>473</v>
      </c>
      <c r="B1" s="184"/>
      <c r="C1" s="185"/>
    </row>
    <row r="2">
      <c r="A2" s="183" t="s">
        <v>474</v>
      </c>
      <c r="B2" s="186" t="s">
        <v>475</v>
      </c>
      <c r="C2" s="183" t="s">
        <v>476</v>
      </c>
    </row>
    <row r="3">
      <c r="B3" s="187"/>
    </row>
    <row r="4">
      <c r="B4" s="187"/>
    </row>
    <row r="5">
      <c r="B5" s="187"/>
    </row>
    <row r="6">
      <c r="B6" s="187"/>
    </row>
    <row r="7">
      <c r="B7" s="187"/>
    </row>
    <row r="8">
      <c r="B8" s="187"/>
    </row>
    <row r="9">
      <c r="B9" s="187"/>
    </row>
    <row r="10">
      <c r="B10" s="187"/>
    </row>
    <row r="11">
      <c r="B11" s="187"/>
    </row>
    <row r="12">
      <c r="B12" s="187"/>
    </row>
    <row r="13">
      <c r="B13" s="187"/>
    </row>
    <row r="14">
      <c r="B14" s="187"/>
    </row>
    <row r="15">
      <c r="B15" s="187"/>
    </row>
    <row r="16">
      <c r="B16" s="187"/>
    </row>
    <row r="17">
      <c r="B17" s="187"/>
    </row>
    <row r="18">
      <c r="B18" s="187"/>
    </row>
    <row r="19">
      <c r="B19" s="187"/>
    </row>
    <row r="20">
      <c r="B20" s="187"/>
    </row>
    <row r="21">
      <c r="B21" s="187"/>
    </row>
    <row r="22">
      <c r="B22" s="187"/>
    </row>
    <row r="23">
      <c r="B23" s="187"/>
    </row>
    <row r="24">
      <c r="B24" s="187"/>
    </row>
    <row r="25">
      <c r="B25" s="187"/>
    </row>
    <row r="26">
      <c r="B26" s="187"/>
    </row>
    <row r="27">
      <c r="B27" s="187"/>
    </row>
    <row r="28">
      <c r="B28" s="187"/>
    </row>
    <row r="29">
      <c r="B29" s="187"/>
    </row>
    <row r="30">
      <c r="B30" s="187"/>
    </row>
    <row r="31">
      <c r="B31" s="187"/>
    </row>
    <row r="32">
      <c r="B32" s="187"/>
    </row>
    <row r="33">
      <c r="B33" s="187"/>
    </row>
    <row r="34">
      <c r="B34" s="187"/>
    </row>
    <row r="35">
      <c r="B35" s="187"/>
    </row>
    <row r="36">
      <c r="B36" s="187"/>
    </row>
    <row r="37">
      <c r="B37" s="187"/>
    </row>
    <row r="38">
      <c r="B38" s="187"/>
    </row>
    <row r="39">
      <c r="B39" s="187"/>
    </row>
    <row r="40">
      <c r="B40" s="187"/>
    </row>
    <row r="41">
      <c r="B41" s="187"/>
    </row>
    <row r="42">
      <c r="B42" s="187"/>
    </row>
    <row r="43">
      <c r="B43" s="187"/>
    </row>
    <row r="44">
      <c r="B44" s="187"/>
    </row>
    <row r="45">
      <c r="B45" s="187"/>
    </row>
    <row r="46">
      <c r="B46" s="187"/>
    </row>
    <row r="47">
      <c r="B47" s="187"/>
    </row>
    <row r="48">
      <c r="B48" s="187"/>
    </row>
    <row r="49">
      <c r="B49" s="187"/>
    </row>
    <row r="50">
      <c r="B50" s="187"/>
    </row>
    <row r="51">
      <c r="B51" s="187"/>
    </row>
    <row r="52">
      <c r="B52" s="187"/>
    </row>
    <row r="53">
      <c r="B53" s="187"/>
    </row>
    <row r="54">
      <c r="B54" s="187"/>
    </row>
    <row r="55">
      <c r="B55" s="187"/>
    </row>
    <row r="56">
      <c r="B56" s="187"/>
    </row>
    <row r="57">
      <c r="B57" s="187"/>
    </row>
    <row r="58">
      <c r="B58" s="187"/>
    </row>
    <row r="59">
      <c r="B59" s="187"/>
    </row>
    <row r="60">
      <c r="B60" s="187"/>
    </row>
    <row r="61">
      <c r="B61" s="187"/>
    </row>
    <row r="62">
      <c r="B62" s="187"/>
    </row>
    <row r="63">
      <c r="B63" s="187"/>
    </row>
    <row r="64">
      <c r="B64" s="187"/>
    </row>
    <row r="65">
      <c r="B65" s="187"/>
    </row>
    <row r="66">
      <c r="B66" s="187"/>
    </row>
    <row r="67">
      <c r="B67" s="187"/>
    </row>
    <row r="68">
      <c r="B68" s="187"/>
    </row>
    <row r="69">
      <c r="B69" s="187"/>
    </row>
    <row r="70">
      <c r="B70" s="187"/>
    </row>
    <row r="71">
      <c r="B71" s="187"/>
    </row>
    <row r="72">
      <c r="B72" s="187"/>
    </row>
    <row r="73">
      <c r="B73" s="187"/>
    </row>
    <row r="74">
      <c r="B74" s="187"/>
    </row>
    <row r="75">
      <c r="B75" s="187"/>
    </row>
    <row r="76">
      <c r="B76" s="187"/>
    </row>
    <row r="77">
      <c r="B77" s="187"/>
    </row>
    <row r="78">
      <c r="B78" s="187"/>
    </row>
    <row r="79">
      <c r="B79" s="187"/>
    </row>
    <row r="80">
      <c r="B80" s="187"/>
    </row>
    <row r="81">
      <c r="B81" s="187"/>
    </row>
    <row r="82">
      <c r="B82" s="187"/>
    </row>
    <row r="83">
      <c r="B83" s="187"/>
    </row>
    <row r="84">
      <c r="B84" s="187"/>
    </row>
    <row r="85">
      <c r="B85" s="187"/>
    </row>
    <row r="86">
      <c r="B86" s="187"/>
    </row>
    <row r="87">
      <c r="B87" s="187"/>
    </row>
    <row r="88">
      <c r="B88" s="187"/>
    </row>
    <row r="89">
      <c r="B89" s="187"/>
    </row>
    <row r="90">
      <c r="B90" s="187"/>
    </row>
    <row r="91">
      <c r="B91" s="187"/>
    </row>
    <row r="92">
      <c r="B92" s="187"/>
    </row>
    <row r="93">
      <c r="B93" s="187"/>
    </row>
    <row r="94">
      <c r="B94" s="187"/>
    </row>
    <row r="95">
      <c r="B95" s="187"/>
    </row>
    <row r="96">
      <c r="B96" s="187"/>
    </row>
    <row r="97">
      <c r="B97" s="187"/>
    </row>
    <row r="98">
      <c r="B98" s="187"/>
    </row>
    <row r="99">
      <c r="B99" s="187"/>
    </row>
    <row r="100">
      <c r="B100" s="18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18.75"/>
    <col customWidth="1" min="3" max="3" width="9.75"/>
    <col customWidth="1" min="4" max="4" width="11.38"/>
    <col customWidth="1" min="5" max="5" width="12.75"/>
    <col customWidth="1" min="6" max="6" width="13.5"/>
    <col customWidth="1" min="7" max="7" width="9.0"/>
    <col customWidth="1" min="8" max="8" width="3.38"/>
    <col customWidth="1" min="9" max="10" width="6.63"/>
  </cols>
  <sheetData>
    <row r="1">
      <c r="A1" s="188" t="s">
        <v>477</v>
      </c>
    </row>
    <row r="3">
      <c r="A3" s="189" t="s">
        <v>478</v>
      </c>
    </row>
    <row r="4">
      <c r="A4" s="190" t="s">
        <v>479</v>
      </c>
      <c r="D4" s="191" t="s">
        <v>480</v>
      </c>
      <c r="E4" s="192" t="s">
        <v>481</v>
      </c>
      <c r="F4" s="191" t="s">
        <v>482</v>
      </c>
    </row>
    <row r="5">
      <c r="A5" s="190" t="s">
        <v>0</v>
      </c>
      <c r="B5" s="190" t="s">
        <v>76</v>
      </c>
      <c r="D5" s="193" t="str">
        <f>IFERROR(__xludf.DUMMYFUNCTION("IFERROR(MIN(FILTER('👷 HORAS'!$A:$A,'👷 HORAS'!$C:$C=$B$5)),"""")"),"")</f>
        <v/>
      </c>
      <c r="E5" s="193" t="str">
        <f>IFERROR(__xludf.DUMMYFUNCTION("IFERROR(MAX(FILTER('👷 HORAS'!$A:$A,'👷 HORAS'!$C:$C=$B$5)),"""")"),"")</f>
        <v/>
      </c>
      <c r="F5" s="194">
        <f>NETWORKDAYS(D5,E5)</f>
        <v>0</v>
      </c>
    </row>
    <row r="7">
      <c r="A7" s="189" t="s">
        <v>483</v>
      </c>
    </row>
    <row r="8">
      <c r="A8" s="195" t="s">
        <v>484</v>
      </c>
    </row>
    <row r="9">
      <c r="A9" s="196" t="s">
        <v>485</v>
      </c>
      <c r="B9" s="197">
        <f>IFERROR(__xludf.DUMMYFUNCTION("IFERROR(SUM(UNIQUE(FILTER('🗂️ Proyectos'!D:D, ('🗂️ Proyectos'!A:A=B5)*('🗂️ Proyectos'!B:B&lt;&gt;""Hair"")))),0)"),68.45)</f>
        <v>68.45</v>
      </c>
      <c r="C9" s="196" t="s">
        <v>486</v>
      </c>
      <c r="D9" s="198"/>
    </row>
    <row r="10">
      <c r="A10" s="196" t="s">
        <v>487</v>
      </c>
      <c r="B10" s="199">
        <f>IFERROR(__xludf.DUMMYFUNCTION("IFERROR(SUM(UNIQUE(FILTER('🗂️ Proyectos'!D:D, '🗂️ Proyectos'!A:A=B5, '🗂️ Proyectos'!B:B=""Hair""))), 0)"),0.0)</f>
        <v>0</v>
      </c>
      <c r="C10" s="196" t="s">
        <v>488</v>
      </c>
      <c r="D10" s="200"/>
      <c r="E10" s="190"/>
    </row>
    <row r="11">
      <c r="A11" s="196" t="s">
        <v>489</v>
      </c>
      <c r="B11" s="199" t="str">
        <f>SUMIF('👷 HORAS'!C:C,$B$5,'👷 HORAS'!H:H)+SUMIF('👷 HORAS'!C:C,$B$5,'👷 HORAS'!I:I)</f>
        <v>#N/A</v>
      </c>
      <c r="C11" s="196" t="s">
        <v>490</v>
      </c>
      <c r="D11" s="200">
        <f>SUMIF('🗂️ Proyectos'!A:A,B5,'🗂️ Proyectos'!H:H)</f>
        <v>199.128187</v>
      </c>
      <c r="E11" s="190" t="s">
        <v>491</v>
      </c>
    </row>
    <row r="12">
      <c r="A12" s="196" t="s">
        <v>492</v>
      </c>
      <c r="B12" s="201" t="str">
        <f>IFERROR(B11/B9,"")</f>
        <v/>
      </c>
      <c r="C12" s="196" t="s">
        <v>493</v>
      </c>
      <c r="D12" s="202">
        <f>IFERROR(D11/B9,"")</f>
        <v>2.909104266</v>
      </c>
      <c r="E12" s="196" t="s">
        <v>493</v>
      </c>
      <c r="F12" s="203"/>
      <c r="G12" s="203"/>
      <c r="H12" s="203"/>
      <c r="I12" s="203"/>
      <c r="J12" s="203"/>
    </row>
    <row r="13">
      <c r="A13" s="196" t="s">
        <v>494</v>
      </c>
      <c r="B13" s="204" t="str">
        <f>(D11-B11)</f>
        <v>#N/A</v>
      </c>
      <c r="C13" s="190" t="s">
        <v>495</v>
      </c>
      <c r="D13" s="205" t="str">
        <f>IF((B11/D11)&lt;=100%,CONCATENATE("Se realizó un ",TEXT(ABS(100%-(B11/D11)),"0.0%")," más rápido de lo proyectado"),CONCATENATE("Se realizó un ",TEXT(ABS((B11/D11)-100%),"0.0%")," más lento de lo proyectado"))</f>
        <v>#N/A</v>
      </c>
    </row>
    <row r="14">
      <c r="A14" s="196" t="s">
        <v>496</v>
      </c>
      <c r="B14" s="196">
        <f>IFERROR(__xludf.DUMMYFUNCTION("IFERROR(COUNTA(UNIQUE(FILTER('👷 HORAS'!$B:$B,('👷 HORAS'!$C:$C=$B$5)*('👷 HORAS'!$B:$B&lt;&gt;"""")))),""0"")"),1.0)</f>
        <v>1</v>
      </c>
      <c r="C14" s="206"/>
    </row>
    <row r="15">
      <c r="A15" s="190" t="s">
        <v>497</v>
      </c>
      <c r="B15" s="204">
        <f>IFERROR(__xludf.DUMMYFUNCTION("IFERROR(COUNTA(UNIQUE(FILTER(#REF!,('👷 HORAS'!$C:$C=$B$5)*(#REF!&lt;&gt;"""")))),""0"")"),1.0)</f>
        <v>1</v>
      </c>
    </row>
    <row r="17">
      <c r="A17" s="189" t="s">
        <v>498</v>
      </c>
      <c r="B17" s="206"/>
      <c r="C17" s="206"/>
      <c r="D17" s="206"/>
      <c r="E17" s="206"/>
      <c r="F17" s="206"/>
      <c r="G17" s="206"/>
      <c r="H17" s="206"/>
      <c r="I17" s="206"/>
      <c r="J17" s="206"/>
    </row>
    <row r="18">
      <c r="A18" s="195" t="s">
        <v>484</v>
      </c>
      <c r="K18" s="207"/>
      <c r="S18" s="208"/>
    </row>
    <row r="19">
      <c r="A19" s="196"/>
      <c r="B19" s="191" t="s">
        <v>4</v>
      </c>
      <c r="C19" s="191" t="s">
        <v>499</v>
      </c>
      <c r="D19" s="191" t="s">
        <v>500</v>
      </c>
      <c r="E19" s="197" t="s">
        <v>501</v>
      </c>
      <c r="F19" s="209"/>
      <c r="G19" s="209" t="s">
        <v>502</v>
      </c>
      <c r="H19" s="210"/>
      <c r="I19" s="210"/>
      <c r="J19" s="210"/>
    </row>
    <row r="20">
      <c r="A20" s="196" t="str">
        <f>A65</f>
        <v>No hay lámparas para este proyecto</v>
      </c>
      <c r="B20" s="191" t="s">
        <v>13</v>
      </c>
      <c r="C20" s="211" t="str">
        <f t="shared" ref="C20:C22" si="1">SUMIFS('👷 HORAS'!H:H,'👷 HORAS'!C:C,$B$5,'👷 HORAS'!D:D,$A$20,'👷 HORAS'!E:E,$B20)</f>
        <v>#N/A</v>
      </c>
      <c r="D20" s="211" t="str">
        <f t="shared" ref="D20:D22" si="2">SUMIFS('👷 HORAS'!I:I,'👷 HORAS'!C:C,$B$5,'👷 HORAS'!D:D,$A$20,'👷 HORAS'!E:E,$B20)</f>
        <v>#N/A</v>
      </c>
      <c r="E20" s="199" t="str">
        <f t="shared" ref="E20:E23" si="3">C20+D20</f>
        <v>#N/A</v>
      </c>
      <c r="F20" s="209" t="s">
        <v>490</v>
      </c>
      <c r="G20" s="212">
        <f>SUMIFS('🗂️ Proyectos'!$H:$H,'🗂️ Proyectos'!$A:$A,$B$5,'🗂️ Proyectos'!$B:$B,$A$20,'🗂️ Proyectos'!$F:$F,$B20)</f>
        <v>0</v>
      </c>
      <c r="H20" s="209" t="s">
        <v>490</v>
      </c>
      <c r="I20" s="209"/>
    </row>
    <row r="21">
      <c r="A21" s="196"/>
      <c r="B21" s="210" t="s">
        <v>20</v>
      </c>
      <c r="C21" s="211" t="str">
        <f t="shared" si="1"/>
        <v>#N/A</v>
      </c>
      <c r="D21" s="211" t="str">
        <f t="shared" si="2"/>
        <v>#N/A</v>
      </c>
      <c r="E21" s="199" t="str">
        <f t="shared" si="3"/>
        <v>#N/A</v>
      </c>
      <c r="F21" s="209" t="s">
        <v>490</v>
      </c>
      <c r="G21" s="212">
        <f>SUMIFS('🗂️ Proyectos'!$H:$H,'🗂️ Proyectos'!$A:$A,$B$5,'🗂️ Proyectos'!$B:$B,$A$20,'🗂️ Proyectos'!$F:$F,$B21)</f>
        <v>0</v>
      </c>
      <c r="H21" s="209" t="s">
        <v>490</v>
      </c>
      <c r="I21" s="209"/>
    </row>
    <row r="22">
      <c r="A22" s="196"/>
      <c r="B22" s="213" t="s">
        <v>24</v>
      </c>
      <c r="C22" s="211" t="str">
        <f t="shared" si="1"/>
        <v>#N/A</v>
      </c>
      <c r="D22" s="211" t="str">
        <f t="shared" si="2"/>
        <v>#N/A</v>
      </c>
      <c r="E22" s="199" t="str">
        <f t="shared" si="3"/>
        <v>#N/A</v>
      </c>
      <c r="F22" s="209" t="s">
        <v>490</v>
      </c>
      <c r="G22" s="212">
        <f>SUMIFS('🗂️ Proyectos'!$H:$H,'🗂️ Proyectos'!$A:$A,$B$5,'🗂️ Proyectos'!$B:$B,$A$20,'🗂️ Proyectos'!$F:$F,$B22)</f>
        <v>0</v>
      </c>
      <c r="H22" s="209" t="s">
        <v>490</v>
      </c>
      <c r="I22" s="209"/>
    </row>
    <row r="23">
      <c r="A23" s="196"/>
      <c r="B23" s="214" t="s">
        <v>503</v>
      </c>
      <c r="C23" s="215" t="str">
        <f t="shared" ref="C23:D23" si="4">SUM(C20:C22)</f>
        <v>#N/A</v>
      </c>
      <c r="D23" s="215" t="str">
        <f t="shared" si="4"/>
        <v>#N/A</v>
      </c>
      <c r="E23" s="216" t="str">
        <f t="shared" si="3"/>
        <v>#N/A</v>
      </c>
      <c r="F23" s="217" t="s">
        <v>490</v>
      </c>
      <c r="G23" s="218">
        <f>SUM(G20:G22)</f>
        <v>0</v>
      </c>
      <c r="H23" s="217" t="s">
        <v>490</v>
      </c>
      <c r="I23" s="217"/>
    </row>
    <row r="24" ht="7.5" customHeight="1">
      <c r="A24" s="196"/>
      <c r="B24" s="191"/>
      <c r="C24" s="191"/>
      <c r="D24" s="191"/>
      <c r="E24" s="197"/>
      <c r="F24" s="209"/>
      <c r="G24" s="212"/>
      <c r="H24" s="210"/>
      <c r="I24" s="210"/>
    </row>
    <row r="25">
      <c r="A25" s="196"/>
      <c r="B25" s="191" t="s">
        <v>4</v>
      </c>
      <c r="C25" s="191" t="s">
        <v>499</v>
      </c>
      <c r="D25" s="191" t="s">
        <v>500</v>
      </c>
      <c r="E25" s="197" t="s">
        <v>501</v>
      </c>
      <c r="F25" s="209"/>
      <c r="G25" s="212" t="s">
        <v>502</v>
      </c>
      <c r="H25" s="210"/>
      <c r="I25" s="210"/>
    </row>
    <row r="26">
      <c r="A26" s="196" t="str">
        <f>A66</f>
        <v/>
      </c>
      <c r="B26" s="191" t="s">
        <v>13</v>
      </c>
      <c r="C26" s="211" t="str">
        <f t="shared" ref="C26:C28" si="5">SUMIFS('👷 HORAS'!H:H,'👷 HORAS'!C:C,$B$5,'👷 HORAS'!D:D,$A$26,'👷 HORAS'!E:E,$B26)</f>
        <v>#N/A</v>
      </c>
      <c r="D26" s="211" t="str">
        <f t="shared" ref="D26:D28" si="6">SUMIFS('👷 HORAS'!I:I,'👷 HORAS'!C:C,$B$5,'👷 HORAS'!D:D,$A$26,'👷 HORAS'!E:E,$B26)</f>
        <v>#N/A</v>
      </c>
      <c r="E26" s="199" t="str">
        <f t="shared" ref="E26:E29" si="7">C26+D26</f>
        <v>#N/A</v>
      </c>
      <c r="F26" s="209" t="s">
        <v>490</v>
      </c>
      <c r="G26" s="212">
        <f>SUMIFS('🗂️ Proyectos'!$H:$H,'🗂️ Proyectos'!$A:$A,$B$5,'🗂️ Proyectos'!$B:$B,$A$26,'🗂️ Proyectos'!$F:$F,$B26)</f>
        <v>0</v>
      </c>
      <c r="H26" s="209" t="s">
        <v>490</v>
      </c>
      <c r="I26" s="209"/>
    </row>
    <row r="27">
      <c r="A27" s="196"/>
      <c r="B27" s="210" t="s">
        <v>20</v>
      </c>
      <c r="C27" s="211" t="str">
        <f t="shared" si="5"/>
        <v>#N/A</v>
      </c>
      <c r="D27" s="211" t="str">
        <f t="shared" si="6"/>
        <v>#N/A</v>
      </c>
      <c r="E27" s="199" t="str">
        <f t="shared" si="7"/>
        <v>#N/A</v>
      </c>
      <c r="F27" s="209" t="s">
        <v>490</v>
      </c>
      <c r="G27" s="212">
        <f>SUMIFS('🗂️ Proyectos'!$H:$H,'🗂️ Proyectos'!$A:$A,$B$5,'🗂️ Proyectos'!$B:$B,$A$26,'🗂️ Proyectos'!$F:$F,$B27)</f>
        <v>0</v>
      </c>
      <c r="H27" s="209" t="s">
        <v>490</v>
      </c>
      <c r="I27" s="209"/>
    </row>
    <row r="28">
      <c r="A28" s="196"/>
      <c r="B28" s="191" t="s">
        <v>24</v>
      </c>
      <c r="C28" s="211" t="str">
        <f t="shared" si="5"/>
        <v>#N/A</v>
      </c>
      <c r="D28" s="211" t="str">
        <f t="shared" si="6"/>
        <v>#N/A</v>
      </c>
      <c r="E28" s="199" t="str">
        <f t="shared" si="7"/>
        <v>#N/A</v>
      </c>
      <c r="F28" s="209" t="s">
        <v>490</v>
      </c>
      <c r="G28" s="212">
        <f>SUMIFS('🗂️ Proyectos'!$H:$H,'🗂️ Proyectos'!$A:$A,$B$5,'🗂️ Proyectos'!$B:$B,$A$26,'🗂️ Proyectos'!$F:$F,$B28)</f>
        <v>0</v>
      </c>
      <c r="H28" s="209" t="s">
        <v>490</v>
      </c>
      <c r="I28" s="209"/>
    </row>
    <row r="29">
      <c r="A29" s="219"/>
      <c r="B29" s="214" t="s">
        <v>503</v>
      </c>
      <c r="C29" s="220" t="str">
        <f t="shared" ref="C29:D29" si="8">SUM(C26:C28)</f>
        <v>#N/A</v>
      </c>
      <c r="D29" s="220" t="str">
        <f t="shared" si="8"/>
        <v>#N/A</v>
      </c>
      <c r="E29" s="216" t="str">
        <f t="shared" si="7"/>
        <v>#N/A</v>
      </c>
      <c r="F29" s="217" t="s">
        <v>490</v>
      </c>
      <c r="G29" s="218">
        <f>SUM(G26:G28)</f>
        <v>0</v>
      </c>
      <c r="H29" s="217" t="s">
        <v>490</v>
      </c>
      <c r="I29" s="217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</row>
    <row r="30" ht="7.5" customHeight="1">
      <c r="A30" s="196"/>
      <c r="B30" s="191"/>
      <c r="C30" s="191"/>
      <c r="D30" s="191"/>
      <c r="E30" s="197"/>
      <c r="F30" s="209"/>
      <c r="G30" s="209"/>
      <c r="H30" s="210"/>
    </row>
    <row r="31" hidden="1">
      <c r="A31" s="196"/>
      <c r="B31" s="191" t="s">
        <v>4</v>
      </c>
      <c r="C31" s="191" t="s">
        <v>499</v>
      </c>
      <c r="D31" s="191" t="s">
        <v>500</v>
      </c>
      <c r="E31" s="197" t="s">
        <v>501</v>
      </c>
      <c r="F31" s="209"/>
      <c r="G31" s="209" t="s">
        <v>502</v>
      </c>
      <c r="H31" s="210"/>
    </row>
    <row r="32" hidden="1">
      <c r="A32" s="196" t="str">
        <f>A67</f>
        <v/>
      </c>
      <c r="B32" s="191" t="s">
        <v>13</v>
      </c>
      <c r="C32" s="211" t="str">
        <f t="shared" ref="C32:C34" si="9">SUMIFS('👷 HORAS'!H:H,'👷 HORAS'!C:C,$B$5,'👷 HORAS'!D:D,$A$20,'👷 HORAS'!E:E,$B32)</f>
        <v>#N/A</v>
      </c>
      <c r="D32" s="211" t="str">
        <f t="shared" ref="D32:D34" si="10">SUMIFS('👷 HORAS'!I:I,'👷 HORAS'!C:C,$B$5,'👷 HORAS'!D:D,$A$20,'👷 HORAS'!E:E,$B32)</f>
        <v>#N/A</v>
      </c>
      <c r="E32" s="199" t="str">
        <f t="shared" ref="E32:E35" si="11">C32+D32</f>
        <v>#N/A</v>
      </c>
      <c r="F32" s="209" t="s">
        <v>490</v>
      </c>
      <c r="G32" s="209">
        <f>SUMIFS('🗂️ Proyectos'!$H:$H,'🗂️ Proyectos'!$A:$A,$B$5,'🗂️ Proyectos'!$B:$B,$A$20,'🗂️ Proyectos'!$F:$F,$B32)</f>
        <v>0</v>
      </c>
      <c r="H32" s="209" t="s">
        <v>490</v>
      </c>
    </row>
    <row r="33" hidden="1">
      <c r="A33" s="196"/>
      <c r="B33" s="210" t="s">
        <v>20</v>
      </c>
      <c r="C33" s="211" t="str">
        <f t="shared" si="9"/>
        <v>#N/A</v>
      </c>
      <c r="D33" s="211" t="str">
        <f t="shared" si="10"/>
        <v>#N/A</v>
      </c>
      <c r="E33" s="199" t="str">
        <f t="shared" si="11"/>
        <v>#N/A</v>
      </c>
      <c r="F33" s="209" t="s">
        <v>490</v>
      </c>
      <c r="G33" s="209">
        <f>SUMIFS('🗂️ Proyectos'!$H:$H,'🗂️ Proyectos'!$A:$A,$B$5,'🗂️ Proyectos'!$B:$B,$A$20,'🗂️ Proyectos'!$F:$F,$B33)</f>
        <v>0</v>
      </c>
      <c r="H33" s="209" t="s">
        <v>490</v>
      </c>
    </row>
    <row r="34" hidden="1">
      <c r="A34" s="196"/>
      <c r="B34" s="213" t="s">
        <v>24</v>
      </c>
      <c r="C34" s="211" t="str">
        <f t="shared" si="9"/>
        <v>#N/A</v>
      </c>
      <c r="D34" s="211" t="str">
        <f t="shared" si="10"/>
        <v>#N/A</v>
      </c>
      <c r="E34" s="199" t="str">
        <f t="shared" si="11"/>
        <v>#N/A</v>
      </c>
      <c r="F34" s="209" t="s">
        <v>490</v>
      </c>
      <c r="G34" s="209">
        <f>SUMIFS('🗂️ Proyectos'!$H:$H,'🗂️ Proyectos'!$A:$A,$B$5,'🗂️ Proyectos'!$B:$B,$A$20,'🗂️ Proyectos'!$F:$F,$B34)</f>
        <v>0</v>
      </c>
      <c r="H34" s="209" t="s">
        <v>490</v>
      </c>
    </row>
    <row r="35" hidden="1">
      <c r="A35" s="219"/>
      <c r="B35" s="214" t="s">
        <v>503</v>
      </c>
      <c r="C35" s="215" t="str">
        <f t="shared" ref="C35:D35" si="12">SUM(C32:C34)</f>
        <v>#N/A</v>
      </c>
      <c r="D35" s="215" t="str">
        <f t="shared" si="12"/>
        <v>#N/A</v>
      </c>
      <c r="E35" s="216" t="str">
        <f t="shared" si="11"/>
        <v>#N/A</v>
      </c>
      <c r="F35" s="217" t="s">
        <v>490</v>
      </c>
      <c r="G35" s="217">
        <f>SUM(G32:G34)</f>
        <v>0</v>
      </c>
      <c r="H35" s="217" t="s">
        <v>490</v>
      </c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</row>
    <row r="36" ht="7.5" hidden="1" customHeight="1">
      <c r="A36" s="196"/>
      <c r="B36" s="191"/>
      <c r="C36" s="191"/>
      <c r="D36" s="191"/>
      <c r="E36" s="209"/>
      <c r="F36" s="210"/>
      <c r="G36" s="210"/>
      <c r="H36" s="210"/>
    </row>
    <row r="37" hidden="1">
      <c r="A37" s="196"/>
      <c r="B37" s="191" t="s">
        <v>4</v>
      </c>
      <c r="C37" s="191" t="s">
        <v>499</v>
      </c>
      <c r="D37" s="191" t="s">
        <v>500</v>
      </c>
      <c r="E37" s="197" t="s">
        <v>501</v>
      </c>
      <c r="F37" s="209"/>
      <c r="G37" s="209" t="s">
        <v>502</v>
      </c>
      <c r="H37" s="209"/>
    </row>
    <row r="38" hidden="1">
      <c r="A38" s="196" t="str">
        <f>A68</f>
        <v/>
      </c>
      <c r="B38" s="191" t="s">
        <v>13</v>
      </c>
      <c r="C38" s="211" t="str">
        <f t="shared" ref="C38:C40" si="13">SUMIFS('👷 HORAS'!H:H,'👷 HORAS'!C:C,$B$5,'👷 HORAS'!D:D,$A$26,'👷 HORAS'!E:E,$B38)</f>
        <v>#N/A</v>
      </c>
      <c r="D38" s="211" t="str">
        <f t="shared" ref="D38:D40" si="14">SUMIFS('👷 HORAS'!I:I,'👷 HORAS'!C:C,$B$5,'👷 HORAS'!D:D,$A$26,'👷 HORAS'!E:E,$B38)</f>
        <v>#N/A</v>
      </c>
      <c r="E38" s="199" t="str">
        <f t="shared" ref="E38:E41" si="15">C38+D38</f>
        <v>#N/A</v>
      </c>
      <c r="F38" s="209" t="s">
        <v>490</v>
      </c>
      <c r="G38" s="209">
        <f>SUMIFS('🗂️ Proyectos'!$H:$H,'🗂️ Proyectos'!$A:$A,$B$5,'🗂️ Proyectos'!$B:$B,$A$26,'🗂️ Proyectos'!$F:$F,$B38)</f>
        <v>0</v>
      </c>
      <c r="H38" s="209" t="s">
        <v>490</v>
      </c>
    </row>
    <row r="39" hidden="1">
      <c r="A39" s="196"/>
      <c r="B39" s="210" t="s">
        <v>20</v>
      </c>
      <c r="C39" s="211" t="str">
        <f t="shared" si="13"/>
        <v>#N/A</v>
      </c>
      <c r="D39" s="211" t="str">
        <f t="shared" si="14"/>
        <v>#N/A</v>
      </c>
      <c r="E39" s="199" t="str">
        <f t="shared" si="15"/>
        <v>#N/A</v>
      </c>
      <c r="F39" s="209" t="s">
        <v>490</v>
      </c>
      <c r="G39" s="209">
        <f>SUMIFS('🗂️ Proyectos'!$H:$H,'🗂️ Proyectos'!$A:$A,$B$5,'🗂️ Proyectos'!$B:$B,$A$26,'🗂️ Proyectos'!$F:$F,$B39)</f>
        <v>0</v>
      </c>
      <c r="H39" s="209" t="s">
        <v>490</v>
      </c>
    </row>
    <row r="40" hidden="1">
      <c r="A40" s="196"/>
      <c r="B40" s="191" t="s">
        <v>24</v>
      </c>
      <c r="C40" s="211" t="str">
        <f t="shared" si="13"/>
        <v>#N/A</v>
      </c>
      <c r="D40" s="211" t="str">
        <f t="shared" si="14"/>
        <v>#N/A</v>
      </c>
      <c r="E40" s="199" t="str">
        <f t="shared" si="15"/>
        <v>#N/A</v>
      </c>
      <c r="F40" s="209" t="s">
        <v>490</v>
      </c>
      <c r="G40" s="209">
        <f>SUMIFS('🗂️ Proyectos'!$H:$H,'🗂️ Proyectos'!$A:$A,$B$5,'🗂️ Proyectos'!$B:$B,$A$26,'🗂️ Proyectos'!$F:$F,$B40)</f>
        <v>0</v>
      </c>
      <c r="H40" s="209" t="s">
        <v>490</v>
      </c>
    </row>
    <row r="41" hidden="1">
      <c r="A41" s="219"/>
      <c r="B41" s="214" t="s">
        <v>503</v>
      </c>
      <c r="C41" s="220" t="str">
        <f t="shared" ref="C41:D41" si="16">SUM(C38:C40)</f>
        <v>#N/A</v>
      </c>
      <c r="D41" s="220" t="str">
        <f t="shared" si="16"/>
        <v>#N/A</v>
      </c>
      <c r="E41" s="216" t="str">
        <f t="shared" si="15"/>
        <v>#N/A</v>
      </c>
      <c r="F41" s="217" t="s">
        <v>490</v>
      </c>
      <c r="G41" s="217">
        <f>SUM(G38:G40)</f>
        <v>0</v>
      </c>
      <c r="H41" s="217" t="s">
        <v>490</v>
      </c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</row>
    <row r="42" hidden="1">
      <c r="A42" s="189"/>
      <c r="B42" s="206"/>
      <c r="C42" s="206"/>
      <c r="D42" s="206"/>
      <c r="E42" s="206"/>
    </row>
    <row r="43" hidden="1">
      <c r="A43" s="196"/>
      <c r="B43" s="191" t="s">
        <v>4</v>
      </c>
      <c r="C43" s="191" t="s">
        <v>499</v>
      </c>
      <c r="D43" s="191" t="s">
        <v>500</v>
      </c>
      <c r="E43" s="197" t="s">
        <v>501</v>
      </c>
      <c r="F43" s="209"/>
      <c r="G43" s="209" t="s">
        <v>502</v>
      </c>
      <c r="H43" s="209"/>
    </row>
    <row r="44" hidden="1">
      <c r="A44" s="196" t="str">
        <f>A69</f>
        <v/>
      </c>
      <c r="B44" s="191" t="s">
        <v>13</v>
      </c>
      <c r="C44" s="211" t="str">
        <f t="shared" ref="C44:C46" si="17">SUMIFS('👷 HORAS'!H:H,'👷 HORAS'!C:C,$B$5,'👷 HORAS'!D:D,$A$26,'👷 HORAS'!E:E,$B44)</f>
        <v>#N/A</v>
      </c>
      <c r="D44" s="211" t="str">
        <f t="shared" ref="D44:D46" si="18">SUMIFS('👷 HORAS'!I:I,'👷 HORAS'!C:C,$B$5,'👷 HORAS'!D:D,$A$26,'👷 HORAS'!E:E,$B44)</f>
        <v>#N/A</v>
      </c>
      <c r="E44" s="199" t="str">
        <f t="shared" ref="E44:E47" si="19">C44+D44</f>
        <v>#N/A</v>
      </c>
      <c r="F44" s="209" t="s">
        <v>490</v>
      </c>
      <c r="G44" s="209">
        <f>SUMIFS('🗂️ Proyectos'!$H:$H,'🗂️ Proyectos'!$A:$A,$B$5,'🗂️ Proyectos'!$B:$B,$A$26,'🗂️ Proyectos'!$F:$F,$B44)</f>
        <v>0</v>
      </c>
      <c r="H44" s="209" t="s">
        <v>490</v>
      </c>
    </row>
    <row r="45" hidden="1">
      <c r="A45" s="196"/>
      <c r="B45" s="210" t="s">
        <v>20</v>
      </c>
      <c r="C45" s="211" t="str">
        <f t="shared" si="17"/>
        <v>#N/A</v>
      </c>
      <c r="D45" s="211" t="str">
        <f t="shared" si="18"/>
        <v>#N/A</v>
      </c>
      <c r="E45" s="199" t="str">
        <f t="shared" si="19"/>
        <v>#N/A</v>
      </c>
      <c r="F45" s="209" t="s">
        <v>490</v>
      </c>
      <c r="G45" s="209">
        <f>SUMIFS('🗂️ Proyectos'!$H:$H,'🗂️ Proyectos'!$A:$A,$B$5,'🗂️ Proyectos'!$B:$B,$A$26,'🗂️ Proyectos'!$F:$F,$B45)</f>
        <v>0</v>
      </c>
      <c r="H45" s="209" t="s">
        <v>490</v>
      </c>
    </row>
    <row r="46" hidden="1">
      <c r="A46" s="196"/>
      <c r="B46" s="191" t="s">
        <v>24</v>
      </c>
      <c r="C46" s="211" t="str">
        <f t="shared" si="17"/>
        <v>#N/A</v>
      </c>
      <c r="D46" s="211" t="str">
        <f t="shared" si="18"/>
        <v>#N/A</v>
      </c>
      <c r="E46" s="199" t="str">
        <f t="shared" si="19"/>
        <v>#N/A</v>
      </c>
      <c r="F46" s="209" t="s">
        <v>490</v>
      </c>
      <c r="G46" s="209">
        <f>SUMIFS('🗂️ Proyectos'!$H:$H,'🗂️ Proyectos'!$A:$A,$B$5,'🗂️ Proyectos'!$B:$B,$A$26,'🗂️ Proyectos'!$F:$F,$B46)</f>
        <v>0</v>
      </c>
      <c r="H46" s="209" t="s">
        <v>490</v>
      </c>
    </row>
    <row r="47" hidden="1">
      <c r="A47" s="219"/>
      <c r="B47" s="214" t="s">
        <v>503</v>
      </c>
      <c r="C47" s="220" t="str">
        <f t="shared" ref="C47:D47" si="20">SUM(C44:C46)</f>
        <v>#N/A</v>
      </c>
      <c r="D47" s="220" t="str">
        <f t="shared" si="20"/>
        <v>#N/A</v>
      </c>
      <c r="E47" s="216" t="str">
        <f t="shared" si="19"/>
        <v>#N/A</v>
      </c>
      <c r="F47" s="217" t="s">
        <v>490</v>
      </c>
      <c r="G47" s="217">
        <f>SUM(G44:G46)</f>
        <v>0</v>
      </c>
      <c r="H47" s="217" t="s">
        <v>490</v>
      </c>
    </row>
    <row r="48" hidden="1">
      <c r="A48" s="189"/>
      <c r="B48" s="206"/>
      <c r="C48" s="206"/>
      <c r="D48" s="206"/>
      <c r="E48" s="206"/>
    </row>
    <row r="49" hidden="1">
      <c r="A49" s="196"/>
      <c r="B49" s="191" t="s">
        <v>4</v>
      </c>
      <c r="C49" s="191" t="s">
        <v>499</v>
      </c>
      <c r="D49" s="191" t="s">
        <v>500</v>
      </c>
      <c r="E49" s="197" t="s">
        <v>501</v>
      </c>
      <c r="F49" s="209"/>
      <c r="G49" s="209" t="s">
        <v>502</v>
      </c>
      <c r="H49" s="209"/>
    </row>
    <row r="50" hidden="1">
      <c r="A50" s="196" t="str">
        <f>A70</f>
        <v/>
      </c>
      <c r="B50" s="191" t="s">
        <v>13</v>
      </c>
      <c r="C50" s="211" t="str">
        <f t="shared" ref="C50:C52" si="21">SUMIFS('👷 HORAS'!H:H,'👷 HORAS'!C:C,$B$5,'👷 HORAS'!D:D,$A$26,'👷 HORAS'!E:E,$B50)</f>
        <v>#N/A</v>
      </c>
      <c r="D50" s="211" t="str">
        <f t="shared" ref="D50:D52" si="22">SUMIFS('👷 HORAS'!I:I,'👷 HORAS'!C:C,$B$5,'👷 HORAS'!D:D,$A$26,'👷 HORAS'!E:E,$B50)</f>
        <v>#N/A</v>
      </c>
      <c r="E50" s="199" t="str">
        <f t="shared" ref="E50:E53" si="23">C50+D50</f>
        <v>#N/A</v>
      </c>
      <c r="F50" s="209" t="s">
        <v>490</v>
      </c>
      <c r="G50" s="209">
        <f>SUMIFS('🗂️ Proyectos'!$H:$H,'🗂️ Proyectos'!$A:$A,$B$5,'🗂️ Proyectos'!$B:$B,$A$26,'🗂️ Proyectos'!$F:$F,$B50)</f>
        <v>0</v>
      </c>
      <c r="H50" s="209" t="s">
        <v>490</v>
      </c>
    </row>
    <row r="51" hidden="1">
      <c r="A51" s="196"/>
      <c r="B51" s="210" t="s">
        <v>20</v>
      </c>
      <c r="C51" s="211" t="str">
        <f t="shared" si="21"/>
        <v>#N/A</v>
      </c>
      <c r="D51" s="211" t="str">
        <f t="shared" si="22"/>
        <v>#N/A</v>
      </c>
      <c r="E51" s="199" t="str">
        <f t="shared" si="23"/>
        <v>#N/A</v>
      </c>
      <c r="F51" s="209" t="s">
        <v>490</v>
      </c>
      <c r="G51" s="209">
        <f>SUMIFS('🗂️ Proyectos'!$H:$H,'🗂️ Proyectos'!$A:$A,$B$5,'🗂️ Proyectos'!$B:$B,$A$26,'🗂️ Proyectos'!$F:$F,$B51)</f>
        <v>0</v>
      </c>
      <c r="H51" s="209" t="s">
        <v>490</v>
      </c>
    </row>
    <row r="52" hidden="1">
      <c r="A52" s="196"/>
      <c r="B52" s="191" t="s">
        <v>24</v>
      </c>
      <c r="C52" s="211" t="str">
        <f t="shared" si="21"/>
        <v>#N/A</v>
      </c>
      <c r="D52" s="211" t="str">
        <f t="shared" si="22"/>
        <v>#N/A</v>
      </c>
      <c r="E52" s="199" t="str">
        <f t="shared" si="23"/>
        <v>#N/A</v>
      </c>
      <c r="F52" s="209" t="s">
        <v>490</v>
      </c>
      <c r="G52" s="209">
        <f>SUMIFS('🗂️ Proyectos'!$H:$H,'🗂️ Proyectos'!$A:$A,$B$5,'🗂️ Proyectos'!$B:$B,$A$26,'🗂️ Proyectos'!$F:$F,$B52)</f>
        <v>0</v>
      </c>
      <c r="H52" s="209" t="s">
        <v>490</v>
      </c>
    </row>
    <row r="53" hidden="1">
      <c r="A53" s="219"/>
      <c r="B53" s="214" t="s">
        <v>503</v>
      </c>
      <c r="C53" s="220" t="str">
        <f t="shared" ref="C53:D53" si="24">SUM(C50:C52)</f>
        <v>#N/A</v>
      </c>
      <c r="D53" s="220" t="str">
        <f t="shared" si="24"/>
        <v>#N/A</v>
      </c>
      <c r="E53" s="216" t="str">
        <f t="shared" si="23"/>
        <v>#N/A</v>
      </c>
      <c r="F53" s="217" t="s">
        <v>490</v>
      </c>
      <c r="G53" s="217">
        <f>SUM(G50:G52)</f>
        <v>0</v>
      </c>
      <c r="H53" s="217" t="s">
        <v>490</v>
      </c>
    </row>
    <row r="54" hidden="1">
      <c r="A54" s="189"/>
      <c r="B54" s="206"/>
      <c r="C54" s="206"/>
      <c r="D54" s="206"/>
      <c r="E54" s="206"/>
    </row>
    <row r="55" hidden="1">
      <c r="A55" s="196"/>
      <c r="B55" s="191" t="s">
        <v>4</v>
      </c>
      <c r="C55" s="191" t="s">
        <v>499</v>
      </c>
      <c r="D55" s="191" t="s">
        <v>500</v>
      </c>
      <c r="E55" s="197" t="s">
        <v>501</v>
      </c>
      <c r="F55" s="209"/>
      <c r="G55" s="209" t="s">
        <v>502</v>
      </c>
      <c r="H55" s="209"/>
    </row>
    <row r="56" hidden="1">
      <c r="A56" s="196" t="str">
        <f>A73</f>
        <v/>
      </c>
      <c r="B56" s="191" t="s">
        <v>13</v>
      </c>
      <c r="C56" s="211" t="str">
        <f t="shared" ref="C56:C58" si="25">SUMIFS('👷 HORAS'!H:H,'👷 HORAS'!C:C,$B$5,'👷 HORAS'!D:D,$A$26,'👷 HORAS'!E:E,$B56)</f>
        <v>#N/A</v>
      </c>
      <c r="D56" s="211" t="str">
        <f t="shared" ref="D56:D58" si="26">SUMIFS('👷 HORAS'!I:I,'👷 HORAS'!C:C,$B$5,'👷 HORAS'!D:D,$A$26,'👷 HORAS'!E:E,$B56)</f>
        <v>#N/A</v>
      </c>
      <c r="E56" s="199" t="str">
        <f t="shared" ref="E56:E59" si="27">C56+D56</f>
        <v>#N/A</v>
      </c>
      <c r="F56" s="209" t="s">
        <v>490</v>
      </c>
      <c r="G56" s="209">
        <f>SUMIFS('🗂️ Proyectos'!$H:$H,'🗂️ Proyectos'!$A:$A,$B$5,'🗂️ Proyectos'!$B:$B,$A$26,'🗂️ Proyectos'!$F:$F,$B56)</f>
        <v>0</v>
      </c>
      <c r="H56" s="209" t="s">
        <v>490</v>
      </c>
    </row>
    <row r="57" hidden="1">
      <c r="A57" s="196"/>
      <c r="B57" s="210" t="s">
        <v>20</v>
      </c>
      <c r="C57" s="211" t="str">
        <f t="shared" si="25"/>
        <v>#N/A</v>
      </c>
      <c r="D57" s="211" t="str">
        <f t="shared" si="26"/>
        <v>#N/A</v>
      </c>
      <c r="E57" s="199" t="str">
        <f t="shared" si="27"/>
        <v>#N/A</v>
      </c>
      <c r="F57" s="209" t="s">
        <v>490</v>
      </c>
      <c r="G57" s="209">
        <f>SUMIFS('🗂️ Proyectos'!$H:$H,'🗂️ Proyectos'!$A:$A,$B$5,'🗂️ Proyectos'!$B:$B,$A$26,'🗂️ Proyectos'!$F:$F,$B57)</f>
        <v>0</v>
      </c>
      <c r="H57" s="209" t="s">
        <v>490</v>
      </c>
    </row>
    <row r="58" hidden="1">
      <c r="A58" s="196"/>
      <c r="B58" s="191" t="s">
        <v>24</v>
      </c>
      <c r="C58" s="211" t="str">
        <f t="shared" si="25"/>
        <v>#N/A</v>
      </c>
      <c r="D58" s="211" t="str">
        <f t="shared" si="26"/>
        <v>#N/A</v>
      </c>
      <c r="E58" s="199" t="str">
        <f t="shared" si="27"/>
        <v>#N/A</v>
      </c>
      <c r="F58" s="209" t="s">
        <v>490</v>
      </c>
      <c r="G58" s="209">
        <f>SUMIFS('🗂️ Proyectos'!$H:$H,'🗂️ Proyectos'!$A:$A,$B$5,'🗂️ Proyectos'!$B:$B,$A$26,'🗂️ Proyectos'!$F:$F,$B58)</f>
        <v>0</v>
      </c>
      <c r="H58" s="209" t="s">
        <v>490</v>
      </c>
    </row>
    <row r="59" hidden="1">
      <c r="A59" s="219"/>
      <c r="B59" s="214" t="s">
        <v>503</v>
      </c>
      <c r="C59" s="220" t="str">
        <f t="shared" ref="C59:D59" si="28">SUM(C56:C58)</f>
        <v>#N/A</v>
      </c>
      <c r="D59" s="220" t="str">
        <f t="shared" si="28"/>
        <v>#N/A</v>
      </c>
      <c r="E59" s="216" t="str">
        <f t="shared" si="27"/>
        <v>#N/A</v>
      </c>
      <c r="F59" s="217" t="s">
        <v>490</v>
      </c>
      <c r="G59" s="217">
        <f>SUM(G56:G58)</f>
        <v>0</v>
      </c>
      <c r="H59" s="217" t="s">
        <v>490</v>
      </c>
    </row>
    <row r="60" hidden="1">
      <c r="A60" s="189"/>
      <c r="B60" s="206"/>
      <c r="C60" s="206"/>
      <c r="D60" s="206"/>
      <c r="E60" s="206"/>
    </row>
    <row r="61">
      <c r="A61" s="189"/>
      <c r="B61" s="206"/>
      <c r="C61" s="206"/>
      <c r="D61" s="206"/>
      <c r="E61" s="206"/>
    </row>
    <row r="62">
      <c r="A62" s="189" t="s">
        <v>504</v>
      </c>
      <c r="B62" s="206"/>
      <c r="C62" s="206"/>
      <c r="D62" s="206"/>
      <c r="E62" s="206"/>
    </row>
    <row r="63">
      <c r="A63" s="195" t="s">
        <v>484</v>
      </c>
    </row>
    <row r="64">
      <c r="B64" s="198" t="s">
        <v>505</v>
      </c>
      <c r="C64" s="198" t="s">
        <v>506</v>
      </c>
      <c r="D64" s="191" t="s">
        <v>507</v>
      </c>
      <c r="E64" s="210" t="s">
        <v>508</v>
      </c>
      <c r="F64" s="191" t="s">
        <v>509</v>
      </c>
      <c r="G64" s="192" t="s">
        <v>510</v>
      </c>
      <c r="H64" s="191"/>
      <c r="I64" s="191"/>
      <c r="J64" s="191"/>
    </row>
    <row r="65">
      <c r="A65" s="192" t="str">
        <f>IFERROR(__xludf.DUMMYFUNCTION("IFERROR(UNIQUE(FILTER('👷 HORAS'!D1:D1233,('👷 HORAS'!C1:C1233=$B$5)*(#REF!&lt;&gt;""""))),""No hay lámparas para este proyecto"")"),"No hay lámparas para este proyecto")</f>
        <v>No hay lámparas para este proyecto</v>
      </c>
      <c r="B65" s="221">
        <v>2004.12</v>
      </c>
      <c r="C65" s="221">
        <v>1284.69</v>
      </c>
      <c r="D65" s="221">
        <v>1235.43</v>
      </c>
      <c r="E65" s="222">
        <v>1235.43</v>
      </c>
      <c r="F65" s="223">
        <f t="shared" ref="F65:F66" si="29">E65-D65</f>
        <v>0</v>
      </c>
      <c r="G65" s="224">
        <f t="shared" ref="G65:G66" si="30">(B65-D65)/B65</f>
        <v>0.383554877</v>
      </c>
      <c r="H65" s="90"/>
      <c r="I65" s="90"/>
      <c r="J65" s="90"/>
    </row>
    <row r="66">
      <c r="A66" s="209"/>
      <c r="B66" s="221">
        <v>6077.11</v>
      </c>
      <c r="C66" s="221">
        <v>3895.52</v>
      </c>
      <c r="D66" s="221">
        <v>3917.746</v>
      </c>
      <c r="E66" s="222">
        <v>3744.44</v>
      </c>
      <c r="F66" s="223">
        <f t="shared" si="29"/>
        <v>-173.306</v>
      </c>
      <c r="G66" s="224">
        <f t="shared" si="30"/>
        <v>0.3553274501</v>
      </c>
      <c r="H66" s="90"/>
      <c r="I66" s="90"/>
      <c r="J66" s="90"/>
    </row>
    <row r="67">
      <c r="A67" s="192"/>
      <c r="E67" s="190"/>
      <c r="F67" s="225"/>
      <c r="G67" s="224"/>
      <c r="H67" s="90"/>
      <c r="I67" s="90"/>
      <c r="J67" s="90"/>
    </row>
    <row r="68" hidden="1">
      <c r="A68" s="192"/>
      <c r="E68" s="190"/>
      <c r="F68" s="225"/>
      <c r="G68" s="90"/>
      <c r="H68" s="90"/>
      <c r="I68" s="90"/>
      <c r="J68" s="90"/>
    </row>
    <row r="69" hidden="1">
      <c r="A69" s="192"/>
      <c r="E69" s="190"/>
      <c r="F69" s="225"/>
      <c r="G69" s="90"/>
      <c r="H69" s="90"/>
      <c r="I69" s="90"/>
      <c r="J69" s="90"/>
    </row>
    <row r="70" hidden="1">
      <c r="A70" s="192"/>
      <c r="E70" s="190"/>
      <c r="F70" s="225"/>
      <c r="G70" s="90"/>
      <c r="H70" s="90"/>
      <c r="I70" s="90"/>
      <c r="J70" s="90"/>
    </row>
    <row r="71" hidden="1">
      <c r="A71" s="192"/>
      <c r="E71" s="190"/>
      <c r="F71" s="225"/>
      <c r="G71" s="90"/>
      <c r="H71" s="90"/>
      <c r="I71" s="90"/>
      <c r="J71" s="90"/>
    </row>
    <row r="72" hidden="1">
      <c r="A72" s="192"/>
      <c r="E72" s="190"/>
      <c r="F72" s="225"/>
      <c r="G72" s="90"/>
      <c r="H72" s="90"/>
      <c r="I72" s="90"/>
      <c r="J72" s="90"/>
    </row>
    <row r="73" hidden="1">
      <c r="A73" s="192"/>
      <c r="E73" s="190"/>
      <c r="F73" s="225"/>
      <c r="G73" s="90"/>
      <c r="H73" s="90"/>
      <c r="I73" s="90"/>
      <c r="J73" s="90"/>
    </row>
    <row r="74" hidden="1">
      <c r="A74" s="198"/>
      <c r="E74" s="190"/>
      <c r="F74" s="225"/>
      <c r="G74" s="90"/>
      <c r="H74" s="90"/>
      <c r="I74" s="90"/>
      <c r="J74" s="90"/>
    </row>
    <row r="75" hidden="1">
      <c r="A75" s="226"/>
      <c r="B75" s="226"/>
      <c r="C75" s="227"/>
      <c r="D75" s="227"/>
      <c r="E75" s="228"/>
      <c r="F75" s="229"/>
      <c r="G75" s="230"/>
      <c r="H75" s="90"/>
      <c r="I75" s="90"/>
      <c r="J75" s="90"/>
    </row>
    <row r="76">
      <c r="C76" s="198" t="s">
        <v>511</v>
      </c>
      <c r="D76" s="231">
        <f t="shared" ref="D76:E76" si="31">SUM(D65:D66)</f>
        <v>5153.176</v>
      </c>
      <c r="E76" s="231">
        <f t="shared" si="31"/>
        <v>4979.87</v>
      </c>
      <c r="F76" s="190" t="s">
        <v>512</v>
      </c>
      <c r="G76" s="225">
        <f>AVERAGE(G65:G66)</f>
        <v>0.3694411635</v>
      </c>
      <c r="H76" s="90"/>
      <c r="I76" s="90"/>
      <c r="J76" s="90"/>
    </row>
    <row r="77">
      <c r="A77" s="192"/>
    </row>
    <row r="78">
      <c r="A78" s="192" t="s">
        <v>513</v>
      </c>
    </row>
    <row r="79">
      <c r="A79" s="190" t="s">
        <v>514</v>
      </c>
      <c r="B79" s="206"/>
      <c r="C79" s="206"/>
      <c r="D79" s="206"/>
      <c r="E79" s="206"/>
    </row>
    <row r="80">
      <c r="B80" s="206"/>
      <c r="C80" s="206"/>
      <c r="D80" s="206"/>
      <c r="E80" s="206"/>
    </row>
    <row r="81">
      <c r="A81" s="192" t="s">
        <v>515</v>
      </c>
      <c r="B81" s="206"/>
      <c r="C81" s="206"/>
      <c r="D81" s="206"/>
      <c r="E81" s="206"/>
    </row>
    <row r="82" ht="7.5" customHeight="1">
      <c r="A82" s="189"/>
      <c r="B82" s="206"/>
      <c r="C82" s="206"/>
      <c r="D82" s="206"/>
      <c r="E82" s="206"/>
    </row>
    <row r="83">
      <c r="A83" s="189" t="s">
        <v>516</v>
      </c>
      <c r="B83" s="206"/>
      <c r="C83" s="206"/>
      <c r="D83" s="206"/>
      <c r="E83" s="206"/>
    </row>
    <row r="84">
      <c r="A84" s="195" t="s">
        <v>517</v>
      </c>
    </row>
    <row r="85">
      <c r="A85" s="190" t="s">
        <v>518</v>
      </c>
    </row>
    <row r="86">
      <c r="A86" s="190" t="s">
        <v>519</v>
      </c>
    </row>
    <row r="87">
      <c r="A87" s="190" t="s">
        <v>520</v>
      </c>
    </row>
    <row r="88">
      <c r="A88" s="190" t="s">
        <v>521</v>
      </c>
    </row>
    <row r="89">
      <c r="A89" s="190" t="s">
        <v>522</v>
      </c>
    </row>
  </sheetData>
  <mergeCells count="7">
    <mergeCell ref="A1:J1"/>
    <mergeCell ref="A8:J8"/>
    <mergeCell ref="A18:J18"/>
    <mergeCell ref="K18:Q18"/>
    <mergeCell ref="S18:Z18"/>
    <mergeCell ref="A63:J63"/>
    <mergeCell ref="A84:J84"/>
  </mergeCells>
  <dataValidations>
    <dataValidation type="list" allowBlank="1" showErrorMessage="1" sqref="B5">
      <formula1>BBDD!$A$2:$A$1098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52.0"/>
    <col customWidth="1" min="4" max="4" width="51.38"/>
    <col customWidth="1" min="5" max="5" width="161.63"/>
    <col customWidth="1" min="6" max="6" width="20.13"/>
    <col customWidth="1" min="7" max="7" width="35.38"/>
    <col customWidth="1" min="8" max="8" width="14.13"/>
    <col customWidth="1" min="9" max="9" width="30.25"/>
    <col customWidth="1" min="10" max="10" width="36.0"/>
  </cols>
  <sheetData>
    <row r="1" ht="37.5" customHeight="1">
      <c r="A1" s="232"/>
      <c r="B1" s="233"/>
      <c r="C1" s="233"/>
      <c r="D1" s="233"/>
      <c r="E1" s="234"/>
      <c r="F1" s="234"/>
      <c r="G1" s="235"/>
      <c r="H1" s="234"/>
      <c r="I1" s="234"/>
      <c r="J1" s="234"/>
      <c r="K1" s="236"/>
    </row>
    <row r="2" ht="37.5" customHeight="1">
      <c r="A2" s="237"/>
      <c r="B2" s="238"/>
      <c r="C2" s="238"/>
      <c r="D2" s="238"/>
      <c r="E2" s="238" t="s">
        <v>523</v>
      </c>
      <c r="I2" s="239" t="s">
        <v>524</v>
      </c>
      <c r="J2" s="240" t="s">
        <v>10</v>
      </c>
      <c r="K2" s="241"/>
    </row>
    <row r="3" ht="37.5" customHeight="1">
      <c r="A3" s="237"/>
      <c r="B3" s="238"/>
      <c r="C3" s="238"/>
      <c r="D3" s="238"/>
      <c r="I3" s="242"/>
      <c r="J3" s="243"/>
      <c r="K3" s="241"/>
    </row>
    <row r="4" ht="37.5" customHeight="1">
      <c r="A4" s="237"/>
      <c r="B4" s="238"/>
      <c r="C4" s="244"/>
      <c r="D4" s="244"/>
      <c r="I4" s="239" t="s">
        <v>525</v>
      </c>
      <c r="J4" s="245">
        <f>TODAY()</f>
        <v>46149</v>
      </c>
      <c r="K4" s="241"/>
    </row>
    <row r="5" ht="37.5" customHeight="1">
      <c r="A5" s="237"/>
      <c r="B5" s="243"/>
      <c r="C5" s="242"/>
      <c r="D5" s="242"/>
      <c r="E5" s="242"/>
      <c r="F5" s="242"/>
      <c r="G5" s="243"/>
      <c r="H5" s="242"/>
      <c r="I5" s="242"/>
      <c r="J5" s="242"/>
      <c r="K5" s="241"/>
    </row>
    <row r="6" ht="37.5" customHeight="1">
      <c r="A6" s="246"/>
      <c r="B6" s="247" t="s">
        <v>526</v>
      </c>
      <c r="C6" s="247" t="s">
        <v>0</v>
      </c>
      <c r="D6" s="247" t="s">
        <v>527</v>
      </c>
      <c r="E6" s="247" t="s">
        <v>528</v>
      </c>
      <c r="F6" s="247" t="s">
        <v>529</v>
      </c>
      <c r="G6" s="247" t="s">
        <v>530</v>
      </c>
      <c r="H6" s="247" t="s">
        <v>531</v>
      </c>
      <c r="I6" s="248" t="s">
        <v>532</v>
      </c>
      <c r="J6" s="249"/>
      <c r="K6" s="250"/>
    </row>
    <row r="7" ht="37.5" customHeight="1">
      <c r="A7" s="237"/>
      <c r="B7" s="240"/>
      <c r="C7" s="251"/>
      <c r="D7" s="251"/>
      <c r="E7" s="252"/>
      <c r="F7" s="252"/>
      <c r="G7" s="253"/>
      <c r="H7" s="252"/>
      <c r="I7" s="254"/>
      <c r="J7" s="249"/>
      <c r="K7" s="241"/>
    </row>
    <row r="8" ht="37.5" customHeight="1">
      <c r="A8" s="237"/>
      <c r="B8" s="240"/>
      <c r="C8" s="251"/>
      <c r="D8" s="251"/>
      <c r="E8" s="251"/>
      <c r="F8" s="253"/>
      <c r="G8" s="253"/>
      <c r="H8" s="255"/>
      <c r="I8" s="254"/>
      <c r="J8" s="249"/>
      <c r="K8" s="241"/>
    </row>
    <row r="9" ht="37.5" customHeight="1">
      <c r="A9" s="237"/>
      <c r="B9" s="240"/>
      <c r="C9" s="251"/>
      <c r="D9" s="251"/>
      <c r="E9" s="251"/>
      <c r="F9" s="253"/>
      <c r="G9" s="253"/>
      <c r="H9" s="255"/>
      <c r="I9" s="254"/>
      <c r="J9" s="249"/>
      <c r="K9" s="241"/>
    </row>
    <row r="10" ht="37.5" customHeight="1">
      <c r="A10" s="237"/>
      <c r="B10" s="240"/>
      <c r="C10" s="251"/>
      <c r="D10" s="251"/>
      <c r="E10" s="251"/>
      <c r="F10" s="253"/>
      <c r="G10" s="253"/>
      <c r="H10" s="255"/>
      <c r="I10" s="254"/>
      <c r="J10" s="249"/>
      <c r="K10" s="241"/>
    </row>
    <row r="11" ht="37.5" customHeight="1">
      <c r="A11" s="237"/>
      <c r="B11" s="256"/>
      <c r="C11" s="257"/>
      <c r="D11" s="258"/>
      <c r="E11" s="258"/>
      <c r="F11" s="258"/>
      <c r="G11" s="259"/>
      <c r="H11" s="260"/>
      <c r="I11" s="261"/>
      <c r="J11" s="262"/>
      <c r="K11" s="241"/>
    </row>
    <row r="12" ht="37.5" customHeight="1">
      <c r="A12" s="237"/>
      <c r="B12" s="256"/>
      <c r="C12" s="257"/>
      <c r="D12" s="258"/>
      <c r="E12" s="258"/>
      <c r="F12" s="258"/>
      <c r="G12" s="259"/>
      <c r="H12" s="258"/>
      <c r="I12" s="261"/>
      <c r="J12" s="262"/>
      <c r="K12" s="241"/>
    </row>
    <row r="13" ht="37.5" customHeight="1">
      <c r="A13" s="237"/>
      <c r="B13" s="256"/>
      <c r="C13" s="257"/>
      <c r="D13" s="258"/>
      <c r="E13" s="258"/>
      <c r="F13" s="258"/>
      <c r="G13" s="259"/>
      <c r="H13" s="258"/>
      <c r="I13" s="261"/>
      <c r="J13" s="262"/>
      <c r="K13" s="241"/>
    </row>
    <row r="14" ht="37.5" customHeight="1">
      <c r="A14" s="237"/>
      <c r="B14" s="256"/>
      <c r="C14" s="257"/>
      <c r="D14" s="258"/>
      <c r="E14" s="258"/>
      <c r="F14" s="258"/>
      <c r="G14" s="259"/>
      <c r="H14" s="258"/>
      <c r="I14" s="261"/>
      <c r="J14" s="262"/>
      <c r="K14" s="241"/>
    </row>
    <row r="15" ht="37.5" customHeight="1">
      <c r="A15" s="237"/>
      <c r="B15" s="256"/>
      <c r="C15" s="257"/>
      <c r="D15" s="258"/>
      <c r="E15" s="258"/>
      <c r="F15" s="258"/>
      <c r="G15" s="259"/>
      <c r="H15" s="258"/>
      <c r="I15" s="261"/>
      <c r="J15" s="262"/>
      <c r="K15" s="241"/>
    </row>
    <row r="16" ht="37.5" customHeight="1">
      <c r="A16" s="237"/>
      <c r="B16" s="256"/>
      <c r="C16" s="257"/>
      <c r="D16" s="258"/>
      <c r="E16" s="258"/>
      <c r="F16" s="258"/>
      <c r="G16" s="259"/>
      <c r="H16" s="258"/>
      <c r="I16" s="261"/>
      <c r="J16" s="262"/>
      <c r="K16" s="241"/>
    </row>
    <row r="17" ht="37.5" customHeight="1">
      <c r="A17" s="237"/>
      <c r="B17" s="263"/>
      <c r="C17" s="264"/>
      <c r="D17" s="265"/>
      <c r="E17" s="265"/>
      <c r="F17" s="265"/>
      <c r="G17" s="266"/>
      <c r="H17" s="265"/>
      <c r="I17" s="267"/>
      <c r="J17" s="268"/>
      <c r="K17" s="241"/>
    </row>
    <row r="18" ht="37.5" customHeight="1">
      <c r="A18" s="269"/>
      <c r="B18" s="270"/>
      <c r="C18" s="271"/>
      <c r="D18" s="271"/>
      <c r="E18" s="271"/>
      <c r="F18" s="271"/>
      <c r="G18" s="270"/>
      <c r="H18" s="271"/>
      <c r="I18" s="271"/>
      <c r="J18" s="272"/>
      <c r="K18" s="273"/>
    </row>
    <row r="19" ht="37.5" customHeight="1">
      <c r="A19" s="274"/>
      <c r="B19" s="233"/>
      <c r="C19" s="233"/>
      <c r="D19" s="233"/>
      <c r="E19" s="234"/>
      <c r="F19" s="234"/>
      <c r="G19" s="235"/>
      <c r="H19" s="234"/>
      <c r="I19" s="234"/>
      <c r="J19" s="234"/>
      <c r="K19" s="236"/>
    </row>
    <row r="20" ht="37.5" customHeight="1">
      <c r="A20" s="237"/>
      <c r="B20" s="238"/>
      <c r="C20" s="238"/>
      <c r="D20" s="238"/>
      <c r="E20" s="238" t="s">
        <v>523</v>
      </c>
      <c r="I20" s="239" t="s">
        <v>524</v>
      </c>
      <c r="J20" s="240" t="s">
        <v>18</v>
      </c>
      <c r="K20" s="241"/>
    </row>
    <row r="21" ht="37.5" customHeight="1">
      <c r="A21" s="237"/>
      <c r="B21" s="238"/>
      <c r="C21" s="238"/>
      <c r="D21" s="238"/>
      <c r="I21" s="242"/>
      <c r="J21" s="243"/>
      <c r="K21" s="241"/>
    </row>
    <row r="22" ht="37.5" customHeight="1">
      <c r="A22" s="237"/>
      <c r="B22" s="238"/>
      <c r="C22" s="244"/>
      <c r="D22" s="244"/>
      <c r="I22" s="239" t="s">
        <v>525</v>
      </c>
      <c r="J22" s="245">
        <f>J4</f>
        <v>46149</v>
      </c>
      <c r="K22" s="241"/>
    </row>
    <row r="23" ht="37.5" customHeight="1">
      <c r="A23" s="237"/>
      <c r="B23" s="243"/>
      <c r="C23" s="242"/>
      <c r="D23" s="242"/>
      <c r="E23" s="242"/>
      <c r="F23" s="242"/>
      <c r="G23" s="243"/>
      <c r="H23" s="242"/>
      <c r="I23" s="242"/>
      <c r="J23" s="242"/>
      <c r="K23" s="241"/>
    </row>
    <row r="24" ht="37.5" customHeight="1">
      <c r="A24" s="246"/>
      <c r="B24" s="247" t="s">
        <v>526</v>
      </c>
      <c r="C24" s="247" t="s">
        <v>0</v>
      </c>
      <c r="D24" s="247" t="s">
        <v>527</v>
      </c>
      <c r="E24" s="247" t="s">
        <v>528</v>
      </c>
      <c r="F24" s="247" t="s">
        <v>529</v>
      </c>
      <c r="G24" s="247" t="s">
        <v>530</v>
      </c>
      <c r="H24" s="247" t="s">
        <v>531</v>
      </c>
      <c r="I24" s="248" t="s">
        <v>532</v>
      </c>
      <c r="J24" s="249"/>
      <c r="K24" s="250"/>
    </row>
    <row r="25" ht="37.5" customHeight="1">
      <c r="A25" s="237"/>
      <c r="B25" s="240"/>
      <c r="C25" s="251"/>
      <c r="D25" s="251"/>
      <c r="E25" s="252"/>
      <c r="F25" s="252"/>
      <c r="G25" s="253"/>
      <c r="H25" s="255"/>
      <c r="I25" s="275"/>
      <c r="J25" s="249"/>
      <c r="K25" s="241"/>
    </row>
    <row r="26" ht="37.5" customHeight="1">
      <c r="A26" s="237"/>
      <c r="B26" s="240"/>
      <c r="C26" s="251"/>
      <c r="D26" s="251"/>
      <c r="E26" s="276"/>
      <c r="F26" s="253"/>
      <c r="G26" s="277"/>
      <c r="H26" s="255"/>
      <c r="I26" s="254"/>
      <c r="J26" s="249"/>
      <c r="K26" s="241"/>
    </row>
    <row r="27" ht="37.5" customHeight="1">
      <c r="A27" s="237"/>
      <c r="B27" s="240"/>
      <c r="C27" s="251"/>
      <c r="D27" s="251"/>
      <c r="E27" s="276"/>
      <c r="F27" s="253"/>
      <c r="G27" s="253"/>
      <c r="H27" s="255"/>
      <c r="I27" s="254"/>
      <c r="J27" s="249"/>
      <c r="K27" s="241"/>
    </row>
    <row r="28" ht="37.5" customHeight="1">
      <c r="A28" s="237"/>
      <c r="B28" s="277"/>
      <c r="C28" s="252"/>
      <c r="D28" s="252"/>
      <c r="E28" s="252"/>
      <c r="F28" s="277"/>
      <c r="G28" s="277"/>
      <c r="H28" s="255"/>
      <c r="I28" s="254"/>
      <c r="J28" s="249"/>
      <c r="K28" s="241"/>
    </row>
    <row r="29" ht="37.5" customHeight="1">
      <c r="A29" s="237"/>
      <c r="B29" s="278"/>
      <c r="C29" s="279"/>
      <c r="D29" s="280"/>
      <c r="E29" s="280"/>
      <c r="F29" s="281"/>
      <c r="G29" s="281"/>
      <c r="H29" s="260"/>
      <c r="I29" s="261"/>
      <c r="J29" s="262"/>
      <c r="K29" s="241"/>
    </row>
    <row r="30" ht="37.5" customHeight="1">
      <c r="A30" s="237"/>
      <c r="B30" s="256"/>
      <c r="C30" s="282"/>
      <c r="D30" s="283"/>
      <c r="E30" s="283"/>
      <c r="F30" s="284"/>
      <c r="G30" s="284"/>
      <c r="H30" s="258"/>
      <c r="I30" s="261"/>
      <c r="J30" s="262"/>
      <c r="K30" s="241"/>
    </row>
    <row r="31" ht="37.5" customHeight="1">
      <c r="A31" s="237"/>
      <c r="B31" s="256"/>
      <c r="C31" s="282"/>
      <c r="D31" s="283"/>
      <c r="E31" s="283"/>
      <c r="F31" s="284"/>
      <c r="G31" s="284"/>
      <c r="H31" s="258"/>
      <c r="I31" s="261"/>
      <c r="J31" s="262"/>
      <c r="K31" s="241"/>
    </row>
    <row r="32" ht="37.5" customHeight="1">
      <c r="A32" s="237"/>
      <c r="B32" s="256"/>
      <c r="C32" s="282"/>
      <c r="D32" s="283"/>
      <c r="E32" s="283"/>
      <c r="F32" s="284"/>
      <c r="G32" s="284"/>
      <c r="H32" s="258"/>
      <c r="I32" s="261"/>
      <c r="J32" s="262"/>
      <c r="K32" s="241"/>
    </row>
    <row r="33" ht="37.5" customHeight="1">
      <c r="A33" s="237"/>
      <c r="B33" s="256"/>
      <c r="C33" s="282"/>
      <c r="D33" s="283"/>
      <c r="E33" s="283"/>
      <c r="F33" s="284"/>
      <c r="G33" s="284"/>
      <c r="H33" s="258"/>
      <c r="I33" s="261"/>
      <c r="J33" s="262"/>
      <c r="K33" s="241"/>
    </row>
    <row r="34" ht="37.5" customHeight="1">
      <c r="A34" s="237"/>
      <c r="B34" s="263"/>
      <c r="C34" s="264"/>
      <c r="D34" s="265"/>
      <c r="E34" s="265"/>
      <c r="F34" s="265"/>
      <c r="G34" s="266"/>
      <c r="H34" s="265"/>
      <c r="I34" s="267"/>
      <c r="J34" s="268"/>
      <c r="K34" s="241"/>
    </row>
    <row r="35" ht="37.5" customHeight="1">
      <c r="A35" s="269"/>
      <c r="B35" s="270"/>
      <c r="C35" s="271"/>
      <c r="D35" s="271"/>
      <c r="E35" s="271"/>
      <c r="F35" s="271"/>
      <c r="G35" s="270"/>
      <c r="H35" s="271"/>
      <c r="I35" s="271"/>
      <c r="J35" s="272"/>
      <c r="K35" s="273"/>
    </row>
    <row r="36" ht="37.5" customHeight="1">
      <c r="A36" s="237"/>
      <c r="B36" s="238"/>
      <c r="C36" s="238"/>
      <c r="D36" s="238"/>
      <c r="E36" s="242"/>
      <c r="F36" s="242"/>
      <c r="G36" s="243"/>
      <c r="H36" s="242"/>
      <c r="I36" s="242"/>
      <c r="J36" s="242"/>
      <c r="K36" s="241"/>
    </row>
    <row r="37" ht="37.5" customHeight="1">
      <c r="A37" s="237"/>
      <c r="B37" s="238"/>
      <c r="C37" s="238"/>
      <c r="D37" s="238"/>
      <c r="E37" s="242"/>
      <c r="F37" s="242"/>
      <c r="G37" s="243"/>
      <c r="H37" s="242"/>
      <c r="I37" s="242"/>
      <c r="J37" s="242"/>
      <c r="K37" s="241"/>
    </row>
    <row r="38" ht="37.5" customHeight="1">
      <c r="A38" s="274"/>
      <c r="B38" s="233"/>
      <c r="C38" s="233"/>
      <c r="D38" s="233"/>
      <c r="E38" s="234"/>
      <c r="F38" s="234"/>
      <c r="G38" s="235"/>
      <c r="H38" s="234"/>
      <c r="I38" s="234"/>
      <c r="J38" s="234"/>
      <c r="K38" s="236"/>
    </row>
    <row r="39" ht="37.5" customHeight="1">
      <c r="A39" s="237"/>
      <c r="B39" s="238"/>
      <c r="C39" s="238"/>
      <c r="D39" s="238"/>
      <c r="E39" s="238" t="s">
        <v>523</v>
      </c>
      <c r="I39" s="239" t="s">
        <v>524</v>
      </c>
      <c r="J39" s="240" t="s">
        <v>33</v>
      </c>
      <c r="K39" s="285"/>
    </row>
    <row r="40" ht="37.5" customHeight="1">
      <c r="A40" s="237"/>
      <c r="B40" s="238"/>
      <c r="C40" s="238"/>
      <c r="D40" s="238"/>
      <c r="I40" s="242"/>
      <c r="J40" s="243"/>
      <c r="K40" s="241"/>
    </row>
    <row r="41" ht="37.5" customHeight="1">
      <c r="A41" s="237"/>
      <c r="B41" s="238"/>
      <c r="C41" s="244"/>
      <c r="D41" s="244"/>
      <c r="I41" s="239" t="s">
        <v>525</v>
      </c>
      <c r="J41" s="245">
        <f>J22</f>
        <v>46149</v>
      </c>
      <c r="K41" s="241"/>
    </row>
    <row r="42" ht="37.5" customHeight="1">
      <c r="A42" s="237"/>
      <c r="B42" s="243"/>
      <c r="C42" s="242"/>
      <c r="D42" s="242"/>
      <c r="E42" s="242"/>
      <c r="F42" s="242"/>
      <c r="G42" s="243"/>
      <c r="H42" s="242"/>
      <c r="I42" s="242"/>
      <c r="J42" s="242"/>
      <c r="K42" s="241"/>
    </row>
    <row r="43" ht="37.5" customHeight="1">
      <c r="A43" s="246"/>
      <c r="B43" s="247" t="s">
        <v>526</v>
      </c>
      <c r="C43" s="247" t="s">
        <v>0</v>
      </c>
      <c r="D43" s="247" t="s">
        <v>527</v>
      </c>
      <c r="E43" s="247" t="s">
        <v>528</v>
      </c>
      <c r="F43" s="247" t="s">
        <v>529</v>
      </c>
      <c r="G43" s="247" t="s">
        <v>530</v>
      </c>
      <c r="H43" s="247" t="s">
        <v>531</v>
      </c>
      <c r="I43" s="248" t="s">
        <v>532</v>
      </c>
      <c r="J43" s="249"/>
      <c r="K43" s="250"/>
    </row>
    <row r="44" ht="37.5" customHeight="1">
      <c r="A44" s="237"/>
      <c r="B44" s="240"/>
      <c r="C44" s="251"/>
      <c r="D44" s="251"/>
      <c r="E44" s="252"/>
      <c r="F44" s="252"/>
      <c r="G44" s="253"/>
      <c r="H44" s="255"/>
      <c r="I44" s="254"/>
      <c r="J44" s="249"/>
      <c r="K44" s="241"/>
    </row>
    <row r="45" ht="37.5" customHeight="1">
      <c r="A45" s="237"/>
      <c r="B45" s="240"/>
      <c r="C45" s="286"/>
      <c r="D45" s="286"/>
      <c r="E45" s="286"/>
      <c r="F45" s="287"/>
      <c r="G45" s="287"/>
      <c r="H45" s="255"/>
      <c r="I45" s="288"/>
      <c r="J45" s="249"/>
      <c r="K45" s="241"/>
    </row>
    <row r="46" ht="37.5" customHeight="1">
      <c r="A46" s="237"/>
      <c r="B46" s="240"/>
      <c r="C46" s="251"/>
      <c r="D46" s="251"/>
      <c r="E46" s="276"/>
      <c r="F46" s="253"/>
      <c r="G46" s="253"/>
      <c r="H46" s="255"/>
      <c r="I46" s="254"/>
      <c r="J46" s="249"/>
      <c r="K46" s="241"/>
    </row>
    <row r="47" ht="37.5" customHeight="1">
      <c r="A47" s="237"/>
      <c r="B47" s="240"/>
      <c r="C47" s="251"/>
      <c r="D47" s="251"/>
      <c r="E47" s="276"/>
      <c r="F47" s="253"/>
      <c r="G47" s="277"/>
      <c r="H47" s="255"/>
      <c r="I47" s="254"/>
      <c r="J47" s="249"/>
      <c r="K47" s="241"/>
    </row>
    <row r="48" ht="37.5" customHeight="1">
      <c r="A48" s="237"/>
      <c r="B48" s="240"/>
      <c r="C48" s="251"/>
      <c r="D48" s="251"/>
      <c r="E48" s="276"/>
      <c r="F48" s="253"/>
      <c r="G48" s="277"/>
      <c r="H48" s="255"/>
      <c r="I48" s="254"/>
      <c r="J48" s="249"/>
      <c r="K48" s="241"/>
    </row>
    <row r="49" ht="37.5" customHeight="1">
      <c r="A49" s="237"/>
      <c r="B49" s="256"/>
      <c r="C49" s="257"/>
      <c r="D49" s="258"/>
      <c r="E49" s="258"/>
      <c r="F49" s="258"/>
      <c r="G49" s="259"/>
      <c r="H49" s="260"/>
      <c r="I49" s="261"/>
      <c r="J49" s="262"/>
      <c r="K49" s="241"/>
    </row>
    <row r="50" ht="37.5" customHeight="1">
      <c r="A50" s="237"/>
      <c r="B50" s="256"/>
      <c r="C50" s="257"/>
      <c r="D50" s="258"/>
      <c r="E50" s="258"/>
      <c r="F50" s="258"/>
      <c r="G50" s="259"/>
      <c r="H50" s="258"/>
      <c r="I50" s="261"/>
      <c r="J50" s="262"/>
      <c r="K50" s="241"/>
    </row>
    <row r="51" ht="37.5" customHeight="1">
      <c r="A51" s="237"/>
      <c r="B51" s="256"/>
      <c r="C51" s="257"/>
      <c r="D51" s="258"/>
      <c r="E51" s="258"/>
      <c r="F51" s="258"/>
      <c r="G51" s="259"/>
      <c r="H51" s="258"/>
      <c r="I51" s="261"/>
      <c r="J51" s="262"/>
      <c r="K51" s="241"/>
    </row>
    <row r="52" ht="37.5" customHeight="1">
      <c r="A52" s="237"/>
      <c r="B52" s="256"/>
      <c r="C52" s="257"/>
      <c r="D52" s="258"/>
      <c r="E52" s="258"/>
      <c r="F52" s="258"/>
      <c r="G52" s="259"/>
      <c r="H52" s="258"/>
      <c r="I52" s="261"/>
      <c r="J52" s="262"/>
      <c r="K52" s="241"/>
    </row>
    <row r="53" ht="37.5" customHeight="1">
      <c r="A53" s="237"/>
      <c r="B53" s="256"/>
      <c r="C53" s="257"/>
      <c r="D53" s="258"/>
      <c r="E53" s="258"/>
      <c r="F53" s="258"/>
      <c r="G53" s="259"/>
      <c r="H53" s="258"/>
      <c r="I53" s="261"/>
      <c r="J53" s="262"/>
      <c r="K53" s="241"/>
    </row>
    <row r="54" ht="37.5" customHeight="1">
      <c r="A54" s="237"/>
      <c r="B54" s="263"/>
      <c r="C54" s="264"/>
      <c r="D54" s="265"/>
      <c r="E54" s="265"/>
      <c r="F54" s="265"/>
      <c r="G54" s="266"/>
      <c r="H54" s="265"/>
      <c r="I54" s="267"/>
      <c r="J54" s="268"/>
      <c r="K54" s="241"/>
    </row>
    <row r="55" ht="37.5" customHeight="1">
      <c r="A55" s="269"/>
      <c r="B55" s="270"/>
      <c r="C55" s="271"/>
      <c r="D55" s="271"/>
      <c r="E55" s="271"/>
      <c r="F55" s="271"/>
      <c r="G55" s="270"/>
      <c r="H55" s="271"/>
      <c r="I55" s="271"/>
      <c r="J55" s="272"/>
      <c r="K55" s="273"/>
    </row>
    <row r="56" ht="37.5" customHeight="1">
      <c r="A56" s="274"/>
      <c r="B56" s="233"/>
      <c r="C56" s="233"/>
      <c r="D56" s="233"/>
      <c r="E56" s="234"/>
      <c r="F56" s="234"/>
      <c r="G56" s="235"/>
      <c r="H56" s="234"/>
      <c r="I56" s="234"/>
      <c r="J56" s="234"/>
      <c r="K56" s="236"/>
    </row>
    <row r="57" ht="37.5" customHeight="1">
      <c r="A57" s="237"/>
      <c r="B57" s="238"/>
      <c r="C57" s="238"/>
      <c r="D57" s="238"/>
      <c r="E57" s="238" t="s">
        <v>523</v>
      </c>
      <c r="I57" s="239" t="s">
        <v>524</v>
      </c>
      <c r="J57" s="240" t="s">
        <v>27</v>
      </c>
      <c r="K57" s="241"/>
    </row>
    <row r="58" ht="37.5" customHeight="1">
      <c r="A58" s="237"/>
      <c r="B58" s="238"/>
      <c r="C58" s="238"/>
      <c r="D58" s="238"/>
      <c r="I58" s="242"/>
      <c r="J58" s="243"/>
      <c r="K58" s="241"/>
    </row>
    <row r="59" ht="37.5" customHeight="1">
      <c r="A59" s="237"/>
      <c r="B59" s="238"/>
      <c r="C59" s="244"/>
      <c r="D59" s="244"/>
      <c r="I59" s="239" t="s">
        <v>525</v>
      </c>
      <c r="J59" s="245">
        <f>J41</f>
        <v>46149</v>
      </c>
      <c r="K59" s="241"/>
    </row>
    <row r="60" ht="37.5" customHeight="1">
      <c r="A60" s="237"/>
      <c r="B60" s="243"/>
      <c r="C60" s="242"/>
      <c r="D60" s="242"/>
      <c r="E60" s="242"/>
      <c r="F60" s="242"/>
      <c r="G60" s="243"/>
      <c r="H60" s="242"/>
      <c r="I60" s="242"/>
      <c r="J60" s="242"/>
      <c r="K60" s="241"/>
    </row>
    <row r="61" ht="37.5" customHeight="1">
      <c r="A61" s="246"/>
      <c r="B61" s="247" t="s">
        <v>526</v>
      </c>
      <c r="C61" s="247" t="s">
        <v>0</v>
      </c>
      <c r="D61" s="247" t="s">
        <v>527</v>
      </c>
      <c r="E61" s="247" t="s">
        <v>528</v>
      </c>
      <c r="F61" s="247" t="s">
        <v>529</v>
      </c>
      <c r="G61" s="247" t="s">
        <v>530</v>
      </c>
      <c r="H61" s="247" t="s">
        <v>531</v>
      </c>
      <c r="I61" s="248" t="s">
        <v>532</v>
      </c>
      <c r="J61" s="249"/>
      <c r="K61" s="250"/>
    </row>
    <row r="62" ht="37.5" customHeight="1">
      <c r="A62" s="237"/>
      <c r="B62" s="240"/>
      <c r="C62" s="251"/>
      <c r="D62" s="251"/>
      <c r="E62" s="276"/>
      <c r="F62" s="253"/>
      <c r="G62" s="277"/>
      <c r="H62" s="255"/>
      <c r="I62" s="254"/>
      <c r="J62" s="249"/>
      <c r="K62" s="241"/>
    </row>
    <row r="63" ht="37.5" customHeight="1">
      <c r="A63" s="237"/>
      <c r="B63" s="240"/>
      <c r="C63" s="251"/>
      <c r="D63" s="251"/>
      <c r="E63" s="276"/>
      <c r="F63" s="253"/>
      <c r="G63" s="277"/>
      <c r="H63" s="255"/>
      <c r="I63" s="275"/>
      <c r="J63" s="249"/>
      <c r="K63" s="241"/>
    </row>
    <row r="64" ht="37.5" customHeight="1">
      <c r="A64" s="237"/>
      <c r="B64" s="240"/>
      <c r="C64" s="286"/>
      <c r="D64" s="286"/>
      <c r="E64" s="286"/>
      <c r="F64" s="287"/>
      <c r="G64" s="287"/>
      <c r="H64" s="255"/>
      <c r="I64" s="254"/>
      <c r="J64" s="249"/>
      <c r="K64" s="241"/>
    </row>
    <row r="65" ht="37.5" customHeight="1">
      <c r="A65" s="237"/>
      <c r="B65" s="240"/>
      <c r="C65" s="251"/>
      <c r="D65" s="251"/>
      <c r="E65" s="251"/>
      <c r="F65" s="253"/>
      <c r="G65" s="253"/>
      <c r="H65" s="255"/>
      <c r="I65" s="254"/>
      <c r="J65" s="249"/>
      <c r="K65" s="241"/>
    </row>
    <row r="66" ht="37.5" customHeight="1">
      <c r="A66" s="237"/>
      <c r="B66" s="277"/>
      <c r="C66" s="252"/>
      <c r="D66" s="252"/>
      <c r="E66" s="252"/>
      <c r="F66" s="277"/>
      <c r="G66" s="277"/>
      <c r="H66" s="255"/>
      <c r="I66" s="254"/>
      <c r="J66" s="249"/>
      <c r="K66" s="241"/>
    </row>
    <row r="67" ht="37.5" customHeight="1">
      <c r="A67" s="237"/>
      <c r="B67" s="278"/>
      <c r="C67" s="289"/>
      <c r="D67" s="260"/>
      <c r="E67" s="260"/>
      <c r="F67" s="260"/>
      <c r="G67" s="290"/>
      <c r="H67" s="260"/>
      <c r="I67" s="261"/>
      <c r="J67" s="262"/>
      <c r="K67" s="241"/>
    </row>
    <row r="68" ht="37.5" customHeight="1">
      <c r="A68" s="237"/>
      <c r="B68" s="256"/>
      <c r="C68" s="257"/>
      <c r="D68" s="258"/>
      <c r="E68" s="258"/>
      <c r="F68" s="258"/>
      <c r="G68" s="259"/>
      <c r="H68" s="258"/>
      <c r="I68" s="261"/>
      <c r="J68" s="262"/>
      <c r="K68" s="241"/>
    </row>
    <row r="69" ht="37.5" customHeight="1">
      <c r="A69" s="237"/>
      <c r="B69" s="256"/>
      <c r="C69" s="257"/>
      <c r="D69" s="258"/>
      <c r="E69" s="258"/>
      <c r="F69" s="258"/>
      <c r="G69" s="259"/>
      <c r="H69" s="258"/>
      <c r="I69" s="261"/>
      <c r="J69" s="262"/>
      <c r="K69" s="241"/>
    </row>
    <row r="70" ht="37.5" customHeight="1">
      <c r="A70" s="237"/>
      <c r="B70" s="256"/>
      <c r="C70" s="257"/>
      <c r="D70" s="258"/>
      <c r="E70" s="258"/>
      <c r="F70" s="258"/>
      <c r="G70" s="259"/>
      <c r="H70" s="258"/>
      <c r="I70" s="261"/>
      <c r="J70" s="262"/>
      <c r="K70" s="241"/>
    </row>
    <row r="71" ht="37.5" customHeight="1">
      <c r="A71" s="237"/>
      <c r="B71" s="256"/>
      <c r="C71" s="257"/>
      <c r="D71" s="258"/>
      <c r="E71" s="258"/>
      <c r="F71" s="258"/>
      <c r="G71" s="259"/>
      <c r="H71" s="258"/>
      <c r="I71" s="261"/>
      <c r="J71" s="262"/>
      <c r="K71" s="241"/>
    </row>
    <row r="72" ht="37.5" customHeight="1">
      <c r="A72" s="237"/>
      <c r="B72" s="263"/>
      <c r="C72" s="264"/>
      <c r="D72" s="265"/>
      <c r="E72" s="265"/>
      <c r="F72" s="265"/>
      <c r="G72" s="266"/>
      <c r="H72" s="265"/>
      <c r="I72" s="267"/>
      <c r="J72" s="268"/>
      <c r="K72" s="241"/>
    </row>
    <row r="73" ht="37.5" customHeight="1">
      <c r="A73" s="237"/>
      <c r="B73" s="270"/>
      <c r="C73" s="271"/>
      <c r="D73" s="271"/>
      <c r="E73" s="271"/>
      <c r="F73" s="271"/>
      <c r="G73" s="270"/>
      <c r="H73" s="271"/>
      <c r="I73" s="271"/>
      <c r="J73" s="271"/>
      <c r="K73" s="241"/>
    </row>
    <row r="74" ht="37.5" customHeight="1">
      <c r="A74" s="269"/>
      <c r="B74" s="270"/>
      <c r="C74" s="271"/>
      <c r="D74" s="271"/>
      <c r="E74" s="271"/>
      <c r="F74" s="271"/>
      <c r="G74" s="270"/>
      <c r="H74" s="271"/>
      <c r="I74" s="271"/>
      <c r="J74" s="272"/>
      <c r="K74" s="273"/>
    </row>
    <row r="75" ht="37.5" customHeight="1">
      <c r="A75" s="274"/>
      <c r="B75" s="233"/>
      <c r="C75" s="233"/>
      <c r="D75" s="233"/>
      <c r="E75" s="234"/>
      <c r="F75" s="234"/>
      <c r="G75" s="235"/>
      <c r="H75" s="234"/>
      <c r="I75" s="234"/>
      <c r="J75" s="234"/>
      <c r="K75" s="236"/>
    </row>
    <row r="76" ht="37.5" customHeight="1">
      <c r="A76" s="237"/>
      <c r="B76" s="238"/>
      <c r="C76" s="238"/>
      <c r="D76" s="238"/>
      <c r="E76" s="238" t="s">
        <v>523</v>
      </c>
      <c r="I76" s="239" t="s">
        <v>524</v>
      </c>
      <c r="J76" s="245" t="s">
        <v>50</v>
      </c>
      <c r="K76" s="241"/>
    </row>
    <row r="77" ht="37.5" customHeight="1">
      <c r="A77" s="237"/>
      <c r="B77" s="238"/>
      <c r="C77" s="238"/>
      <c r="D77" s="238"/>
      <c r="I77" s="242"/>
      <c r="J77" s="243"/>
      <c r="K77" s="241"/>
    </row>
    <row r="78" ht="37.5" customHeight="1">
      <c r="A78" s="237"/>
      <c r="B78" s="238"/>
      <c r="C78" s="244"/>
      <c r="D78" s="244"/>
      <c r="I78" s="239" t="s">
        <v>525</v>
      </c>
      <c r="J78" s="245">
        <f>J59</f>
        <v>46149</v>
      </c>
      <c r="K78" s="241"/>
    </row>
    <row r="79" ht="37.5" customHeight="1">
      <c r="A79" s="237"/>
      <c r="B79" s="243"/>
      <c r="C79" s="242"/>
      <c r="D79" s="242"/>
      <c r="E79" s="242"/>
      <c r="F79" s="242"/>
      <c r="G79" s="243"/>
      <c r="H79" s="242"/>
      <c r="I79" s="242"/>
      <c r="J79" s="242"/>
      <c r="K79" s="241"/>
    </row>
    <row r="80" ht="37.5" customHeight="1">
      <c r="A80" s="246"/>
      <c r="B80" s="247" t="s">
        <v>526</v>
      </c>
      <c r="C80" s="247" t="s">
        <v>0</v>
      </c>
      <c r="D80" s="247" t="s">
        <v>527</v>
      </c>
      <c r="E80" s="247" t="s">
        <v>528</v>
      </c>
      <c r="F80" s="247" t="s">
        <v>529</v>
      </c>
      <c r="G80" s="247" t="s">
        <v>530</v>
      </c>
      <c r="H80" s="247" t="s">
        <v>531</v>
      </c>
      <c r="I80" s="248" t="s">
        <v>532</v>
      </c>
      <c r="J80" s="249"/>
      <c r="K80" s="250"/>
    </row>
    <row r="81" ht="37.5" customHeight="1">
      <c r="A81" s="291"/>
      <c r="B81" s="291"/>
      <c r="C81" s="251"/>
      <c r="D81" s="251"/>
      <c r="E81" s="252"/>
      <c r="F81" s="252"/>
      <c r="G81" s="253"/>
      <c r="H81" s="291"/>
      <c r="I81" s="292"/>
      <c r="J81" s="249"/>
      <c r="K81" s="291"/>
    </row>
    <row r="82" ht="37.5" customHeight="1">
      <c r="A82" s="291"/>
      <c r="B82" s="291"/>
      <c r="C82" s="251"/>
      <c r="D82" s="251"/>
      <c r="E82" s="251"/>
      <c r="F82" s="287"/>
      <c r="G82" s="287"/>
      <c r="H82" s="291"/>
      <c r="I82" s="291"/>
      <c r="J82" s="291"/>
      <c r="K82" s="291"/>
    </row>
    <row r="83" ht="37.5" customHeight="1">
      <c r="A83" s="291"/>
      <c r="B83" s="291"/>
      <c r="C83" s="286"/>
      <c r="D83" s="286"/>
      <c r="E83" s="286"/>
      <c r="F83" s="287"/>
      <c r="G83" s="287"/>
      <c r="H83" s="291"/>
      <c r="I83" s="291"/>
      <c r="J83" s="291"/>
      <c r="K83" s="291"/>
    </row>
    <row r="84" ht="37.5" customHeight="1">
      <c r="A84" s="291"/>
      <c r="B84" s="291"/>
      <c r="C84" s="286"/>
      <c r="D84" s="286"/>
      <c r="E84" s="286"/>
      <c r="F84" s="287"/>
      <c r="G84" s="287"/>
      <c r="H84" s="291"/>
      <c r="I84" s="291"/>
      <c r="J84" s="291"/>
      <c r="K84" s="291"/>
    </row>
    <row r="85" ht="37.5" customHeight="1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</row>
    <row r="86" ht="37.5" customHeight="1">
      <c r="A86" s="237"/>
      <c r="B86" s="240"/>
      <c r="C86" s="251"/>
      <c r="D86" s="251"/>
      <c r="E86" s="251"/>
      <c r="F86" s="253"/>
      <c r="G86" s="253"/>
      <c r="H86" s="255"/>
      <c r="I86" s="254"/>
      <c r="J86" s="249"/>
      <c r="K86" s="241"/>
    </row>
    <row r="87" ht="37.5" customHeight="1">
      <c r="A87" s="237"/>
      <c r="B87" s="277"/>
      <c r="C87" s="293"/>
      <c r="D87" s="293"/>
      <c r="E87" s="293"/>
      <c r="F87" s="277"/>
      <c r="G87" s="277"/>
      <c r="H87" s="255"/>
      <c r="I87" s="254"/>
      <c r="J87" s="249"/>
      <c r="K87" s="241"/>
    </row>
    <row r="88" ht="37.5" customHeight="1">
      <c r="A88" s="237"/>
      <c r="B88" s="277"/>
      <c r="C88" s="293"/>
      <c r="D88" s="293"/>
      <c r="E88" s="293"/>
      <c r="F88" s="277"/>
      <c r="G88" s="277"/>
      <c r="H88" s="255"/>
      <c r="I88" s="254"/>
      <c r="J88" s="249"/>
      <c r="K88" s="241"/>
    </row>
    <row r="89" ht="37.5" customHeight="1">
      <c r="A89" s="237"/>
      <c r="B89" s="278"/>
      <c r="C89" s="289"/>
      <c r="D89" s="260"/>
      <c r="E89" s="260"/>
      <c r="F89" s="260"/>
      <c r="G89" s="290"/>
      <c r="H89" s="260"/>
      <c r="I89" s="261"/>
      <c r="J89" s="262"/>
      <c r="K89" s="241"/>
    </row>
    <row r="90" ht="37.5" customHeight="1">
      <c r="A90" s="237"/>
      <c r="B90" s="256"/>
      <c r="C90" s="257"/>
      <c r="D90" s="258"/>
      <c r="E90" s="258"/>
      <c r="F90" s="258"/>
      <c r="G90" s="259"/>
      <c r="H90" s="258"/>
      <c r="I90" s="261"/>
      <c r="J90" s="262"/>
      <c r="K90" s="241"/>
    </row>
    <row r="91" ht="37.5" customHeight="1">
      <c r="A91" s="237"/>
      <c r="B91" s="263"/>
      <c r="C91" s="264"/>
      <c r="D91" s="265"/>
      <c r="E91" s="265"/>
      <c r="F91" s="265"/>
      <c r="G91" s="266"/>
      <c r="H91" s="265"/>
      <c r="I91" s="267"/>
      <c r="J91" s="268"/>
      <c r="K91" s="241"/>
    </row>
    <row r="92" ht="37.5" customHeight="1">
      <c r="A92" s="269"/>
      <c r="B92" s="270"/>
      <c r="C92" s="271"/>
      <c r="D92" s="271"/>
      <c r="E92" s="271"/>
      <c r="F92" s="271"/>
      <c r="G92" s="270"/>
      <c r="H92" s="271"/>
      <c r="I92" s="271"/>
      <c r="J92" s="272"/>
      <c r="K92" s="273"/>
    </row>
    <row r="93" ht="37.5" customHeight="1">
      <c r="A93" s="274"/>
      <c r="B93" s="233"/>
      <c r="C93" s="233"/>
      <c r="D93" s="233"/>
      <c r="E93" s="234"/>
      <c r="F93" s="234"/>
      <c r="G93" s="235"/>
      <c r="H93" s="234"/>
      <c r="I93" s="234"/>
      <c r="J93" s="234"/>
      <c r="K93" s="236"/>
    </row>
    <row r="94" ht="37.5" customHeight="1">
      <c r="A94" s="237"/>
      <c r="B94" s="238"/>
      <c r="C94" s="238"/>
      <c r="D94" s="238"/>
      <c r="E94" s="238" t="s">
        <v>523</v>
      </c>
      <c r="I94" s="239" t="s">
        <v>524</v>
      </c>
      <c r="J94" s="240"/>
      <c r="K94" s="241"/>
    </row>
    <row r="95" ht="37.5" customHeight="1">
      <c r="A95" s="237"/>
      <c r="B95" s="238"/>
      <c r="C95" s="238"/>
      <c r="D95" s="238"/>
      <c r="I95" s="242"/>
      <c r="J95" s="243"/>
      <c r="K95" s="241"/>
    </row>
    <row r="96" ht="37.5" customHeight="1">
      <c r="A96" s="237"/>
      <c r="B96" s="238"/>
      <c r="C96" s="244"/>
      <c r="D96" s="244"/>
      <c r="I96" s="239" t="s">
        <v>525</v>
      </c>
      <c r="J96" s="245">
        <f>J78</f>
        <v>46149</v>
      </c>
      <c r="K96" s="241"/>
    </row>
    <row r="97" ht="37.5" customHeight="1">
      <c r="A97" s="237"/>
      <c r="B97" s="243"/>
      <c r="C97" s="242"/>
      <c r="D97" s="242"/>
      <c r="E97" s="242"/>
      <c r="F97" s="242"/>
      <c r="G97" s="243"/>
      <c r="H97" s="242"/>
      <c r="I97" s="242"/>
      <c r="J97" s="242"/>
      <c r="K97" s="241"/>
    </row>
    <row r="98" ht="37.5" customHeight="1">
      <c r="A98" s="246"/>
      <c r="B98" s="247" t="s">
        <v>526</v>
      </c>
      <c r="C98" s="247" t="s">
        <v>0</v>
      </c>
      <c r="D98" s="247" t="s">
        <v>527</v>
      </c>
      <c r="E98" s="247" t="s">
        <v>528</v>
      </c>
      <c r="F98" s="247" t="s">
        <v>529</v>
      </c>
      <c r="G98" s="247" t="s">
        <v>530</v>
      </c>
      <c r="H98" s="247" t="s">
        <v>531</v>
      </c>
      <c r="I98" s="248" t="s">
        <v>532</v>
      </c>
      <c r="J98" s="249"/>
      <c r="K98" s="250"/>
    </row>
    <row r="99" ht="37.5" customHeight="1">
      <c r="A99" s="291"/>
      <c r="B99" s="291"/>
      <c r="C99" s="251"/>
      <c r="D99" s="251"/>
      <c r="E99" s="252"/>
      <c r="F99" s="252"/>
      <c r="G99" s="253"/>
      <c r="H99" s="291"/>
      <c r="I99" s="291"/>
      <c r="J99" s="291"/>
      <c r="K99" s="291"/>
    </row>
    <row r="100" ht="37.5" customHeight="1">
      <c r="A100" s="237"/>
      <c r="B100" s="240"/>
      <c r="C100" s="251"/>
      <c r="D100" s="251"/>
      <c r="E100" s="276"/>
      <c r="F100" s="253"/>
      <c r="G100" s="277"/>
      <c r="H100" s="255"/>
      <c r="I100" s="275"/>
      <c r="J100" s="249"/>
      <c r="K100" s="241"/>
    </row>
    <row r="101" ht="37.5" customHeight="1">
      <c r="A101" s="237"/>
      <c r="B101" s="240"/>
      <c r="C101" s="251"/>
      <c r="D101" s="251"/>
      <c r="E101" s="276"/>
      <c r="F101" s="253"/>
      <c r="G101" s="277"/>
      <c r="H101" s="255"/>
      <c r="I101" s="254"/>
      <c r="J101" s="249"/>
      <c r="K101" s="241"/>
    </row>
    <row r="102" ht="37.5" customHeight="1">
      <c r="A102" s="237"/>
      <c r="B102" s="277"/>
      <c r="C102" s="252"/>
      <c r="D102" s="252"/>
      <c r="E102" s="252"/>
      <c r="F102" s="277"/>
      <c r="G102" s="277"/>
      <c r="H102" s="255"/>
      <c r="I102" s="254"/>
      <c r="J102" s="249"/>
      <c r="K102" s="241"/>
    </row>
    <row r="103" ht="37.5" customHeight="1">
      <c r="A103" s="237"/>
      <c r="B103" s="240"/>
      <c r="C103" s="251"/>
      <c r="D103" s="251"/>
      <c r="E103" s="251"/>
      <c r="F103" s="253"/>
      <c r="G103" s="277"/>
      <c r="H103" s="255"/>
      <c r="I103" s="254"/>
      <c r="J103" s="249"/>
      <c r="K103" s="241"/>
    </row>
    <row r="104" ht="37.5" customHeight="1">
      <c r="A104" s="237"/>
      <c r="B104" s="277"/>
      <c r="C104" s="252"/>
      <c r="D104" s="252"/>
      <c r="E104" s="252"/>
      <c r="F104" s="277"/>
      <c r="G104" s="277"/>
      <c r="H104" s="255"/>
      <c r="I104" s="254"/>
      <c r="J104" s="249"/>
      <c r="K104" s="241"/>
    </row>
    <row r="105" ht="37.5" customHeight="1">
      <c r="A105" s="237"/>
      <c r="B105" s="277"/>
      <c r="C105" s="252"/>
      <c r="D105" s="252"/>
      <c r="E105" s="252"/>
      <c r="F105" s="277"/>
      <c r="G105" s="277"/>
      <c r="H105" s="255"/>
      <c r="I105" s="254"/>
      <c r="J105" s="249"/>
      <c r="K105" s="241"/>
    </row>
    <row r="106" ht="37.5" customHeight="1">
      <c r="A106" s="237"/>
      <c r="B106" s="277"/>
      <c r="C106" s="252"/>
      <c r="D106" s="252"/>
      <c r="E106" s="252"/>
      <c r="F106" s="277"/>
      <c r="G106" s="277"/>
      <c r="H106" s="255"/>
      <c r="I106" s="254"/>
      <c r="J106" s="249"/>
      <c r="K106" s="241"/>
    </row>
    <row r="107" ht="37.5" customHeight="1">
      <c r="A107" s="237"/>
      <c r="B107" s="278"/>
      <c r="C107" s="289"/>
      <c r="D107" s="260"/>
      <c r="E107" s="260"/>
      <c r="F107" s="260"/>
      <c r="G107" s="290"/>
      <c r="H107" s="260"/>
      <c r="I107" s="261"/>
      <c r="J107" s="262"/>
      <c r="K107" s="241"/>
    </row>
    <row r="108" ht="37.5" customHeight="1">
      <c r="A108" s="237"/>
      <c r="B108" s="256"/>
      <c r="C108" s="257"/>
      <c r="D108" s="258"/>
      <c r="E108" s="258"/>
      <c r="F108" s="258"/>
      <c r="G108" s="259"/>
      <c r="H108" s="258"/>
      <c r="I108" s="261"/>
      <c r="J108" s="262"/>
      <c r="K108" s="241"/>
    </row>
    <row r="109" ht="37.5" customHeight="1">
      <c r="A109" s="237"/>
      <c r="B109" s="263"/>
      <c r="C109" s="264"/>
      <c r="D109" s="265"/>
      <c r="E109" s="265"/>
      <c r="F109" s="265"/>
      <c r="G109" s="266"/>
      <c r="H109" s="265"/>
      <c r="I109" s="267"/>
      <c r="J109" s="268"/>
      <c r="K109" s="241"/>
    </row>
    <row r="110" ht="37.5" customHeight="1">
      <c r="A110" s="269"/>
      <c r="B110" s="270"/>
      <c r="C110" s="271"/>
      <c r="D110" s="271"/>
      <c r="E110" s="271"/>
      <c r="F110" s="271"/>
      <c r="G110" s="270"/>
      <c r="H110" s="271"/>
      <c r="I110" s="271"/>
      <c r="J110" s="272"/>
      <c r="K110" s="273"/>
    </row>
    <row r="111" ht="37.5" customHeight="1">
      <c r="A111" s="274"/>
      <c r="B111" s="233"/>
      <c r="C111" s="233"/>
      <c r="D111" s="233"/>
      <c r="E111" s="234"/>
      <c r="F111" s="234"/>
      <c r="G111" s="235"/>
      <c r="H111" s="234"/>
      <c r="I111" s="234"/>
      <c r="J111" s="234"/>
      <c r="K111" s="236"/>
    </row>
    <row r="112" ht="37.5" customHeight="1">
      <c r="A112" s="237"/>
      <c r="B112" s="238"/>
      <c r="C112" s="238"/>
      <c r="D112" s="238"/>
      <c r="E112" s="238" t="s">
        <v>523</v>
      </c>
      <c r="I112" s="239" t="s">
        <v>524</v>
      </c>
      <c r="J112" s="240"/>
      <c r="K112" s="241"/>
    </row>
    <row r="113" ht="37.5" customHeight="1">
      <c r="A113" s="237"/>
      <c r="B113" s="238"/>
      <c r="C113" s="238"/>
      <c r="D113" s="238"/>
      <c r="I113" s="242"/>
      <c r="J113" s="243"/>
      <c r="K113" s="241"/>
    </row>
    <row r="114" ht="37.5" customHeight="1">
      <c r="A114" s="237"/>
      <c r="B114" s="238"/>
      <c r="C114" s="244"/>
      <c r="D114" s="244"/>
      <c r="I114" s="239" t="s">
        <v>525</v>
      </c>
      <c r="J114" s="245">
        <f>J96</f>
        <v>46149</v>
      </c>
      <c r="K114" s="241"/>
    </row>
    <row r="115" ht="37.5" customHeight="1">
      <c r="A115" s="237"/>
      <c r="B115" s="243"/>
      <c r="C115" s="242"/>
      <c r="D115" s="242"/>
      <c r="E115" s="242"/>
      <c r="F115" s="242"/>
      <c r="G115" s="243"/>
      <c r="H115" s="242"/>
      <c r="I115" s="242"/>
      <c r="J115" s="242"/>
      <c r="K115" s="241"/>
    </row>
    <row r="116" ht="37.5" customHeight="1">
      <c r="A116" s="246"/>
      <c r="B116" s="247" t="s">
        <v>526</v>
      </c>
      <c r="C116" s="247" t="s">
        <v>0</v>
      </c>
      <c r="D116" s="247" t="s">
        <v>527</v>
      </c>
      <c r="E116" s="247" t="s">
        <v>528</v>
      </c>
      <c r="F116" s="247" t="s">
        <v>529</v>
      </c>
      <c r="G116" s="247" t="s">
        <v>530</v>
      </c>
      <c r="H116" s="247" t="s">
        <v>531</v>
      </c>
      <c r="I116" s="248" t="s">
        <v>532</v>
      </c>
      <c r="J116" s="249"/>
      <c r="K116" s="250"/>
    </row>
    <row r="117" ht="37.5" customHeight="1">
      <c r="A117" s="237"/>
      <c r="B117" s="277"/>
      <c r="C117" s="252"/>
      <c r="D117" s="252"/>
      <c r="E117" s="252"/>
      <c r="F117" s="277"/>
      <c r="G117" s="277"/>
      <c r="H117" s="255"/>
      <c r="I117" s="254"/>
      <c r="J117" s="249"/>
      <c r="K117" s="241"/>
    </row>
    <row r="118" ht="37.5" customHeight="1">
      <c r="A118" s="237"/>
      <c r="B118" s="277"/>
      <c r="C118" s="252"/>
      <c r="D118" s="252"/>
      <c r="E118" s="252"/>
      <c r="F118" s="277"/>
      <c r="G118" s="277"/>
      <c r="H118" s="255"/>
      <c r="I118" s="254"/>
      <c r="J118" s="249"/>
      <c r="K118" s="241"/>
    </row>
    <row r="119" ht="37.5" customHeight="1">
      <c r="A119" s="237"/>
      <c r="B119" s="240"/>
      <c r="C119" s="251"/>
      <c r="D119" s="251"/>
      <c r="E119" s="276"/>
      <c r="F119" s="253"/>
      <c r="G119" s="277"/>
      <c r="H119" s="255"/>
      <c r="I119" s="254"/>
      <c r="J119" s="249"/>
      <c r="K119" s="241"/>
    </row>
    <row r="120" ht="37.5" customHeight="1">
      <c r="A120" s="237"/>
      <c r="B120" s="240"/>
      <c r="C120" s="251"/>
      <c r="D120" s="251"/>
      <c r="E120" s="276"/>
      <c r="F120" s="253"/>
      <c r="G120" s="277"/>
      <c r="H120" s="255"/>
      <c r="I120" s="275"/>
      <c r="J120" s="249"/>
      <c r="K120" s="241"/>
    </row>
    <row r="121" ht="37.5" customHeight="1">
      <c r="A121" s="237"/>
      <c r="B121" s="240"/>
      <c r="C121" s="251"/>
      <c r="D121" s="251"/>
      <c r="E121" s="276"/>
      <c r="F121" s="253"/>
      <c r="G121" s="253"/>
      <c r="H121" s="255"/>
      <c r="I121" s="254"/>
      <c r="J121" s="249"/>
      <c r="K121" s="241"/>
    </row>
    <row r="122" ht="37.5" customHeight="1">
      <c r="A122" s="237"/>
      <c r="B122" s="240"/>
      <c r="C122" s="251"/>
      <c r="D122" s="251"/>
      <c r="E122" s="251"/>
      <c r="F122" s="253"/>
      <c r="G122" s="253"/>
      <c r="H122" s="255"/>
      <c r="I122" s="254"/>
      <c r="J122" s="249"/>
      <c r="K122" s="241"/>
    </row>
    <row r="123" ht="37.5" customHeight="1">
      <c r="A123" s="237"/>
      <c r="B123" s="277"/>
      <c r="C123" s="252"/>
      <c r="D123" s="252"/>
      <c r="E123" s="252"/>
      <c r="F123" s="277"/>
      <c r="G123" s="277"/>
      <c r="H123" s="255"/>
      <c r="I123" s="254"/>
      <c r="J123" s="249"/>
      <c r="K123" s="241"/>
    </row>
    <row r="124" ht="37.5" customHeight="1">
      <c r="A124" s="237"/>
      <c r="B124" s="277"/>
      <c r="C124" s="252"/>
      <c r="D124" s="252"/>
      <c r="E124" s="252"/>
      <c r="F124" s="277"/>
      <c r="G124" s="277"/>
      <c r="H124" s="255"/>
      <c r="I124" s="254"/>
      <c r="J124" s="249"/>
      <c r="K124" s="241"/>
    </row>
    <row r="125" ht="37.5" customHeight="1">
      <c r="A125" s="237"/>
      <c r="B125" s="278"/>
      <c r="C125" s="289"/>
      <c r="D125" s="260"/>
      <c r="E125" s="260"/>
      <c r="F125" s="260"/>
      <c r="G125" s="290"/>
      <c r="H125" s="260"/>
      <c r="I125" s="261"/>
      <c r="J125" s="262"/>
      <c r="K125" s="241"/>
    </row>
    <row r="126" ht="37.5" customHeight="1">
      <c r="A126" s="237"/>
      <c r="B126" s="256"/>
      <c r="C126" s="257"/>
      <c r="D126" s="258"/>
      <c r="E126" s="258"/>
      <c r="F126" s="258"/>
      <c r="G126" s="259"/>
      <c r="H126" s="258"/>
      <c r="I126" s="261"/>
      <c r="J126" s="262"/>
      <c r="K126" s="241"/>
    </row>
    <row r="127" ht="37.5" customHeight="1">
      <c r="A127" s="237"/>
      <c r="B127" s="263"/>
      <c r="C127" s="264"/>
      <c r="D127" s="265"/>
      <c r="E127" s="265"/>
      <c r="F127" s="265"/>
      <c r="G127" s="266"/>
      <c r="H127" s="265"/>
      <c r="I127" s="267"/>
      <c r="J127" s="268"/>
      <c r="K127" s="241"/>
    </row>
    <row r="128" ht="37.5" customHeight="1">
      <c r="A128" s="269"/>
      <c r="B128" s="270"/>
      <c r="C128" s="271"/>
      <c r="D128" s="271"/>
      <c r="E128" s="271"/>
      <c r="F128" s="271"/>
      <c r="G128" s="270"/>
      <c r="H128" s="271"/>
      <c r="I128" s="271"/>
      <c r="J128" s="272"/>
      <c r="K128" s="273"/>
    </row>
    <row r="129" ht="37.5" customHeight="1">
      <c r="A129" s="274"/>
      <c r="B129" s="233"/>
      <c r="C129" s="233"/>
      <c r="D129" s="233"/>
      <c r="E129" s="234"/>
      <c r="F129" s="234"/>
      <c r="G129" s="235"/>
      <c r="H129" s="234"/>
      <c r="I129" s="234"/>
      <c r="J129" s="234"/>
      <c r="K129" s="236"/>
    </row>
    <row r="130" ht="37.5" customHeight="1">
      <c r="A130" s="237"/>
      <c r="B130" s="238"/>
      <c r="C130" s="238"/>
      <c r="D130" s="238"/>
      <c r="E130" s="238" t="s">
        <v>523</v>
      </c>
      <c r="I130" s="239" t="s">
        <v>524</v>
      </c>
      <c r="J130" s="240" t="s">
        <v>38</v>
      </c>
      <c r="K130" s="241"/>
    </row>
    <row r="131" ht="37.5" customHeight="1">
      <c r="A131" s="237"/>
      <c r="B131" s="238"/>
      <c r="C131" s="238"/>
      <c r="D131" s="238"/>
      <c r="I131" s="242"/>
      <c r="J131" s="243"/>
      <c r="K131" s="241"/>
    </row>
    <row r="132" ht="37.5" customHeight="1">
      <c r="A132" s="237"/>
      <c r="B132" s="238"/>
      <c r="C132" s="244"/>
      <c r="D132" s="244"/>
      <c r="I132" s="239" t="s">
        <v>525</v>
      </c>
      <c r="J132" s="245">
        <f>J114</f>
        <v>46149</v>
      </c>
      <c r="K132" s="241"/>
    </row>
    <row r="133" ht="37.5" customHeight="1">
      <c r="A133" s="237"/>
      <c r="B133" s="243"/>
      <c r="C133" s="242"/>
      <c r="D133" s="242"/>
      <c r="E133" s="242"/>
      <c r="F133" s="242"/>
      <c r="G133" s="243"/>
      <c r="H133" s="242"/>
      <c r="I133" s="242"/>
      <c r="J133" s="242"/>
      <c r="K133" s="241"/>
    </row>
    <row r="134" ht="37.5" customHeight="1">
      <c r="A134" s="246"/>
      <c r="B134" s="247" t="s">
        <v>526</v>
      </c>
      <c r="C134" s="247" t="s">
        <v>0</v>
      </c>
      <c r="D134" s="247" t="s">
        <v>527</v>
      </c>
      <c r="E134" s="247" t="s">
        <v>528</v>
      </c>
      <c r="F134" s="247" t="s">
        <v>529</v>
      </c>
      <c r="G134" s="247" t="s">
        <v>530</v>
      </c>
      <c r="H134" s="247" t="s">
        <v>531</v>
      </c>
      <c r="I134" s="248" t="s">
        <v>532</v>
      </c>
      <c r="J134" s="249"/>
      <c r="K134" s="250"/>
    </row>
    <row r="135" ht="37.5" customHeight="1">
      <c r="A135" s="237"/>
      <c r="B135" s="240"/>
      <c r="C135" s="251"/>
      <c r="D135" s="251"/>
      <c r="E135" s="276"/>
      <c r="F135" s="253"/>
      <c r="G135" s="277"/>
      <c r="H135" s="255"/>
      <c r="I135" s="254"/>
      <c r="J135" s="249"/>
      <c r="K135" s="241"/>
    </row>
    <row r="136" ht="37.5" customHeight="1">
      <c r="A136" s="237"/>
      <c r="B136" s="240"/>
      <c r="C136" s="251"/>
      <c r="D136" s="251"/>
      <c r="E136" s="276"/>
      <c r="F136" s="253"/>
      <c r="G136" s="277"/>
      <c r="H136" s="255"/>
      <c r="I136" s="275"/>
      <c r="J136" s="249"/>
      <c r="K136" s="241"/>
    </row>
    <row r="137" ht="37.5" customHeight="1">
      <c r="A137" s="237"/>
      <c r="B137" s="240"/>
      <c r="C137" s="251"/>
      <c r="D137" s="251"/>
      <c r="E137" s="276"/>
      <c r="F137" s="253"/>
      <c r="G137" s="253"/>
      <c r="H137" s="255"/>
      <c r="I137" s="254"/>
      <c r="J137" s="249"/>
      <c r="K137" s="241"/>
    </row>
    <row r="138" ht="37.5" customHeight="1">
      <c r="A138" s="237"/>
      <c r="B138" s="240"/>
      <c r="C138" s="251"/>
      <c r="D138" s="251"/>
      <c r="E138" s="251"/>
      <c r="F138" s="253"/>
      <c r="G138" s="253"/>
      <c r="H138" s="255"/>
      <c r="I138" s="254"/>
      <c r="J138" s="249"/>
      <c r="K138" s="241"/>
    </row>
    <row r="139" ht="37.5" customHeight="1">
      <c r="A139" s="237"/>
      <c r="B139" s="277"/>
      <c r="C139" s="252"/>
      <c r="D139" s="252"/>
      <c r="E139" s="252"/>
      <c r="F139" s="277"/>
      <c r="G139" s="277"/>
      <c r="H139" s="255"/>
      <c r="I139" s="254"/>
      <c r="J139" s="249"/>
      <c r="K139" s="241"/>
    </row>
    <row r="140" ht="37.5" customHeight="1">
      <c r="A140" s="237"/>
      <c r="B140" s="278"/>
      <c r="C140" s="289"/>
      <c r="D140" s="260"/>
      <c r="E140" s="260"/>
      <c r="F140" s="260"/>
      <c r="G140" s="290"/>
      <c r="H140" s="260"/>
      <c r="I140" s="261"/>
      <c r="J140" s="262"/>
      <c r="K140" s="241"/>
    </row>
    <row r="141" ht="37.5" customHeight="1">
      <c r="A141" s="237"/>
      <c r="B141" s="256"/>
      <c r="C141" s="257"/>
      <c r="D141" s="258"/>
      <c r="E141" s="258"/>
      <c r="F141" s="258"/>
      <c r="G141" s="259"/>
      <c r="H141" s="258"/>
      <c r="I141" s="261"/>
      <c r="J141" s="262"/>
      <c r="K141" s="241"/>
    </row>
    <row r="142" ht="37.5" customHeight="1">
      <c r="A142" s="237"/>
      <c r="B142" s="256"/>
      <c r="C142" s="257"/>
      <c r="D142" s="258"/>
      <c r="E142" s="258"/>
      <c r="F142" s="258"/>
      <c r="G142" s="259"/>
      <c r="H142" s="258"/>
      <c r="I142" s="294"/>
      <c r="J142" s="294"/>
      <c r="K142" s="241"/>
    </row>
    <row r="143" ht="37.5" customHeight="1">
      <c r="A143" s="237"/>
      <c r="B143" s="256"/>
      <c r="C143" s="257"/>
      <c r="D143" s="258"/>
      <c r="E143" s="258"/>
      <c r="F143" s="258"/>
      <c r="G143" s="259"/>
      <c r="H143" s="258"/>
      <c r="I143" s="294"/>
      <c r="J143" s="294"/>
      <c r="K143" s="241"/>
    </row>
    <row r="144" ht="37.5" customHeight="1">
      <c r="A144" s="237"/>
      <c r="B144" s="256"/>
      <c r="C144" s="257"/>
      <c r="D144" s="258"/>
      <c r="E144" s="258"/>
      <c r="F144" s="258"/>
      <c r="G144" s="259"/>
      <c r="H144" s="258"/>
      <c r="I144" s="261"/>
      <c r="J144" s="262"/>
      <c r="K144" s="241"/>
    </row>
    <row r="145" ht="37.5" customHeight="1">
      <c r="A145" s="237"/>
      <c r="B145" s="256"/>
      <c r="C145" s="257"/>
      <c r="D145" s="258"/>
      <c r="E145" s="258"/>
      <c r="F145" s="258"/>
      <c r="G145" s="259"/>
      <c r="H145" s="258"/>
      <c r="I145" s="261"/>
      <c r="J145" s="262"/>
      <c r="K145" s="241"/>
    </row>
    <row r="146" ht="37.5" customHeight="1">
      <c r="A146" s="237"/>
      <c r="B146" s="256"/>
      <c r="C146" s="257"/>
      <c r="D146" s="258"/>
      <c r="E146" s="258"/>
      <c r="F146" s="258"/>
      <c r="G146" s="259"/>
      <c r="H146" s="258"/>
      <c r="I146" s="261"/>
      <c r="J146" s="262"/>
      <c r="K146" s="241"/>
    </row>
    <row r="147" ht="37.5" customHeight="1">
      <c r="A147" s="237"/>
      <c r="B147" s="263"/>
      <c r="C147" s="264"/>
      <c r="D147" s="265"/>
      <c r="E147" s="265"/>
      <c r="F147" s="265"/>
      <c r="G147" s="266"/>
      <c r="H147" s="265"/>
      <c r="I147" s="267"/>
      <c r="J147" s="268"/>
      <c r="K147" s="241"/>
    </row>
    <row r="148" ht="37.5" customHeight="1">
      <c r="A148" s="269"/>
      <c r="B148" s="270"/>
      <c r="C148" s="271"/>
      <c r="D148" s="271"/>
      <c r="E148" s="271"/>
      <c r="F148" s="271"/>
      <c r="G148" s="270"/>
      <c r="H148" s="271"/>
      <c r="I148" s="271"/>
      <c r="J148" s="272"/>
      <c r="K148" s="273"/>
    </row>
    <row r="149" ht="37.5" customHeight="1">
      <c r="A149" s="274"/>
      <c r="B149" s="233"/>
      <c r="C149" s="233"/>
      <c r="D149" s="233"/>
      <c r="E149" s="234"/>
      <c r="F149" s="234"/>
      <c r="G149" s="235"/>
      <c r="H149" s="234"/>
      <c r="I149" s="234"/>
      <c r="J149" s="234"/>
      <c r="K149" s="236"/>
    </row>
    <row r="150" ht="37.5" customHeight="1">
      <c r="A150" s="237"/>
      <c r="B150" s="238"/>
      <c r="C150" s="238"/>
      <c r="D150" s="238"/>
      <c r="E150" s="238" t="s">
        <v>523</v>
      </c>
      <c r="I150" s="239" t="s">
        <v>524</v>
      </c>
      <c r="J150" s="240" t="s">
        <v>41</v>
      </c>
      <c r="K150" s="241"/>
    </row>
    <row r="151" ht="37.5" customHeight="1">
      <c r="A151" s="237"/>
      <c r="B151" s="238"/>
      <c r="C151" s="238"/>
      <c r="D151" s="238"/>
      <c r="I151" s="242"/>
      <c r="J151" s="243"/>
      <c r="K151" s="241"/>
    </row>
    <row r="152" ht="37.5" customHeight="1">
      <c r="A152" s="237"/>
      <c r="B152" s="238"/>
      <c r="C152" s="244"/>
      <c r="D152" s="244"/>
      <c r="I152" s="239" t="s">
        <v>525</v>
      </c>
      <c r="J152" s="245">
        <f>J114</f>
        <v>46149</v>
      </c>
      <c r="K152" s="241"/>
    </row>
    <row r="153" ht="37.5" customHeight="1">
      <c r="A153" s="237"/>
      <c r="B153" s="243"/>
      <c r="C153" s="242"/>
      <c r="D153" s="242"/>
      <c r="E153" s="242"/>
      <c r="F153" s="242"/>
      <c r="G153" s="243"/>
      <c r="H153" s="242"/>
      <c r="I153" s="242"/>
      <c r="J153" s="242"/>
      <c r="K153" s="241"/>
    </row>
    <row r="154" ht="37.5" customHeight="1">
      <c r="A154" s="246"/>
      <c r="B154" s="247" t="s">
        <v>526</v>
      </c>
      <c r="C154" s="247" t="s">
        <v>0</v>
      </c>
      <c r="D154" s="247" t="s">
        <v>527</v>
      </c>
      <c r="E154" s="247" t="s">
        <v>528</v>
      </c>
      <c r="F154" s="247" t="s">
        <v>529</v>
      </c>
      <c r="G154" s="247" t="s">
        <v>530</v>
      </c>
      <c r="H154" s="247" t="s">
        <v>531</v>
      </c>
      <c r="I154" s="248" t="s">
        <v>532</v>
      </c>
      <c r="J154" s="249"/>
      <c r="K154" s="250"/>
    </row>
    <row r="155" ht="37.5" customHeight="1">
      <c r="A155" s="237"/>
      <c r="B155" s="240"/>
      <c r="C155" s="251"/>
      <c r="D155" s="251"/>
      <c r="E155" s="276"/>
      <c r="F155" s="253"/>
      <c r="G155" s="277"/>
      <c r="H155" s="255"/>
      <c r="I155" s="254"/>
      <c r="J155" s="249"/>
      <c r="K155" s="241"/>
    </row>
    <row r="156" ht="37.5" customHeight="1">
      <c r="A156" s="237"/>
      <c r="B156" s="240"/>
      <c r="C156" s="251"/>
      <c r="D156" s="251"/>
      <c r="E156" s="276"/>
      <c r="F156" s="253"/>
      <c r="G156" s="277"/>
      <c r="H156" s="255"/>
      <c r="I156" s="275"/>
      <c r="J156" s="249"/>
      <c r="K156" s="241"/>
    </row>
    <row r="157" ht="37.5" customHeight="1">
      <c r="A157" s="237"/>
      <c r="B157" s="240"/>
      <c r="C157" s="251"/>
      <c r="D157" s="251"/>
      <c r="E157" s="276"/>
      <c r="F157" s="253"/>
      <c r="G157" s="253"/>
      <c r="H157" s="255"/>
      <c r="I157" s="254"/>
      <c r="J157" s="249"/>
      <c r="K157" s="241"/>
    </row>
    <row r="158" ht="37.5" customHeight="1">
      <c r="A158" s="237"/>
      <c r="B158" s="240"/>
      <c r="C158" s="251"/>
      <c r="D158" s="251"/>
      <c r="E158" s="251"/>
      <c r="F158" s="253"/>
      <c r="G158" s="253"/>
      <c r="H158" s="255"/>
      <c r="I158" s="254"/>
      <c r="J158" s="249"/>
      <c r="K158" s="241"/>
    </row>
    <row r="159" ht="37.5" customHeight="1">
      <c r="A159" s="237"/>
      <c r="B159" s="277"/>
      <c r="C159" s="252"/>
      <c r="D159" s="252"/>
      <c r="E159" s="252"/>
      <c r="F159" s="277"/>
      <c r="G159" s="277"/>
      <c r="H159" s="255"/>
      <c r="I159" s="254"/>
      <c r="J159" s="249"/>
      <c r="K159" s="241"/>
    </row>
    <row r="160" ht="37.5" customHeight="1">
      <c r="A160" s="237"/>
      <c r="B160" s="278"/>
      <c r="C160" s="289"/>
      <c r="D160" s="260"/>
      <c r="E160" s="260"/>
      <c r="F160" s="260"/>
      <c r="G160" s="290"/>
      <c r="H160" s="260"/>
      <c r="I160" s="261"/>
      <c r="J160" s="262"/>
      <c r="K160" s="241"/>
    </row>
    <row r="161" ht="37.5" customHeight="1">
      <c r="A161" s="237"/>
      <c r="B161" s="256"/>
      <c r="C161" s="257"/>
      <c r="D161" s="258"/>
      <c r="E161" s="258"/>
      <c r="F161" s="258"/>
      <c r="G161" s="259"/>
      <c r="H161" s="258"/>
      <c r="I161" s="261"/>
      <c r="J161" s="262"/>
      <c r="K161" s="241"/>
    </row>
    <row r="162" ht="37.5" customHeight="1">
      <c r="A162" s="237"/>
      <c r="B162" s="256"/>
      <c r="C162" s="257"/>
      <c r="D162" s="258"/>
      <c r="E162" s="258"/>
      <c r="F162" s="258"/>
      <c r="G162" s="259"/>
      <c r="H162" s="258"/>
      <c r="I162" s="261"/>
      <c r="J162" s="262"/>
      <c r="K162" s="241"/>
    </row>
    <row r="163" ht="37.5" customHeight="1">
      <c r="A163" s="237"/>
      <c r="B163" s="256"/>
      <c r="C163" s="257"/>
      <c r="D163" s="258"/>
      <c r="E163" s="258"/>
      <c r="F163" s="258"/>
      <c r="G163" s="259"/>
      <c r="H163" s="258"/>
      <c r="I163" s="261"/>
      <c r="J163" s="262"/>
      <c r="K163" s="241"/>
    </row>
    <row r="164" ht="37.5" customHeight="1">
      <c r="A164" s="237"/>
      <c r="B164" s="256"/>
      <c r="C164" s="257"/>
      <c r="D164" s="258"/>
      <c r="E164" s="258"/>
      <c r="F164" s="258"/>
      <c r="G164" s="259"/>
      <c r="H164" s="258"/>
      <c r="I164" s="261"/>
      <c r="J164" s="262"/>
      <c r="K164" s="241"/>
    </row>
    <row r="165" ht="37.5" customHeight="1">
      <c r="A165" s="237"/>
      <c r="B165" s="263"/>
      <c r="C165" s="264"/>
      <c r="D165" s="265"/>
      <c r="E165" s="265"/>
      <c r="F165" s="265"/>
      <c r="G165" s="266"/>
      <c r="H165" s="265"/>
      <c r="I165" s="267"/>
      <c r="J165" s="268"/>
      <c r="K165" s="241"/>
    </row>
    <row r="166" ht="37.5" customHeight="1">
      <c r="A166" s="269"/>
      <c r="B166" s="270"/>
      <c r="C166" s="271"/>
      <c r="D166" s="271"/>
      <c r="E166" s="271"/>
      <c r="F166" s="271"/>
      <c r="G166" s="270"/>
      <c r="H166" s="271"/>
      <c r="I166" s="271"/>
      <c r="J166" s="272"/>
      <c r="K166" s="273"/>
    </row>
    <row r="167" ht="37.5" customHeight="1">
      <c r="A167" s="274"/>
      <c r="B167" s="233"/>
      <c r="C167" s="233"/>
      <c r="D167" s="233"/>
      <c r="E167" s="234"/>
      <c r="F167" s="234"/>
      <c r="G167" s="235"/>
      <c r="H167" s="234"/>
      <c r="I167" s="234"/>
      <c r="J167" s="234"/>
      <c r="K167" s="236"/>
    </row>
    <row r="168" ht="37.5" customHeight="1">
      <c r="A168" s="237"/>
      <c r="B168" s="238"/>
      <c r="C168" s="238"/>
      <c r="D168" s="238"/>
      <c r="E168" s="238" t="s">
        <v>523</v>
      </c>
      <c r="I168" s="239" t="s">
        <v>524</v>
      </c>
      <c r="J168" s="240"/>
      <c r="K168" s="241"/>
    </row>
    <row r="169" ht="37.5" customHeight="1">
      <c r="A169" s="237"/>
      <c r="B169" s="238"/>
      <c r="C169" s="238"/>
      <c r="D169" s="238"/>
      <c r="I169" s="242"/>
      <c r="J169" s="243"/>
      <c r="K169" s="241"/>
    </row>
    <row r="170" ht="37.5" customHeight="1">
      <c r="A170" s="237"/>
      <c r="B170" s="238"/>
      <c r="C170" s="244"/>
      <c r="D170" s="244"/>
      <c r="I170" s="239" t="s">
        <v>525</v>
      </c>
      <c r="J170" s="245">
        <f>J114</f>
        <v>46149</v>
      </c>
      <c r="K170" s="241"/>
    </row>
    <row r="171" ht="37.5" customHeight="1">
      <c r="A171" s="237"/>
      <c r="B171" s="243"/>
      <c r="C171" s="242"/>
      <c r="D171" s="242"/>
      <c r="E171" s="242"/>
      <c r="F171" s="242"/>
      <c r="G171" s="243"/>
      <c r="H171" s="242"/>
      <c r="I171" s="242"/>
      <c r="J171" s="242"/>
      <c r="K171" s="241"/>
    </row>
    <row r="172" ht="37.5" customHeight="1">
      <c r="A172" s="246"/>
      <c r="B172" s="247" t="s">
        <v>526</v>
      </c>
      <c r="C172" s="247" t="s">
        <v>0</v>
      </c>
      <c r="D172" s="247" t="s">
        <v>527</v>
      </c>
      <c r="E172" s="247" t="s">
        <v>528</v>
      </c>
      <c r="F172" s="247" t="s">
        <v>529</v>
      </c>
      <c r="G172" s="247" t="s">
        <v>530</v>
      </c>
      <c r="H172" s="247" t="s">
        <v>531</v>
      </c>
      <c r="I172" s="248" t="s">
        <v>532</v>
      </c>
      <c r="J172" s="249"/>
      <c r="K172" s="250"/>
    </row>
    <row r="173" ht="37.5" customHeight="1">
      <c r="A173" s="237"/>
      <c r="B173" s="240"/>
      <c r="C173" s="251"/>
      <c r="D173" s="251"/>
      <c r="E173" s="276"/>
      <c r="F173" s="253"/>
      <c r="G173" s="277"/>
      <c r="H173" s="255"/>
      <c r="I173" s="254"/>
      <c r="J173" s="249"/>
      <c r="K173" s="241"/>
    </row>
    <row r="174" ht="37.5" customHeight="1">
      <c r="A174" s="237"/>
      <c r="B174" s="240"/>
      <c r="C174" s="251"/>
      <c r="D174" s="251"/>
      <c r="E174" s="276"/>
      <c r="F174" s="253"/>
      <c r="G174" s="277"/>
      <c r="H174" s="255"/>
      <c r="I174" s="275"/>
      <c r="J174" s="249"/>
      <c r="K174" s="241"/>
    </row>
    <row r="175" ht="37.5" customHeight="1">
      <c r="A175" s="237"/>
      <c r="B175" s="240"/>
      <c r="C175" s="251"/>
      <c r="D175" s="251"/>
      <c r="E175" s="276"/>
      <c r="F175" s="253"/>
      <c r="G175" s="253"/>
      <c r="H175" s="255"/>
      <c r="I175" s="254"/>
      <c r="J175" s="249"/>
      <c r="K175" s="241"/>
    </row>
    <row r="176" ht="37.5" customHeight="1">
      <c r="A176" s="237"/>
      <c r="B176" s="240"/>
      <c r="C176" s="251"/>
      <c r="D176" s="251"/>
      <c r="E176" s="251"/>
      <c r="F176" s="253"/>
      <c r="G176" s="253"/>
      <c r="H176" s="255"/>
      <c r="I176" s="254"/>
      <c r="J176" s="249"/>
      <c r="K176" s="241"/>
    </row>
    <row r="177" ht="37.5" customHeight="1">
      <c r="A177" s="237"/>
      <c r="B177" s="277"/>
      <c r="C177" s="252"/>
      <c r="D177" s="252"/>
      <c r="E177" s="252"/>
      <c r="F177" s="277"/>
      <c r="G177" s="277"/>
      <c r="H177" s="255"/>
      <c r="I177" s="254"/>
      <c r="J177" s="249"/>
      <c r="K177" s="241"/>
    </row>
    <row r="178" ht="37.5" customHeight="1">
      <c r="A178" s="237"/>
      <c r="B178" s="278"/>
      <c r="C178" s="289"/>
      <c r="D178" s="260"/>
      <c r="E178" s="260"/>
      <c r="F178" s="260"/>
      <c r="G178" s="290"/>
      <c r="H178" s="260"/>
      <c r="I178" s="261"/>
      <c r="J178" s="262"/>
      <c r="K178" s="241"/>
    </row>
    <row r="179" ht="37.5" customHeight="1">
      <c r="A179" s="237"/>
      <c r="B179" s="256"/>
      <c r="C179" s="257"/>
      <c r="D179" s="258"/>
      <c r="E179" s="258"/>
      <c r="F179" s="258"/>
      <c r="G179" s="259"/>
      <c r="H179" s="258"/>
      <c r="I179" s="261"/>
      <c r="J179" s="262"/>
      <c r="K179" s="241"/>
    </row>
    <row r="180" ht="37.5" customHeight="1">
      <c r="A180" s="237"/>
      <c r="B180" s="256"/>
      <c r="C180" s="257"/>
      <c r="D180" s="258"/>
      <c r="E180" s="258"/>
      <c r="F180" s="258"/>
      <c r="G180" s="259"/>
      <c r="H180" s="258"/>
      <c r="I180" s="261"/>
      <c r="J180" s="262"/>
      <c r="K180" s="241"/>
    </row>
    <row r="181" ht="37.5" customHeight="1">
      <c r="A181" s="237"/>
      <c r="B181" s="256"/>
      <c r="C181" s="257"/>
      <c r="D181" s="258"/>
      <c r="E181" s="258"/>
      <c r="F181" s="258"/>
      <c r="G181" s="259"/>
      <c r="H181" s="258"/>
      <c r="I181" s="261"/>
      <c r="J181" s="262"/>
      <c r="K181" s="241"/>
    </row>
    <row r="182" ht="37.5" customHeight="1">
      <c r="A182" s="237"/>
      <c r="B182" s="256"/>
      <c r="C182" s="257"/>
      <c r="D182" s="258"/>
      <c r="E182" s="258"/>
      <c r="F182" s="258"/>
      <c r="G182" s="259"/>
      <c r="H182" s="258"/>
      <c r="I182" s="261"/>
      <c r="J182" s="262"/>
      <c r="K182" s="241"/>
    </row>
    <row r="183" ht="37.5" customHeight="1">
      <c r="A183" s="237"/>
      <c r="B183" s="263"/>
      <c r="C183" s="264"/>
      <c r="D183" s="265"/>
      <c r="E183" s="265"/>
      <c r="F183" s="265"/>
      <c r="G183" s="266"/>
      <c r="H183" s="265"/>
      <c r="I183" s="267"/>
      <c r="J183" s="268"/>
      <c r="K183" s="241"/>
    </row>
    <row r="184" ht="37.5" customHeight="1">
      <c r="A184" s="269"/>
      <c r="B184" s="270"/>
      <c r="C184" s="271"/>
      <c r="D184" s="271"/>
      <c r="E184" s="271"/>
      <c r="F184" s="271"/>
      <c r="G184" s="270"/>
      <c r="H184" s="271"/>
      <c r="I184" s="271"/>
      <c r="J184" s="272"/>
      <c r="K184" s="273"/>
    </row>
    <row r="185" ht="37.5" customHeight="1">
      <c r="A185" s="274"/>
      <c r="B185" s="233"/>
      <c r="C185" s="233"/>
      <c r="D185" s="233"/>
      <c r="E185" s="234"/>
      <c r="F185" s="234"/>
      <c r="G185" s="235"/>
      <c r="H185" s="234"/>
      <c r="I185" s="234"/>
      <c r="J185" s="234"/>
      <c r="K185" s="236"/>
    </row>
    <row r="186" ht="37.5" customHeight="1">
      <c r="A186" s="237"/>
      <c r="B186" s="238"/>
      <c r="C186" s="238"/>
      <c r="D186" s="238"/>
      <c r="E186" s="238" t="s">
        <v>523</v>
      </c>
      <c r="I186" s="239" t="s">
        <v>524</v>
      </c>
      <c r="J186" s="240"/>
      <c r="K186" s="241"/>
    </row>
    <row r="187" ht="37.5" customHeight="1">
      <c r="A187" s="237"/>
      <c r="B187" s="238"/>
      <c r="C187" s="238"/>
      <c r="D187" s="238"/>
      <c r="I187" s="242"/>
      <c r="J187" s="243"/>
      <c r="K187" s="241"/>
    </row>
    <row r="188" ht="37.5" customHeight="1">
      <c r="A188" s="237"/>
      <c r="B188" s="238"/>
      <c r="C188" s="244"/>
      <c r="D188" s="244"/>
      <c r="I188" s="239" t="s">
        <v>525</v>
      </c>
      <c r="J188" s="245">
        <f>J114</f>
        <v>46149</v>
      </c>
      <c r="K188" s="241"/>
    </row>
    <row r="189" ht="37.5" customHeight="1">
      <c r="A189" s="237"/>
      <c r="B189" s="243"/>
      <c r="C189" s="242"/>
      <c r="D189" s="242"/>
      <c r="E189" s="242"/>
      <c r="F189" s="242"/>
      <c r="G189" s="243"/>
      <c r="H189" s="242"/>
      <c r="I189" s="242"/>
      <c r="J189" s="242"/>
      <c r="K189" s="241"/>
    </row>
    <row r="190" ht="37.5" customHeight="1">
      <c r="A190" s="246"/>
      <c r="B190" s="247" t="s">
        <v>526</v>
      </c>
      <c r="C190" s="247" t="s">
        <v>0</v>
      </c>
      <c r="D190" s="247" t="s">
        <v>527</v>
      </c>
      <c r="E190" s="247" t="s">
        <v>528</v>
      </c>
      <c r="F190" s="247" t="s">
        <v>529</v>
      </c>
      <c r="G190" s="247" t="s">
        <v>530</v>
      </c>
      <c r="H190" s="247" t="s">
        <v>531</v>
      </c>
      <c r="I190" s="248" t="s">
        <v>532</v>
      </c>
      <c r="J190" s="249"/>
      <c r="K190" s="250"/>
    </row>
    <row r="191" ht="37.5" customHeight="1">
      <c r="A191" s="237"/>
      <c r="B191" s="240"/>
      <c r="C191" s="251"/>
      <c r="D191" s="251"/>
      <c r="E191" s="276"/>
      <c r="F191" s="253"/>
      <c r="G191" s="277"/>
      <c r="H191" s="255"/>
      <c r="I191" s="254"/>
      <c r="J191" s="249"/>
      <c r="K191" s="241"/>
    </row>
    <row r="192" ht="37.5" customHeight="1">
      <c r="A192" s="237"/>
      <c r="B192" s="240"/>
      <c r="C192" s="251"/>
      <c r="D192" s="251"/>
      <c r="E192" s="276"/>
      <c r="F192" s="253"/>
      <c r="G192" s="277"/>
      <c r="H192" s="255"/>
      <c r="I192" s="275"/>
      <c r="J192" s="249"/>
      <c r="K192" s="241"/>
    </row>
    <row r="193" ht="37.5" customHeight="1">
      <c r="A193" s="237"/>
      <c r="B193" s="240"/>
      <c r="C193" s="251"/>
      <c r="D193" s="251"/>
      <c r="E193" s="276"/>
      <c r="F193" s="253"/>
      <c r="G193" s="253"/>
      <c r="H193" s="255"/>
      <c r="I193" s="254"/>
      <c r="J193" s="249"/>
      <c r="K193" s="241"/>
    </row>
    <row r="194" ht="37.5" customHeight="1">
      <c r="A194" s="237"/>
      <c r="B194" s="240"/>
      <c r="C194" s="251"/>
      <c r="D194" s="251"/>
      <c r="E194" s="251"/>
      <c r="F194" s="253"/>
      <c r="G194" s="253"/>
      <c r="H194" s="255"/>
      <c r="I194" s="254"/>
      <c r="J194" s="249"/>
      <c r="K194" s="241"/>
    </row>
    <row r="195" ht="37.5" customHeight="1">
      <c r="A195" s="237"/>
      <c r="B195" s="277"/>
      <c r="C195" s="252"/>
      <c r="D195" s="252"/>
      <c r="E195" s="252"/>
      <c r="F195" s="277"/>
      <c r="G195" s="277"/>
      <c r="H195" s="255"/>
      <c r="I195" s="254"/>
      <c r="J195" s="249"/>
      <c r="K195" s="241"/>
    </row>
    <row r="196" ht="37.5" customHeight="1">
      <c r="A196" s="237"/>
      <c r="B196" s="278"/>
      <c r="C196" s="289"/>
      <c r="D196" s="260"/>
      <c r="E196" s="260"/>
      <c r="F196" s="260"/>
      <c r="G196" s="290"/>
      <c r="H196" s="260"/>
      <c r="I196" s="261"/>
      <c r="J196" s="262"/>
      <c r="K196" s="241"/>
    </row>
    <row r="197" ht="37.5" customHeight="1">
      <c r="A197" s="237"/>
      <c r="B197" s="256"/>
      <c r="C197" s="257"/>
      <c r="D197" s="258"/>
      <c r="E197" s="258"/>
      <c r="F197" s="258"/>
      <c r="G197" s="259"/>
      <c r="H197" s="258"/>
      <c r="I197" s="261"/>
      <c r="J197" s="262"/>
      <c r="K197" s="241"/>
    </row>
    <row r="198" ht="37.5" customHeight="1">
      <c r="A198" s="237"/>
      <c r="B198" s="256"/>
      <c r="C198" s="257"/>
      <c r="D198" s="258"/>
      <c r="E198" s="258"/>
      <c r="F198" s="258"/>
      <c r="G198" s="259"/>
      <c r="H198" s="258"/>
      <c r="I198" s="261"/>
      <c r="J198" s="262"/>
      <c r="K198" s="241"/>
    </row>
    <row r="199" ht="37.5" customHeight="1">
      <c r="A199" s="237"/>
      <c r="B199" s="256"/>
      <c r="C199" s="257"/>
      <c r="D199" s="258"/>
      <c r="E199" s="258"/>
      <c r="F199" s="258"/>
      <c r="G199" s="259"/>
      <c r="H199" s="258"/>
      <c r="I199" s="261"/>
      <c r="J199" s="262"/>
      <c r="K199" s="241"/>
    </row>
    <row r="200" ht="37.5" customHeight="1">
      <c r="A200" s="237"/>
      <c r="B200" s="256"/>
      <c r="C200" s="257"/>
      <c r="D200" s="258"/>
      <c r="E200" s="258"/>
      <c r="F200" s="258"/>
      <c r="G200" s="259"/>
      <c r="H200" s="258"/>
      <c r="I200" s="261"/>
      <c r="J200" s="262"/>
      <c r="K200" s="241"/>
    </row>
    <row r="201" ht="37.5" customHeight="1">
      <c r="A201" s="237"/>
      <c r="B201" s="263"/>
      <c r="C201" s="264"/>
      <c r="D201" s="265"/>
      <c r="E201" s="265"/>
      <c r="F201" s="265"/>
      <c r="G201" s="266"/>
      <c r="H201" s="265"/>
      <c r="I201" s="267"/>
      <c r="J201" s="268"/>
      <c r="K201" s="241"/>
    </row>
    <row r="202" ht="37.5" customHeight="1">
      <c r="A202" s="269"/>
      <c r="B202" s="270"/>
      <c r="C202" s="271"/>
      <c r="D202" s="271"/>
      <c r="E202" s="271"/>
      <c r="F202" s="271"/>
      <c r="G202" s="270"/>
      <c r="H202" s="271"/>
      <c r="I202" s="271"/>
      <c r="J202" s="272"/>
      <c r="K202" s="273"/>
    </row>
    <row r="203" ht="37.5" customHeight="1">
      <c r="A203" s="242"/>
      <c r="B203" s="243"/>
      <c r="C203" s="242"/>
      <c r="D203" s="242"/>
      <c r="E203" s="242"/>
      <c r="F203" s="242"/>
      <c r="G203" s="243"/>
      <c r="H203" s="242"/>
      <c r="I203" s="242"/>
      <c r="J203" s="242"/>
      <c r="K203" s="242"/>
    </row>
    <row r="204" ht="37.5" customHeight="1">
      <c r="A204" s="242"/>
      <c r="B204" s="243"/>
      <c r="C204" s="242"/>
      <c r="D204" s="242"/>
      <c r="E204" s="242"/>
      <c r="F204" s="242"/>
      <c r="G204" s="243"/>
      <c r="H204" s="242"/>
      <c r="I204" s="242"/>
      <c r="J204" s="242"/>
      <c r="K204" s="242"/>
    </row>
    <row r="205" ht="37.5" customHeight="1">
      <c r="A205" s="242"/>
      <c r="B205" s="243"/>
      <c r="C205" s="242"/>
      <c r="D205" s="242"/>
      <c r="E205" s="242"/>
      <c r="F205" s="242"/>
      <c r="G205" s="243"/>
      <c r="H205" s="242"/>
      <c r="I205" s="242"/>
      <c r="J205" s="242"/>
      <c r="K205" s="242"/>
    </row>
    <row r="206" ht="37.5" customHeight="1">
      <c r="A206" s="242"/>
      <c r="B206" s="243"/>
      <c r="C206" s="242"/>
      <c r="D206" s="242"/>
      <c r="E206" s="242"/>
      <c r="F206" s="242"/>
      <c r="G206" s="243"/>
      <c r="H206" s="242"/>
      <c r="I206" s="242"/>
      <c r="J206" s="242"/>
      <c r="K206" s="242"/>
    </row>
    <row r="207" ht="37.5" customHeight="1">
      <c r="A207" s="242"/>
      <c r="B207" s="243"/>
      <c r="C207" s="242"/>
      <c r="D207" s="242"/>
      <c r="E207" s="242"/>
      <c r="F207" s="242"/>
      <c r="G207" s="243"/>
      <c r="H207" s="242"/>
      <c r="I207" s="242"/>
      <c r="J207" s="242"/>
      <c r="K207" s="242"/>
    </row>
    <row r="208" ht="37.5" customHeight="1">
      <c r="A208" s="242"/>
      <c r="B208" s="243"/>
      <c r="C208" s="242"/>
      <c r="D208" s="242"/>
      <c r="E208" s="242"/>
      <c r="F208" s="242"/>
      <c r="G208" s="243"/>
      <c r="H208" s="242"/>
      <c r="I208" s="242"/>
      <c r="J208" s="242"/>
      <c r="K208" s="242"/>
    </row>
    <row r="209" ht="37.5" customHeight="1">
      <c r="A209" s="242"/>
      <c r="B209" s="243"/>
      <c r="C209" s="242"/>
      <c r="D209" s="242"/>
      <c r="E209" s="242"/>
      <c r="F209" s="242"/>
      <c r="G209" s="243"/>
      <c r="H209" s="242"/>
      <c r="I209" s="242"/>
      <c r="J209" s="242"/>
      <c r="K209" s="242"/>
    </row>
    <row r="210" ht="37.5" customHeight="1">
      <c r="A210" s="242"/>
      <c r="B210" s="243"/>
      <c r="C210" s="242"/>
      <c r="D210" s="242"/>
      <c r="E210" s="242"/>
      <c r="F210" s="242"/>
      <c r="G210" s="243"/>
      <c r="H210" s="242"/>
      <c r="I210" s="242"/>
      <c r="J210" s="242"/>
      <c r="K210" s="242"/>
    </row>
    <row r="211" ht="37.5" customHeight="1">
      <c r="A211" s="242"/>
      <c r="B211" s="243"/>
      <c r="C211" s="242"/>
      <c r="D211" s="242"/>
      <c r="E211" s="242"/>
      <c r="F211" s="242"/>
      <c r="G211" s="243"/>
      <c r="H211" s="242"/>
      <c r="I211" s="242"/>
      <c r="J211" s="242"/>
      <c r="K211" s="242"/>
    </row>
    <row r="212" ht="37.5" customHeight="1">
      <c r="A212" s="242"/>
      <c r="B212" s="243"/>
      <c r="C212" s="242"/>
      <c r="D212" s="242"/>
      <c r="E212" s="242"/>
      <c r="F212" s="242"/>
      <c r="G212" s="243"/>
      <c r="H212" s="242"/>
      <c r="I212" s="242"/>
      <c r="J212" s="242"/>
      <c r="K212" s="242"/>
    </row>
    <row r="213" ht="37.5" customHeight="1">
      <c r="A213" s="242"/>
      <c r="B213" s="243"/>
      <c r="C213" s="242"/>
      <c r="D213" s="242"/>
      <c r="E213" s="242"/>
      <c r="F213" s="242"/>
      <c r="G213" s="243"/>
      <c r="H213" s="242"/>
      <c r="I213" s="242"/>
      <c r="J213" s="242"/>
      <c r="K213" s="242"/>
    </row>
    <row r="214" ht="37.5" customHeight="1">
      <c r="A214" s="242"/>
      <c r="B214" s="243"/>
      <c r="C214" s="242"/>
      <c r="D214" s="242"/>
      <c r="E214" s="242"/>
      <c r="F214" s="242"/>
      <c r="G214" s="243"/>
      <c r="H214" s="242"/>
      <c r="I214" s="242"/>
      <c r="J214" s="242"/>
      <c r="K214" s="242"/>
    </row>
    <row r="215" ht="37.5" customHeight="1">
      <c r="A215" s="242"/>
      <c r="B215" s="243"/>
      <c r="C215" s="242"/>
      <c r="D215" s="242"/>
      <c r="E215" s="242"/>
      <c r="F215" s="242"/>
      <c r="G215" s="243"/>
      <c r="H215" s="242"/>
      <c r="I215" s="242"/>
      <c r="J215" s="242"/>
      <c r="K215" s="242"/>
    </row>
    <row r="216" ht="37.5" customHeight="1">
      <c r="A216" s="242"/>
      <c r="B216" s="243"/>
      <c r="C216" s="242"/>
      <c r="D216" s="242"/>
      <c r="E216" s="242"/>
      <c r="F216" s="242"/>
      <c r="G216" s="243"/>
      <c r="H216" s="242"/>
      <c r="I216" s="242"/>
      <c r="J216" s="242"/>
      <c r="K216" s="242"/>
    </row>
    <row r="217" ht="37.5" customHeight="1">
      <c r="A217" s="242"/>
      <c r="B217" s="243"/>
      <c r="C217" s="242"/>
      <c r="D217" s="242"/>
      <c r="E217" s="242"/>
      <c r="F217" s="242"/>
      <c r="G217" s="243"/>
      <c r="H217" s="242"/>
      <c r="I217" s="242"/>
      <c r="J217" s="242"/>
      <c r="K217" s="242"/>
    </row>
    <row r="218" ht="37.5" customHeight="1">
      <c r="A218" s="242"/>
      <c r="B218" s="243"/>
      <c r="C218" s="242"/>
      <c r="D218" s="242"/>
      <c r="E218" s="242"/>
      <c r="F218" s="242"/>
      <c r="G218" s="243"/>
      <c r="H218" s="242"/>
      <c r="I218" s="242"/>
      <c r="J218" s="242"/>
      <c r="K218" s="242"/>
    </row>
    <row r="219" ht="37.5" customHeight="1">
      <c r="A219" s="242"/>
      <c r="B219" s="243"/>
      <c r="C219" s="242"/>
      <c r="D219" s="242"/>
      <c r="E219" s="242"/>
      <c r="F219" s="242"/>
      <c r="G219" s="243"/>
      <c r="H219" s="242"/>
      <c r="I219" s="242"/>
      <c r="J219" s="242"/>
      <c r="K219" s="242"/>
    </row>
    <row r="220" ht="37.5" customHeight="1">
      <c r="A220" s="242"/>
      <c r="B220" s="243"/>
      <c r="C220" s="242"/>
      <c r="D220" s="242"/>
      <c r="E220" s="242"/>
      <c r="F220" s="242"/>
      <c r="G220" s="243"/>
      <c r="H220" s="242"/>
      <c r="I220" s="242"/>
      <c r="J220" s="242"/>
      <c r="K220" s="242"/>
    </row>
    <row r="221" ht="37.5" customHeight="1">
      <c r="A221" s="242"/>
      <c r="B221" s="243"/>
      <c r="C221" s="242"/>
      <c r="D221" s="242"/>
      <c r="E221" s="242"/>
      <c r="F221" s="242"/>
      <c r="G221" s="243"/>
      <c r="H221" s="242"/>
      <c r="I221" s="242"/>
      <c r="J221" s="242"/>
      <c r="K221" s="242"/>
    </row>
    <row r="222" ht="37.5" customHeight="1">
      <c r="A222" s="242"/>
      <c r="B222" s="243"/>
      <c r="C222" s="242"/>
      <c r="D222" s="242"/>
      <c r="E222" s="242"/>
      <c r="F222" s="242"/>
      <c r="G222" s="243"/>
      <c r="H222" s="242"/>
      <c r="I222" s="242"/>
      <c r="J222" s="242"/>
      <c r="K222" s="242"/>
    </row>
    <row r="223" ht="37.5" customHeight="1">
      <c r="A223" s="242"/>
      <c r="B223" s="243"/>
      <c r="C223" s="242"/>
      <c r="D223" s="242"/>
      <c r="E223" s="242"/>
      <c r="F223" s="242"/>
      <c r="G223" s="243"/>
      <c r="H223" s="242"/>
      <c r="I223" s="242"/>
      <c r="J223" s="242"/>
      <c r="K223" s="242"/>
    </row>
    <row r="224" ht="37.5" customHeight="1">
      <c r="A224" s="242"/>
      <c r="B224" s="243"/>
      <c r="C224" s="242"/>
      <c r="D224" s="242"/>
      <c r="E224" s="242"/>
      <c r="F224" s="242"/>
      <c r="G224" s="243"/>
      <c r="H224" s="242"/>
      <c r="I224" s="242"/>
      <c r="J224" s="242"/>
      <c r="K224" s="242"/>
    </row>
    <row r="225" ht="37.5" customHeight="1">
      <c r="A225" s="242"/>
      <c r="B225" s="243"/>
      <c r="C225" s="242"/>
      <c r="D225" s="242"/>
      <c r="E225" s="242"/>
      <c r="F225" s="242"/>
      <c r="G225" s="243"/>
      <c r="H225" s="242"/>
      <c r="I225" s="242"/>
      <c r="J225" s="242"/>
      <c r="K225" s="242"/>
    </row>
    <row r="226" ht="37.5" customHeight="1">
      <c r="A226" s="242"/>
      <c r="B226" s="243"/>
      <c r="C226" s="242"/>
      <c r="D226" s="242"/>
      <c r="E226" s="242"/>
      <c r="F226" s="242"/>
      <c r="G226" s="243"/>
      <c r="H226" s="242"/>
      <c r="I226" s="242"/>
      <c r="J226" s="242"/>
      <c r="K226" s="242"/>
    </row>
    <row r="227" ht="37.5" customHeight="1">
      <c r="A227" s="242"/>
      <c r="B227" s="243"/>
      <c r="C227" s="242"/>
      <c r="D227" s="242"/>
      <c r="E227" s="242"/>
      <c r="F227" s="242"/>
      <c r="G227" s="243"/>
      <c r="H227" s="242"/>
      <c r="I227" s="242"/>
      <c r="J227" s="242"/>
      <c r="K227" s="242"/>
    </row>
    <row r="228" ht="37.5" customHeight="1">
      <c r="A228" s="242"/>
      <c r="B228" s="243"/>
      <c r="C228" s="242"/>
      <c r="D228" s="242"/>
      <c r="E228" s="242"/>
      <c r="F228" s="242"/>
      <c r="G228" s="243"/>
      <c r="H228" s="242"/>
      <c r="I228" s="242"/>
      <c r="J228" s="242"/>
      <c r="K228" s="242"/>
    </row>
    <row r="229" ht="37.5" customHeight="1">
      <c r="A229" s="242"/>
      <c r="B229" s="243"/>
      <c r="C229" s="242"/>
      <c r="D229" s="242"/>
      <c r="E229" s="242"/>
      <c r="F229" s="242"/>
      <c r="G229" s="243"/>
      <c r="H229" s="242"/>
      <c r="I229" s="242"/>
      <c r="J229" s="242"/>
      <c r="K229" s="242"/>
    </row>
    <row r="230" ht="37.5" customHeight="1">
      <c r="A230" s="242"/>
      <c r="B230" s="243"/>
      <c r="C230" s="242"/>
      <c r="D230" s="242"/>
      <c r="E230" s="242"/>
      <c r="F230" s="242"/>
      <c r="G230" s="243"/>
      <c r="H230" s="242"/>
      <c r="I230" s="242"/>
      <c r="J230" s="242"/>
      <c r="K230" s="242"/>
    </row>
    <row r="231" ht="37.5" customHeight="1">
      <c r="A231" s="242"/>
      <c r="B231" s="243"/>
      <c r="C231" s="242"/>
      <c r="D231" s="242"/>
      <c r="E231" s="242"/>
      <c r="F231" s="242"/>
      <c r="G231" s="243"/>
      <c r="H231" s="242"/>
      <c r="I231" s="242"/>
      <c r="J231" s="242"/>
      <c r="K231" s="242"/>
    </row>
    <row r="232" ht="37.5" customHeight="1">
      <c r="A232" s="242"/>
      <c r="B232" s="243"/>
      <c r="C232" s="242"/>
      <c r="D232" s="242"/>
      <c r="E232" s="242"/>
      <c r="F232" s="242"/>
      <c r="G232" s="243"/>
      <c r="H232" s="242"/>
      <c r="I232" s="242"/>
      <c r="J232" s="242"/>
      <c r="K232" s="242"/>
    </row>
    <row r="233" ht="37.5" customHeight="1">
      <c r="A233" s="242"/>
      <c r="B233" s="243"/>
      <c r="C233" s="242"/>
      <c r="D233" s="242"/>
      <c r="E233" s="242"/>
      <c r="F233" s="242"/>
      <c r="G233" s="243"/>
      <c r="H233" s="242"/>
      <c r="I233" s="242"/>
      <c r="J233" s="242"/>
      <c r="K233" s="242"/>
    </row>
    <row r="234" ht="37.5" customHeight="1">
      <c r="A234" s="242"/>
      <c r="B234" s="243"/>
      <c r="C234" s="242"/>
      <c r="D234" s="242"/>
      <c r="E234" s="242"/>
      <c r="F234" s="242"/>
      <c r="G234" s="243"/>
      <c r="H234" s="242"/>
      <c r="I234" s="242"/>
      <c r="J234" s="242"/>
      <c r="K234" s="242"/>
    </row>
    <row r="235" ht="37.5" customHeight="1">
      <c r="A235" s="242"/>
      <c r="B235" s="243"/>
      <c r="C235" s="242"/>
      <c r="D235" s="242"/>
      <c r="E235" s="242"/>
      <c r="F235" s="242"/>
      <c r="G235" s="243"/>
      <c r="H235" s="242"/>
      <c r="I235" s="242"/>
      <c r="J235" s="242"/>
      <c r="K235" s="242"/>
    </row>
    <row r="236" ht="37.5" customHeight="1">
      <c r="A236" s="242"/>
      <c r="B236" s="243"/>
      <c r="C236" s="242"/>
      <c r="D236" s="242"/>
      <c r="E236" s="242"/>
      <c r="F236" s="242"/>
      <c r="G236" s="243"/>
      <c r="H236" s="242"/>
      <c r="I236" s="242"/>
      <c r="J236" s="242"/>
      <c r="K236" s="242"/>
    </row>
    <row r="237" ht="37.5" customHeight="1">
      <c r="A237" s="242"/>
      <c r="B237" s="243"/>
      <c r="C237" s="242"/>
      <c r="D237" s="242"/>
      <c r="E237" s="242"/>
      <c r="F237" s="242"/>
      <c r="G237" s="243"/>
      <c r="H237" s="242"/>
      <c r="I237" s="242"/>
      <c r="J237" s="242"/>
      <c r="K237" s="242"/>
    </row>
    <row r="238" ht="37.5" customHeight="1">
      <c r="A238" s="242"/>
      <c r="B238" s="243"/>
      <c r="C238" s="242"/>
      <c r="D238" s="242"/>
      <c r="E238" s="242"/>
      <c r="F238" s="242"/>
      <c r="G238" s="243"/>
      <c r="H238" s="242"/>
      <c r="I238" s="242"/>
      <c r="J238" s="242"/>
      <c r="K238" s="242"/>
    </row>
    <row r="239" ht="37.5" customHeight="1">
      <c r="A239" s="242"/>
      <c r="B239" s="243"/>
      <c r="C239" s="242"/>
      <c r="D239" s="242"/>
      <c r="E239" s="242"/>
      <c r="F239" s="242"/>
      <c r="G239" s="243"/>
      <c r="H239" s="242"/>
      <c r="I239" s="242"/>
      <c r="J239" s="242"/>
      <c r="K239" s="242"/>
    </row>
    <row r="240" ht="37.5" customHeight="1">
      <c r="A240" s="242"/>
      <c r="B240" s="243"/>
      <c r="C240" s="242"/>
      <c r="D240" s="242"/>
      <c r="E240" s="242"/>
      <c r="F240" s="242"/>
      <c r="G240" s="243"/>
      <c r="H240" s="242"/>
      <c r="I240" s="242"/>
      <c r="J240" s="242"/>
      <c r="K240" s="242"/>
    </row>
    <row r="241" ht="37.5" customHeight="1">
      <c r="A241" s="242"/>
      <c r="B241" s="243"/>
      <c r="C241" s="242"/>
      <c r="D241" s="242"/>
      <c r="E241" s="242"/>
      <c r="F241" s="242"/>
      <c r="G241" s="243"/>
      <c r="H241" s="242"/>
      <c r="I241" s="242"/>
      <c r="J241" s="242"/>
      <c r="K241" s="242"/>
    </row>
    <row r="242" ht="37.5" customHeight="1">
      <c r="A242" s="242"/>
      <c r="B242" s="243"/>
      <c r="C242" s="242"/>
      <c r="D242" s="242"/>
      <c r="E242" s="242"/>
      <c r="F242" s="242"/>
      <c r="G242" s="243"/>
      <c r="H242" s="242"/>
      <c r="I242" s="242"/>
      <c r="J242" s="242"/>
      <c r="K242" s="242"/>
    </row>
    <row r="243" ht="37.5" customHeight="1">
      <c r="A243" s="242"/>
      <c r="B243" s="243"/>
      <c r="C243" s="242"/>
      <c r="D243" s="242"/>
      <c r="E243" s="242"/>
      <c r="F243" s="242"/>
      <c r="G243" s="243"/>
      <c r="H243" s="242"/>
      <c r="I243" s="242"/>
      <c r="J243" s="242"/>
      <c r="K243" s="242"/>
    </row>
    <row r="244" ht="37.5" customHeight="1">
      <c r="A244" s="242"/>
      <c r="B244" s="243"/>
      <c r="C244" s="242"/>
      <c r="D244" s="242"/>
      <c r="E244" s="242"/>
      <c r="F244" s="242"/>
      <c r="G244" s="243"/>
      <c r="H244" s="242"/>
      <c r="I244" s="242"/>
      <c r="J244" s="242"/>
      <c r="K244" s="242"/>
    </row>
    <row r="245" ht="37.5" customHeight="1">
      <c r="A245" s="242"/>
      <c r="B245" s="243"/>
      <c r="C245" s="242"/>
      <c r="D245" s="242"/>
      <c r="E245" s="242"/>
      <c r="F245" s="242"/>
      <c r="G245" s="243"/>
      <c r="H245" s="242"/>
      <c r="I245" s="242"/>
      <c r="J245" s="242"/>
      <c r="K245" s="242"/>
    </row>
    <row r="246" ht="37.5" customHeight="1">
      <c r="A246" s="242"/>
      <c r="B246" s="243"/>
      <c r="C246" s="242"/>
      <c r="D246" s="242"/>
      <c r="E246" s="242"/>
      <c r="F246" s="242"/>
      <c r="G246" s="243"/>
      <c r="H246" s="242"/>
      <c r="I246" s="242"/>
      <c r="J246" s="242"/>
      <c r="K246" s="242"/>
    </row>
    <row r="247" ht="37.5" customHeight="1">
      <c r="A247" s="242"/>
      <c r="B247" s="243"/>
      <c r="C247" s="242"/>
      <c r="D247" s="242"/>
      <c r="E247" s="242"/>
      <c r="F247" s="242"/>
      <c r="G247" s="243"/>
      <c r="H247" s="242"/>
      <c r="I247" s="242"/>
      <c r="J247" s="242"/>
      <c r="K247" s="242"/>
    </row>
    <row r="248" ht="37.5" customHeight="1">
      <c r="A248" s="242"/>
      <c r="B248" s="243"/>
      <c r="C248" s="242"/>
      <c r="D248" s="242"/>
      <c r="E248" s="242"/>
      <c r="F248" s="242"/>
      <c r="G248" s="243"/>
      <c r="H248" s="242"/>
      <c r="I248" s="242"/>
      <c r="J248" s="242"/>
      <c r="K248" s="242"/>
    </row>
    <row r="249" ht="37.5" customHeight="1">
      <c r="A249" s="242"/>
      <c r="B249" s="243"/>
      <c r="C249" s="242"/>
      <c r="D249" s="242"/>
      <c r="E249" s="242"/>
      <c r="F249" s="242"/>
      <c r="G249" s="243"/>
      <c r="H249" s="242"/>
      <c r="I249" s="242"/>
      <c r="J249" s="242"/>
      <c r="K249" s="242"/>
    </row>
    <row r="250" ht="37.5" customHeight="1">
      <c r="A250" s="242"/>
      <c r="B250" s="243"/>
      <c r="C250" s="242"/>
      <c r="D250" s="242"/>
      <c r="E250" s="242"/>
      <c r="F250" s="242"/>
      <c r="G250" s="243"/>
      <c r="H250" s="242"/>
      <c r="I250" s="242"/>
      <c r="J250" s="242"/>
      <c r="K250" s="242"/>
    </row>
    <row r="251" ht="37.5" customHeight="1">
      <c r="A251" s="242"/>
      <c r="B251" s="243"/>
      <c r="C251" s="242"/>
      <c r="D251" s="242"/>
      <c r="E251" s="242"/>
      <c r="F251" s="242"/>
      <c r="G251" s="243"/>
      <c r="H251" s="242"/>
      <c r="I251" s="242"/>
      <c r="J251" s="242"/>
      <c r="K251" s="242"/>
    </row>
    <row r="252" ht="37.5" customHeight="1">
      <c r="A252" s="242"/>
      <c r="B252" s="243"/>
      <c r="C252" s="242"/>
      <c r="D252" s="242"/>
      <c r="E252" s="242"/>
      <c r="F252" s="242"/>
      <c r="G252" s="243"/>
      <c r="H252" s="242"/>
      <c r="I252" s="242"/>
      <c r="J252" s="242"/>
      <c r="K252" s="242"/>
    </row>
    <row r="253" ht="37.5" customHeight="1">
      <c r="A253" s="242"/>
      <c r="B253" s="243"/>
      <c r="C253" s="242"/>
      <c r="D253" s="242"/>
      <c r="E253" s="242"/>
      <c r="F253" s="242"/>
      <c r="G253" s="243"/>
      <c r="H253" s="242"/>
      <c r="I253" s="242"/>
      <c r="J253" s="242"/>
      <c r="K253" s="242"/>
    </row>
    <row r="254" ht="37.5" customHeight="1">
      <c r="A254" s="242"/>
      <c r="B254" s="243"/>
      <c r="C254" s="242"/>
      <c r="D254" s="242"/>
      <c r="E254" s="242"/>
      <c r="F254" s="242"/>
      <c r="G254" s="243"/>
      <c r="H254" s="242"/>
      <c r="I254" s="242"/>
      <c r="J254" s="242"/>
      <c r="K254" s="242"/>
    </row>
    <row r="255" ht="37.5" customHeight="1">
      <c r="A255" s="242"/>
      <c r="B255" s="243"/>
      <c r="C255" s="242"/>
      <c r="D255" s="242"/>
      <c r="E255" s="242"/>
      <c r="F255" s="242"/>
      <c r="G255" s="243"/>
      <c r="H255" s="242"/>
      <c r="I255" s="242"/>
      <c r="J255" s="242"/>
      <c r="K255" s="242"/>
    </row>
    <row r="256" ht="37.5" customHeight="1">
      <c r="A256" s="242"/>
      <c r="B256" s="243"/>
      <c r="C256" s="242"/>
      <c r="D256" s="242"/>
      <c r="E256" s="242"/>
      <c r="F256" s="242"/>
      <c r="G256" s="243"/>
      <c r="H256" s="242"/>
      <c r="I256" s="242"/>
      <c r="J256" s="242"/>
      <c r="K256" s="242"/>
    </row>
    <row r="257" ht="37.5" customHeight="1">
      <c r="A257" s="242"/>
      <c r="B257" s="243"/>
      <c r="C257" s="242"/>
      <c r="D257" s="242"/>
      <c r="E257" s="242"/>
      <c r="F257" s="242"/>
      <c r="G257" s="243"/>
      <c r="H257" s="242"/>
      <c r="I257" s="242"/>
      <c r="J257" s="242"/>
      <c r="K257" s="242"/>
    </row>
    <row r="258" ht="37.5" customHeight="1">
      <c r="A258" s="242"/>
      <c r="B258" s="243"/>
      <c r="C258" s="242"/>
      <c r="D258" s="242"/>
      <c r="E258" s="242"/>
      <c r="F258" s="242"/>
      <c r="G258" s="243"/>
      <c r="H258" s="242"/>
      <c r="I258" s="242"/>
      <c r="J258" s="242"/>
      <c r="K258" s="242"/>
    </row>
    <row r="259" ht="37.5" customHeight="1">
      <c r="A259" s="242"/>
      <c r="B259" s="243"/>
      <c r="C259" s="242"/>
      <c r="D259" s="242"/>
      <c r="E259" s="242"/>
      <c r="F259" s="242"/>
      <c r="G259" s="243"/>
      <c r="H259" s="242"/>
      <c r="I259" s="242"/>
      <c r="J259" s="242"/>
      <c r="K259" s="242"/>
    </row>
    <row r="260" ht="37.5" customHeight="1">
      <c r="A260" s="242"/>
      <c r="B260" s="243"/>
      <c r="C260" s="242"/>
      <c r="D260" s="242"/>
      <c r="E260" s="242"/>
      <c r="F260" s="242"/>
      <c r="G260" s="243"/>
      <c r="H260" s="242"/>
      <c r="I260" s="242"/>
      <c r="J260" s="242"/>
      <c r="K260" s="242"/>
    </row>
    <row r="261" ht="37.5" customHeight="1">
      <c r="A261" s="242"/>
      <c r="B261" s="243"/>
      <c r="C261" s="242"/>
      <c r="D261" s="242"/>
      <c r="E261" s="242"/>
      <c r="F261" s="242"/>
      <c r="G261" s="243"/>
      <c r="H261" s="242"/>
      <c r="I261" s="242"/>
      <c r="J261" s="242"/>
      <c r="K261" s="242"/>
    </row>
    <row r="262" ht="37.5" customHeight="1">
      <c r="A262" s="242"/>
      <c r="B262" s="243"/>
      <c r="C262" s="242"/>
      <c r="D262" s="242"/>
      <c r="E262" s="242"/>
      <c r="F262" s="242"/>
      <c r="G262" s="243"/>
      <c r="H262" s="242"/>
      <c r="I262" s="242"/>
      <c r="J262" s="242"/>
      <c r="K262" s="242"/>
    </row>
    <row r="263" ht="37.5" customHeight="1">
      <c r="A263" s="242"/>
      <c r="B263" s="243"/>
      <c r="C263" s="242"/>
      <c r="D263" s="242"/>
      <c r="E263" s="242"/>
      <c r="F263" s="242"/>
      <c r="G263" s="243"/>
      <c r="H263" s="242"/>
      <c r="I263" s="242"/>
      <c r="J263" s="242"/>
      <c r="K263" s="242"/>
    </row>
    <row r="264" ht="37.5" customHeight="1">
      <c r="A264" s="242"/>
      <c r="B264" s="243"/>
      <c r="C264" s="242"/>
      <c r="D264" s="242"/>
      <c r="E264" s="242"/>
      <c r="F264" s="242"/>
      <c r="G264" s="243"/>
      <c r="H264" s="242"/>
      <c r="I264" s="242"/>
      <c r="J264" s="242"/>
      <c r="K264" s="242"/>
    </row>
    <row r="265" ht="37.5" customHeight="1">
      <c r="A265" s="242"/>
      <c r="B265" s="243"/>
      <c r="C265" s="242"/>
      <c r="D265" s="242"/>
      <c r="E265" s="242"/>
      <c r="F265" s="242"/>
      <c r="G265" s="243"/>
      <c r="H265" s="242"/>
      <c r="I265" s="242"/>
      <c r="J265" s="242"/>
      <c r="K265" s="242"/>
    </row>
    <row r="266" ht="37.5" customHeight="1">
      <c r="A266" s="242"/>
      <c r="B266" s="243"/>
      <c r="C266" s="242"/>
      <c r="D266" s="242"/>
      <c r="E266" s="242"/>
      <c r="F266" s="242"/>
      <c r="G266" s="243"/>
      <c r="H266" s="242"/>
      <c r="I266" s="242"/>
      <c r="J266" s="242"/>
      <c r="K266" s="242"/>
    </row>
    <row r="267" ht="37.5" customHeight="1">
      <c r="A267" s="242"/>
      <c r="B267" s="243"/>
      <c r="C267" s="242"/>
      <c r="D267" s="242"/>
      <c r="E267" s="242"/>
      <c r="F267" s="242"/>
      <c r="G267" s="243"/>
      <c r="H267" s="242"/>
      <c r="I267" s="242"/>
      <c r="J267" s="242"/>
      <c r="K267" s="242"/>
    </row>
    <row r="268" ht="37.5" customHeight="1">
      <c r="A268" s="242"/>
      <c r="B268" s="243"/>
      <c r="C268" s="242"/>
      <c r="D268" s="242"/>
      <c r="E268" s="242"/>
      <c r="F268" s="242"/>
      <c r="G268" s="243"/>
      <c r="H268" s="242"/>
      <c r="I268" s="242"/>
      <c r="J268" s="242"/>
      <c r="K268" s="242"/>
    </row>
    <row r="269" ht="37.5" customHeight="1">
      <c r="A269" s="242"/>
      <c r="B269" s="243"/>
      <c r="C269" s="242"/>
      <c r="D269" s="242"/>
      <c r="E269" s="242"/>
      <c r="F269" s="242"/>
      <c r="G269" s="243"/>
      <c r="H269" s="242"/>
      <c r="I269" s="242"/>
      <c r="J269" s="242"/>
      <c r="K269" s="242"/>
    </row>
    <row r="270" ht="37.5" customHeight="1">
      <c r="A270" s="242"/>
      <c r="B270" s="243"/>
      <c r="C270" s="242"/>
      <c r="D270" s="242"/>
      <c r="E270" s="242"/>
      <c r="F270" s="242"/>
      <c r="G270" s="243"/>
      <c r="H270" s="242"/>
      <c r="I270" s="242"/>
      <c r="J270" s="242"/>
      <c r="K270" s="242"/>
    </row>
    <row r="271" ht="37.5" customHeight="1">
      <c r="A271" s="242"/>
      <c r="B271" s="243"/>
      <c r="C271" s="242"/>
      <c r="D271" s="242"/>
      <c r="E271" s="242"/>
      <c r="F271" s="242"/>
      <c r="G271" s="243"/>
      <c r="H271" s="242"/>
      <c r="I271" s="242"/>
      <c r="J271" s="242"/>
      <c r="K271" s="242"/>
    </row>
    <row r="272" ht="37.5" customHeight="1">
      <c r="A272" s="242"/>
      <c r="B272" s="243"/>
      <c r="C272" s="242"/>
      <c r="D272" s="242"/>
      <c r="E272" s="242"/>
      <c r="F272" s="242"/>
      <c r="G272" s="243"/>
      <c r="H272" s="242"/>
      <c r="I272" s="242"/>
      <c r="J272" s="242"/>
      <c r="K272" s="242"/>
    </row>
    <row r="273" ht="37.5" customHeight="1">
      <c r="A273" s="242"/>
      <c r="B273" s="243"/>
      <c r="C273" s="242"/>
      <c r="D273" s="242"/>
      <c r="E273" s="242"/>
      <c r="F273" s="242"/>
      <c r="G273" s="243"/>
      <c r="H273" s="242"/>
      <c r="I273" s="242"/>
      <c r="J273" s="242"/>
      <c r="K273" s="242"/>
    </row>
    <row r="274" ht="37.5" customHeight="1">
      <c r="A274" s="242"/>
      <c r="B274" s="243"/>
      <c r="C274" s="242"/>
      <c r="D274" s="242"/>
      <c r="E274" s="242"/>
      <c r="F274" s="242"/>
      <c r="G274" s="243"/>
      <c r="H274" s="242"/>
      <c r="I274" s="242"/>
      <c r="J274" s="242"/>
      <c r="K274" s="242"/>
    </row>
    <row r="275" ht="37.5" customHeight="1">
      <c r="A275" s="242"/>
      <c r="B275" s="243"/>
      <c r="C275" s="242"/>
      <c r="D275" s="242"/>
      <c r="E275" s="242"/>
      <c r="F275" s="242"/>
      <c r="G275" s="243"/>
      <c r="H275" s="242"/>
      <c r="I275" s="242"/>
      <c r="J275" s="242"/>
      <c r="K275" s="242"/>
    </row>
    <row r="276" ht="37.5" customHeight="1">
      <c r="A276" s="242"/>
      <c r="B276" s="243"/>
      <c r="C276" s="242"/>
      <c r="D276" s="242"/>
      <c r="E276" s="242"/>
      <c r="F276" s="242"/>
      <c r="G276" s="243"/>
      <c r="H276" s="242"/>
      <c r="I276" s="242"/>
      <c r="J276" s="242"/>
      <c r="K276" s="242"/>
    </row>
    <row r="277" ht="37.5" customHeight="1">
      <c r="A277" s="242"/>
      <c r="B277" s="243"/>
      <c r="C277" s="242"/>
      <c r="D277" s="242"/>
      <c r="E277" s="242"/>
      <c r="F277" s="242"/>
      <c r="G277" s="243"/>
      <c r="H277" s="242"/>
      <c r="I277" s="242"/>
      <c r="J277" s="242"/>
      <c r="K277" s="242"/>
    </row>
    <row r="278" ht="37.5" customHeight="1">
      <c r="A278" s="242"/>
      <c r="B278" s="243"/>
      <c r="C278" s="242"/>
      <c r="D278" s="242"/>
      <c r="E278" s="242"/>
      <c r="F278" s="242"/>
      <c r="G278" s="243"/>
      <c r="H278" s="242"/>
      <c r="I278" s="242"/>
      <c r="J278" s="242"/>
      <c r="K278" s="242"/>
    </row>
    <row r="279" ht="37.5" customHeight="1">
      <c r="A279" s="242"/>
      <c r="B279" s="243"/>
      <c r="C279" s="242"/>
      <c r="D279" s="242"/>
      <c r="E279" s="242"/>
      <c r="F279" s="242"/>
      <c r="G279" s="243"/>
      <c r="H279" s="242"/>
      <c r="I279" s="242"/>
      <c r="J279" s="242"/>
      <c r="K279" s="242"/>
    </row>
    <row r="280" ht="37.5" customHeight="1">
      <c r="A280" s="242"/>
      <c r="B280" s="243"/>
      <c r="C280" s="242"/>
      <c r="D280" s="242"/>
      <c r="E280" s="242"/>
      <c r="F280" s="242"/>
      <c r="G280" s="243"/>
      <c r="H280" s="242"/>
      <c r="I280" s="242"/>
      <c r="J280" s="242"/>
      <c r="K280" s="242"/>
    </row>
    <row r="281" ht="37.5" customHeight="1">
      <c r="A281" s="242"/>
      <c r="B281" s="243"/>
      <c r="C281" s="242"/>
      <c r="D281" s="242"/>
      <c r="E281" s="242"/>
      <c r="F281" s="242"/>
      <c r="G281" s="243"/>
      <c r="H281" s="242"/>
      <c r="I281" s="242"/>
      <c r="J281" s="242"/>
      <c r="K281" s="242"/>
    </row>
    <row r="282" ht="37.5" customHeight="1">
      <c r="A282" s="242"/>
      <c r="B282" s="243"/>
      <c r="C282" s="242"/>
      <c r="D282" s="242"/>
      <c r="E282" s="242"/>
      <c r="F282" s="242"/>
      <c r="G282" s="243"/>
      <c r="H282" s="242"/>
      <c r="I282" s="242"/>
      <c r="J282" s="242"/>
      <c r="K282" s="242"/>
    </row>
    <row r="283" ht="37.5" customHeight="1">
      <c r="A283" s="242"/>
      <c r="B283" s="243"/>
      <c r="C283" s="242"/>
      <c r="D283" s="242"/>
      <c r="E283" s="242"/>
      <c r="F283" s="242"/>
      <c r="G283" s="243"/>
      <c r="H283" s="242"/>
      <c r="I283" s="242"/>
      <c r="J283" s="242"/>
      <c r="K283" s="242"/>
    </row>
    <row r="284" ht="37.5" customHeight="1">
      <c r="A284" s="242"/>
      <c r="B284" s="243"/>
      <c r="C284" s="242"/>
      <c r="D284" s="242"/>
      <c r="E284" s="242"/>
      <c r="F284" s="242"/>
      <c r="G284" s="243"/>
      <c r="H284" s="242"/>
      <c r="I284" s="242"/>
      <c r="J284" s="242"/>
      <c r="K284" s="242"/>
    </row>
    <row r="285" ht="37.5" customHeight="1">
      <c r="A285" s="242"/>
      <c r="B285" s="243"/>
      <c r="C285" s="242"/>
      <c r="D285" s="242"/>
      <c r="E285" s="242"/>
      <c r="F285" s="242"/>
      <c r="G285" s="243"/>
      <c r="H285" s="242"/>
      <c r="I285" s="242"/>
      <c r="J285" s="242"/>
      <c r="K285" s="242"/>
    </row>
    <row r="286" ht="37.5" customHeight="1">
      <c r="A286" s="242"/>
      <c r="B286" s="243"/>
      <c r="C286" s="242"/>
      <c r="D286" s="242"/>
      <c r="E286" s="242"/>
      <c r="F286" s="242"/>
      <c r="G286" s="243"/>
      <c r="H286" s="242"/>
      <c r="I286" s="242"/>
      <c r="J286" s="242"/>
      <c r="K286" s="242"/>
    </row>
    <row r="287" ht="37.5" customHeight="1">
      <c r="A287" s="242"/>
      <c r="B287" s="243"/>
      <c r="C287" s="242"/>
      <c r="D287" s="242"/>
      <c r="E287" s="242"/>
      <c r="F287" s="242"/>
      <c r="G287" s="243"/>
      <c r="H287" s="242"/>
      <c r="I287" s="242"/>
      <c r="J287" s="242"/>
      <c r="K287" s="242"/>
    </row>
    <row r="288" ht="37.5" customHeight="1">
      <c r="A288" s="242"/>
      <c r="B288" s="243"/>
      <c r="C288" s="242"/>
      <c r="D288" s="242"/>
      <c r="E288" s="242"/>
      <c r="F288" s="242"/>
      <c r="G288" s="243"/>
      <c r="H288" s="242"/>
      <c r="I288" s="242"/>
      <c r="J288" s="242"/>
      <c r="K288" s="242"/>
    </row>
    <row r="289" ht="37.5" customHeight="1">
      <c r="A289" s="242"/>
      <c r="B289" s="243"/>
      <c r="C289" s="242"/>
      <c r="D289" s="242"/>
      <c r="E289" s="242"/>
      <c r="F289" s="242"/>
      <c r="G289" s="243"/>
      <c r="H289" s="242"/>
      <c r="I289" s="242"/>
      <c r="J289" s="242"/>
      <c r="K289" s="242"/>
    </row>
    <row r="290" ht="37.5" customHeight="1">
      <c r="A290" s="242"/>
      <c r="B290" s="243"/>
      <c r="C290" s="242"/>
      <c r="D290" s="242"/>
      <c r="E290" s="242"/>
      <c r="F290" s="242"/>
      <c r="G290" s="243"/>
      <c r="H290" s="242"/>
      <c r="I290" s="242"/>
      <c r="J290" s="242"/>
      <c r="K290" s="242"/>
    </row>
    <row r="291" ht="37.5" customHeight="1">
      <c r="A291" s="242"/>
      <c r="B291" s="243"/>
      <c r="C291" s="242"/>
      <c r="D291" s="242"/>
      <c r="E291" s="242"/>
      <c r="F291" s="242"/>
      <c r="G291" s="243"/>
      <c r="H291" s="242"/>
      <c r="I291" s="242"/>
      <c r="J291" s="242"/>
      <c r="K291" s="242"/>
    </row>
    <row r="292" ht="37.5" customHeight="1">
      <c r="A292" s="242"/>
      <c r="B292" s="243"/>
      <c r="C292" s="242"/>
      <c r="D292" s="242"/>
      <c r="E292" s="242"/>
      <c r="F292" s="242"/>
      <c r="G292" s="243"/>
      <c r="H292" s="242"/>
      <c r="I292" s="242"/>
      <c r="J292" s="242"/>
      <c r="K292" s="242"/>
    </row>
    <row r="293" ht="37.5" customHeight="1">
      <c r="A293" s="242"/>
      <c r="B293" s="243"/>
      <c r="C293" s="242"/>
      <c r="D293" s="242"/>
      <c r="E293" s="242"/>
      <c r="F293" s="242"/>
      <c r="G293" s="243"/>
      <c r="H293" s="242"/>
      <c r="I293" s="242"/>
      <c r="J293" s="242"/>
      <c r="K293" s="242"/>
    </row>
    <row r="294" ht="37.5" customHeight="1">
      <c r="A294" s="242"/>
      <c r="B294" s="243"/>
      <c r="C294" s="242"/>
      <c r="D294" s="242"/>
      <c r="E294" s="242"/>
      <c r="F294" s="242"/>
      <c r="G294" s="243"/>
      <c r="H294" s="242"/>
      <c r="I294" s="242"/>
      <c r="J294" s="242"/>
      <c r="K294" s="242"/>
    </row>
    <row r="295" ht="37.5" customHeight="1">
      <c r="A295" s="242"/>
      <c r="B295" s="243"/>
      <c r="C295" s="242"/>
      <c r="D295" s="242"/>
      <c r="E295" s="242"/>
      <c r="F295" s="242"/>
      <c r="G295" s="243"/>
      <c r="H295" s="242"/>
      <c r="I295" s="242"/>
      <c r="J295" s="242"/>
      <c r="K295" s="242"/>
    </row>
    <row r="296" ht="37.5" customHeight="1">
      <c r="A296" s="242"/>
      <c r="B296" s="243"/>
      <c r="C296" s="242"/>
      <c r="D296" s="242"/>
      <c r="E296" s="242"/>
      <c r="F296" s="242"/>
      <c r="G296" s="243"/>
      <c r="H296" s="242"/>
      <c r="I296" s="242"/>
      <c r="J296" s="242"/>
      <c r="K296" s="242"/>
    </row>
    <row r="297" ht="37.5" customHeight="1">
      <c r="A297" s="242"/>
      <c r="B297" s="243"/>
      <c r="C297" s="242"/>
      <c r="D297" s="242"/>
      <c r="E297" s="242"/>
      <c r="F297" s="242"/>
      <c r="G297" s="243"/>
      <c r="H297" s="242"/>
      <c r="I297" s="242"/>
      <c r="J297" s="242"/>
      <c r="K297" s="242"/>
    </row>
    <row r="298" ht="37.5" customHeight="1">
      <c r="A298" s="242"/>
      <c r="B298" s="243"/>
      <c r="C298" s="242"/>
      <c r="D298" s="242"/>
      <c r="E298" s="242"/>
      <c r="F298" s="242"/>
      <c r="G298" s="243"/>
      <c r="H298" s="242"/>
      <c r="I298" s="242"/>
      <c r="J298" s="242"/>
      <c r="K298" s="242"/>
    </row>
    <row r="299" ht="37.5" customHeight="1">
      <c r="A299" s="242"/>
      <c r="B299" s="243"/>
      <c r="C299" s="242"/>
      <c r="D299" s="242"/>
      <c r="E299" s="242"/>
      <c r="F299" s="242"/>
      <c r="G299" s="243"/>
      <c r="H299" s="242"/>
      <c r="I299" s="242"/>
      <c r="J299" s="242"/>
      <c r="K299" s="242"/>
    </row>
    <row r="300" ht="37.5" customHeight="1">
      <c r="A300" s="242"/>
      <c r="B300" s="243"/>
      <c r="C300" s="242"/>
      <c r="D300" s="242"/>
      <c r="E300" s="242"/>
      <c r="F300" s="242"/>
      <c r="G300" s="243"/>
      <c r="H300" s="242"/>
      <c r="I300" s="242"/>
      <c r="J300" s="242"/>
      <c r="K300" s="242"/>
    </row>
    <row r="301" ht="37.5" customHeight="1">
      <c r="A301" s="242"/>
      <c r="B301" s="243"/>
      <c r="C301" s="242"/>
      <c r="D301" s="242"/>
      <c r="E301" s="242"/>
      <c r="F301" s="242"/>
      <c r="G301" s="243"/>
      <c r="H301" s="242"/>
      <c r="I301" s="242"/>
      <c r="J301" s="242"/>
      <c r="K301" s="242"/>
    </row>
    <row r="302" ht="37.5" customHeight="1">
      <c r="A302" s="242"/>
      <c r="B302" s="243"/>
      <c r="C302" s="242"/>
      <c r="D302" s="242"/>
      <c r="E302" s="242"/>
      <c r="F302" s="242"/>
      <c r="G302" s="243"/>
      <c r="H302" s="242"/>
      <c r="I302" s="242"/>
      <c r="J302" s="242"/>
      <c r="K302" s="242"/>
    </row>
    <row r="303" ht="37.5" customHeight="1">
      <c r="A303" s="242"/>
      <c r="B303" s="243"/>
      <c r="C303" s="242"/>
      <c r="D303" s="242"/>
      <c r="E303" s="242"/>
      <c r="F303" s="242"/>
      <c r="G303" s="243"/>
      <c r="H303" s="242"/>
      <c r="I303" s="242"/>
      <c r="J303" s="242"/>
      <c r="K303" s="242"/>
    </row>
    <row r="304" ht="37.5" customHeight="1">
      <c r="A304" s="242"/>
      <c r="B304" s="243"/>
      <c r="C304" s="242"/>
      <c r="D304" s="242"/>
      <c r="E304" s="242"/>
      <c r="F304" s="242"/>
      <c r="G304" s="243"/>
      <c r="H304" s="242"/>
      <c r="I304" s="242"/>
      <c r="J304" s="242"/>
      <c r="K304" s="242"/>
    </row>
    <row r="305" ht="37.5" customHeight="1">
      <c r="A305" s="242"/>
      <c r="B305" s="243"/>
      <c r="C305" s="242"/>
      <c r="D305" s="242"/>
      <c r="E305" s="242"/>
      <c r="F305" s="242"/>
      <c r="G305" s="243"/>
      <c r="H305" s="242"/>
      <c r="I305" s="242"/>
      <c r="J305" s="242"/>
      <c r="K305" s="242"/>
    </row>
    <row r="306" ht="37.5" customHeight="1">
      <c r="A306" s="242"/>
      <c r="B306" s="243"/>
      <c r="C306" s="242"/>
      <c r="D306" s="242"/>
      <c r="E306" s="242"/>
      <c r="F306" s="242"/>
      <c r="G306" s="243"/>
      <c r="H306" s="242"/>
      <c r="I306" s="242"/>
      <c r="J306" s="242"/>
      <c r="K306" s="242"/>
    </row>
    <row r="307" ht="37.5" customHeight="1">
      <c r="A307" s="242"/>
      <c r="B307" s="243"/>
      <c r="C307" s="242"/>
      <c r="D307" s="242"/>
      <c r="E307" s="242"/>
      <c r="F307" s="242"/>
      <c r="G307" s="243"/>
      <c r="H307" s="242"/>
      <c r="I307" s="242"/>
      <c r="J307" s="242"/>
      <c r="K307" s="242"/>
    </row>
    <row r="308" ht="37.5" customHeight="1">
      <c r="A308" s="242"/>
      <c r="B308" s="243"/>
      <c r="C308" s="242"/>
      <c r="D308" s="242"/>
      <c r="E308" s="242"/>
      <c r="F308" s="242"/>
      <c r="G308" s="243"/>
      <c r="H308" s="242"/>
      <c r="I308" s="242"/>
      <c r="J308" s="242"/>
      <c r="K308" s="242"/>
    </row>
    <row r="309" ht="37.5" customHeight="1">
      <c r="A309" s="242"/>
      <c r="B309" s="243"/>
      <c r="C309" s="242"/>
      <c r="D309" s="242"/>
      <c r="E309" s="242"/>
      <c r="F309" s="242"/>
      <c r="G309" s="243"/>
      <c r="H309" s="242"/>
      <c r="I309" s="242"/>
      <c r="J309" s="242"/>
      <c r="K309" s="242"/>
    </row>
    <row r="310" ht="37.5" customHeight="1">
      <c r="A310" s="242"/>
      <c r="B310" s="243"/>
      <c r="C310" s="242"/>
      <c r="D310" s="242"/>
      <c r="E310" s="242"/>
      <c r="F310" s="242"/>
      <c r="G310" s="243"/>
      <c r="H310" s="242"/>
      <c r="I310" s="242"/>
      <c r="J310" s="242"/>
      <c r="K310" s="242"/>
    </row>
    <row r="311" ht="37.5" customHeight="1">
      <c r="A311" s="242"/>
      <c r="B311" s="243"/>
      <c r="C311" s="242"/>
      <c r="D311" s="242"/>
      <c r="E311" s="242"/>
      <c r="F311" s="242"/>
      <c r="G311" s="243"/>
      <c r="H311" s="242"/>
      <c r="I311" s="242"/>
      <c r="J311" s="242"/>
      <c r="K311" s="242"/>
    </row>
    <row r="312" ht="37.5" customHeight="1">
      <c r="A312" s="242"/>
      <c r="B312" s="243"/>
      <c r="C312" s="242"/>
      <c r="D312" s="242"/>
      <c r="E312" s="242"/>
      <c r="F312" s="242"/>
      <c r="G312" s="243"/>
      <c r="H312" s="242"/>
      <c r="I312" s="242"/>
      <c r="J312" s="242"/>
      <c r="K312" s="242"/>
    </row>
    <row r="313" ht="37.5" customHeight="1">
      <c r="A313" s="242"/>
      <c r="B313" s="243"/>
      <c r="C313" s="242"/>
      <c r="D313" s="242"/>
      <c r="E313" s="242"/>
      <c r="F313" s="242"/>
      <c r="G313" s="243"/>
      <c r="H313" s="242"/>
      <c r="I313" s="242"/>
      <c r="J313" s="242"/>
      <c r="K313" s="242"/>
    </row>
    <row r="314" ht="37.5" customHeight="1">
      <c r="A314" s="242"/>
      <c r="B314" s="243"/>
      <c r="C314" s="242"/>
      <c r="D314" s="242"/>
      <c r="E314" s="242"/>
      <c r="F314" s="242"/>
      <c r="G314" s="243"/>
      <c r="H314" s="242"/>
      <c r="I314" s="242"/>
      <c r="J314" s="242"/>
      <c r="K314" s="242"/>
    </row>
    <row r="315" ht="37.5" customHeight="1">
      <c r="A315" s="242"/>
      <c r="B315" s="243"/>
      <c r="C315" s="242"/>
      <c r="D315" s="242"/>
      <c r="E315" s="242"/>
      <c r="F315" s="242"/>
      <c r="G315" s="243"/>
      <c r="H315" s="242"/>
      <c r="I315" s="242"/>
      <c r="J315" s="242"/>
      <c r="K315" s="242"/>
    </row>
    <row r="316" ht="37.5" customHeight="1">
      <c r="A316" s="242"/>
      <c r="B316" s="243"/>
      <c r="C316" s="242"/>
      <c r="D316" s="242"/>
      <c r="E316" s="242"/>
      <c r="F316" s="242"/>
      <c r="G316" s="243"/>
      <c r="H316" s="242"/>
      <c r="I316" s="242"/>
      <c r="J316" s="242"/>
      <c r="K316" s="242"/>
    </row>
    <row r="317" ht="37.5" customHeight="1">
      <c r="A317" s="242"/>
      <c r="B317" s="243"/>
      <c r="C317" s="242"/>
      <c r="D317" s="242"/>
      <c r="E317" s="242"/>
      <c r="F317" s="242"/>
      <c r="G317" s="243"/>
      <c r="H317" s="242"/>
      <c r="I317" s="242"/>
      <c r="J317" s="242"/>
      <c r="K317" s="242"/>
    </row>
    <row r="318" ht="37.5" customHeight="1">
      <c r="A318" s="242"/>
      <c r="B318" s="243"/>
      <c r="C318" s="242"/>
      <c r="D318" s="242"/>
      <c r="E318" s="242"/>
      <c r="F318" s="242"/>
      <c r="G318" s="243"/>
      <c r="H318" s="242"/>
      <c r="I318" s="242"/>
      <c r="J318" s="242"/>
      <c r="K318" s="242"/>
    </row>
    <row r="319" ht="37.5" customHeight="1">
      <c r="A319" s="242"/>
      <c r="B319" s="243"/>
      <c r="C319" s="242"/>
      <c r="D319" s="242"/>
      <c r="E319" s="242"/>
      <c r="F319" s="242"/>
      <c r="G319" s="243"/>
      <c r="H319" s="242"/>
      <c r="I319" s="242"/>
      <c r="J319" s="242"/>
      <c r="K319" s="242"/>
    </row>
    <row r="320" ht="37.5" customHeight="1">
      <c r="A320" s="242"/>
      <c r="B320" s="243"/>
      <c r="C320" s="242"/>
      <c r="D320" s="242"/>
      <c r="E320" s="242"/>
      <c r="F320" s="242"/>
      <c r="G320" s="243"/>
      <c r="H320" s="242"/>
      <c r="I320" s="242"/>
      <c r="J320" s="242"/>
      <c r="K320" s="242"/>
    </row>
    <row r="321" ht="37.5" customHeight="1">
      <c r="A321" s="242"/>
      <c r="B321" s="243"/>
      <c r="C321" s="242"/>
      <c r="D321" s="242"/>
      <c r="E321" s="242"/>
      <c r="F321" s="242"/>
      <c r="G321" s="243"/>
      <c r="H321" s="242"/>
      <c r="I321" s="242"/>
      <c r="J321" s="242"/>
      <c r="K321" s="242"/>
    </row>
    <row r="322" ht="37.5" customHeight="1">
      <c r="A322" s="242"/>
      <c r="B322" s="243"/>
      <c r="C322" s="242"/>
      <c r="D322" s="242"/>
      <c r="E322" s="242"/>
      <c r="F322" s="242"/>
      <c r="G322" s="243"/>
      <c r="H322" s="242"/>
      <c r="I322" s="242"/>
      <c r="J322" s="242"/>
      <c r="K322" s="242"/>
    </row>
    <row r="323" ht="37.5" customHeight="1">
      <c r="A323" s="242"/>
      <c r="B323" s="243"/>
      <c r="C323" s="242"/>
      <c r="D323" s="242"/>
      <c r="E323" s="242"/>
      <c r="F323" s="242"/>
      <c r="G323" s="243"/>
      <c r="H323" s="242"/>
      <c r="I323" s="242"/>
      <c r="J323" s="242"/>
      <c r="K323" s="242"/>
    </row>
    <row r="324" ht="37.5" customHeight="1">
      <c r="A324" s="242"/>
      <c r="B324" s="243"/>
      <c r="C324" s="242"/>
      <c r="D324" s="242"/>
      <c r="E324" s="242"/>
      <c r="F324" s="242"/>
      <c r="G324" s="243"/>
      <c r="H324" s="242"/>
      <c r="I324" s="242"/>
      <c r="J324" s="242"/>
      <c r="K324" s="242"/>
    </row>
    <row r="325" ht="37.5" customHeight="1">
      <c r="A325" s="242"/>
      <c r="B325" s="243"/>
      <c r="C325" s="242"/>
      <c r="D325" s="242"/>
      <c r="E325" s="242"/>
      <c r="F325" s="242"/>
      <c r="G325" s="243"/>
      <c r="H325" s="242"/>
      <c r="I325" s="242"/>
      <c r="J325" s="242"/>
      <c r="K325" s="242"/>
    </row>
    <row r="326" ht="37.5" customHeight="1">
      <c r="A326" s="242"/>
      <c r="B326" s="243"/>
      <c r="C326" s="242"/>
      <c r="D326" s="242"/>
      <c r="E326" s="242"/>
      <c r="F326" s="242"/>
      <c r="G326" s="243"/>
      <c r="H326" s="242"/>
      <c r="I326" s="242"/>
      <c r="J326" s="242"/>
      <c r="K326" s="242"/>
    </row>
    <row r="327" ht="37.5" customHeight="1">
      <c r="A327" s="242"/>
      <c r="B327" s="243"/>
      <c r="C327" s="242"/>
      <c r="D327" s="242"/>
      <c r="E327" s="242"/>
      <c r="F327" s="242"/>
      <c r="G327" s="243"/>
      <c r="H327" s="242"/>
      <c r="I327" s="242"/>
      <c r="J327" s="242"/>
      <c r="K327" s="242"/>
    </row>
    <row r="328" ht="37.5" customHeight="1">
      <c r="A328" s="242"/>
      <c r="B328" s="243"/>
      <c r="C328" s="242"/>
      <c r="D328" s="242"/>
      <c r="E328" s="242"/>
      <c r="F328" s="242"/>
      <c r="G328" s="243"/>
      <c r="H328" s="242"/>
      <c r="I328" s="242"/>
      <c r="J328" s="242"/>
      <c r="K328" s="242"/>
    </row>
    <row r="329" ht="37.5" customHeight="1">
      <c r="A329" s="242"/>
      <c r="B329" s="243"/>
      <c r="C329" s="242"/>
      <c r="D329" s="242"/>
      <c r="E329" s="242"/>
      <c r="F329" s="242"/>
      <c r="G329" s="243"/>
      <c r="H329" s="242"/>
      <c r="I329" s="242"/>
      <c r="J329" s="242"/>
      <c r="K329" s="242"/>
    </row>
    <row r="330" ht="37.5" customHeight="1">
      <c r="A330" s="242"/>
      <c r="B330" s="243"/>
      <c r="C330" s="242"/>
      <c r="D330" s="242"/>
      <c r="E330" s="242"/>
      <c r="F330" s="242"/>
      <c r="G330" s="243"/>
      <c r="H330" s="242"/>
      <c r="I330" s="242"/>
      <c r="J330" s="242"/>
      <c r="K330" s="242"/>
    </row>
    <row r="331" ht="37.5" customHeight="1">
      <c r="A331" s="242"/>
      <c r="B331" s="243"/>
      <c r="C331" s="242"/>
      <c r="D331" s="242"/>
      <c r="E331" s="242"/>
      <c r="F331" s="242"/>
      <c r="G331" s="243"/>
      <c r="H331" s="242"/>
      <c r="I331" s="242"/>
      <c r="J331" s="242"/>
      <c r="K331" s="242"/>
    </row>
    <row r="332" ht="37.5" customHeight="1">
      <c r="A332" s="242"/>
      <c r="B332" s="243"/>
      <c r="C332" s="242"/>
      <c r="D332" s="242"/>
      <c r="E332" s="242"/>
      <c r="F332" s="242"/>
      <c r="G332" s="243"/>
      <c r="H332" s="242"/>
      <c r="I332" s="242"/>
      <c r="J332" s="242"/>
      <c r="K332" s="242"/>
    </row>
    <row r="333" ht="37.5" customHeight="1">
      <c r="A333" s="242"/>
      <c r="B333" s="243"/>
      <c r="C333" s="242"/>
      <c r="D333" s="242"/>
      <c r="E333" s="242"/>
      <c r="F333" s="242"/>
      <c r="G333" s="243"/>
      <c r="H333" s="242"/>
      <c r="I333" s="242"/>
      <c r="J333" s="242"/>
      <c r="K333" s="242"/>
    </row>
    <row r="334" ht="37.5" customHeight="1">
      <c r="A334" s="242"/>
      <c r="B334" s="243"/>
      <c r="C334" s="242"/>
      <c r="D334" s="242"/>
      <c r="E334" s="242"/>
      <c r="F334" s="242"/>
      <c r="G334" s="243"/>
      <c r="H334" s="242"/>
      <c r="I334" s="242"/>
      <c r="J334" s="242"/>
      <c r="K334" s="242"/>
    </row>
    <row r="335" ht="37.5" customHeight="1">
      <c r="A335" s="242"/>
      <c r="B335" s="243"/>
      <c r="C335" s="242"/>
      <c r="D335" s="242"/>
      <c r="E335" s="242"/>
      <c r="F335" s="242"/>
      <c r="G335" s="243"/>
      <c r="H335" s="242"/>
      <c r="I335" s="242"/>
      <c r="J335" s="242"/>
      <c r="K335" s="242"/>
    </row>
    <row r="336" ht="37.5" customHeight="1">
      <c r="A336" s="242"/>
      <c r="B336" s="243"/>
      <c r="C336" s="242"/>
      <c r="D336" s="242"/>
      <c r="E336" s="242"/>
      <c r="F336" s="242"/>
      <c r="G336" s="243"/>
      <c r="H336" s="242"/>
      <c r="I336" s="242"/>
      <c r="J336" s="242"/>
      <c r="K336" s="242"/>
    </row>
    <row r="337" ht="37.5" customHeight="1">
      <c r="A337" s="242"/>
      <c r="B337" s="243"/>
      <c r="C337" s="242"/>
      <c r="D337" s="242"/>
      <c r="E337" s="242"/>
      <c r="F337" s="242"/>
      <c r="G337" s="243"/>
      <c r="H337" s="242"/>
      <c r="I337" s="242"/>
      <c r="J337" s="242"/>
      <c r="K337" s="242"/>
    </row>
    <row r="338" ht="37.5" customHeight="1">
      <c r="A338" s="242"/>
      <c r="B338" s="243"/>
      <c r="C338" s="242"/>
      <c r="D338" s="242"/>
      <c r="E338" s="242"/>
      <c r="F338" s="242"/>
      <c r="G338" s="243"/>
      <c r="H338" s="242"/>
      <c r="I338" s="242"/>
      <c r="J338" s="242"/>
      <c r="K338" s="242"/>
    </row>
    <row r="339" ht="37.5" customHeight="1">
      <c r="A339" s="242"/>
      <c r="B339" s="243"/>
      <c r="C339" s="242"/>
      <c r="D339" s="242"/>
      <c r="E339" s="242"/>
      <c r="F339" s="242"/>
      <c r="G339" s="243"/>
      <c r="H339" s="242"/>
      <c r="I339" s="242"/>
      <c r="J339" s="242"/>
      <c r="K339" s="242"/>
    </row>
    <row r="340" ht="37.5" customHeight="1">
      <c r="A340" s="242"/>
      <c r="B340" s="243"/>
      <c r="C340" s="242"/>
      <c r="D340" s="242"/>
      <c r="E340" s="242"/>
      <c r="F340" s="242"/>
      <c r="G340" s="243"/>
      <c r="H340" s="242"/>
      <c r="I340" s="242"/>
      <c r="J340" s="242"/>
      <c r="K340" s="242"/>
    </row>
    <row r="341" ht="37.5" customHeight="1">
      <c r="A341" s="242"/>
      <c r="B341" s="243"/>
      <c r="C341" s="242"/>
      <c r="D341" s="242"/>
      <c r="E341" s="242"/>
      <c r="F341" s="242"/>
      <c r="G341" s="243"/>
      <c r="H341" s="242"/>
      <c r="I341" s="242"/>
      <c r="J341" s="242"/>
      <c r="K341" s="242"/>
    </row>
    <row r="342" ht="37.5" customHeight="1">
      <c r="A342" s="242"/>
      <c r="B342" s="243"/>
      <c r="C342" s="242"/>
      <c r="D342" s="242"/>
      <c r="E342" s="242"/>
      <c r="F342" s="242"/>
      <c r="G342" s="243"/>
      <c r="H342" s="242"/>
      <c r="I342" s="242"/>
      <c r="J342" s="242"/>
      <c r="K342" s="242"/>
    </row>
    <row r="343" ht="37.5" customHeight="1">
      <c r="A343" s="242"/>
      <c r="B343" s="243"/>
      <c r="C343" s="242"/>
      <c r="D343" s="242"/>
      <c r="E343" s="242"/>
      <c r="F343" s="242"/>
      <c r="G343" s="243"/>
      <c r="H343" s="242"/>
      <c r="I343" s="242"/>
      <c r="J343" s="242"/>
      <c r="K343" s="242"/>
    </row>
    <row r="344" ht="37.5" customHeight="1">
      <c r="A344" s="242"/>
      <c r="B344" s="243"/>
      <c r="C344" s="242"/>
      <c r="D344" s="242"/>
      <c r="E344" s="242"/>
      <c r="F344" s="242"/>
      <c r="G344" s="243"/>
      <c r="H344" s="242"/>
      <c r="I344" s="242"/>
      <c r="J344" s="242"/>
      <c r="K344" s="242"/>
    </row>
    <row r="345" ht="37.5" customHeight="1">
      <c r="A345" s="242"/>
      <c r="B345" s="243"/>
      <c r="C345" s="242"/>
      <c r="D345" s="242"/>
      <c r="E345" s="242"/>
      <c r="F345" s="242"/>
      <c r="G345" s="243"/>
      <c r="H345" s="242"/>
      <c r="I345" s="242"/>
      <c r="J345" s="242"/>
      <c r="K345" s="242"/>
    </row>
    <row r="346" ht="37.5" customHeight="1">
      <c r="A346" s="242"/>
      <c r="B346" s="243"/>
      <c r="C346" s="242"/>
      <c r="D346" s="242"/>
      <c r="E346" s="242"/>
      <c r="F346" s="242"/>
      <c r="G346" s="243"/>
      <c r="H346" s="242"/>
      <c r="I346" s="242"/>
      <c r="J346" s="242"/>
      <c r="K346" s="242"/>
    </row>
    <row r="347" ht="37.5" customHeight="1">
      <c r="A347" s="242"/>
      <c r="B347" s="243"/>
      <c r="C347" s="242"/>
      <c r="D347" s="242"/>
      <c r="E347" s="242"/>
      <c r="F347" s="242"/>
      <c r="G347" s="243"/>
      <c r="H347" s="242"/>
      <c r="I347" s="242"/>
      <c r="J347" s="242"/>
      <c r="K347" s="242"/>
    </row>
    <row r="348" ht="37.5" customHeight="1">
      <c r="A348" s="242"/>
      <c r="B348" s="243"/>
      <c r="C348" s="242"/>
      <c r="D348" s="242"/>
      <c r="E348" s="242"/>
      <c r="F348" s="242"/>
      <c r="G348" s="243"/>
      <c r="H348" s="242"/>
      <c r="I348" s="242"/>
      <c r="J348" s="242"/>
      <c r="K348" s="242"/>
    </row>
    <row r="349" ht="37.5" customHeight="1">
      <c r="A349" s="242"/>
      <c r="B349" s="243"/>
      <c r="C349" s="242"/>
      <c r="D349" s="242"/>
      <c r="E349" s="242"/>
      <c r="F349" s="242"/>
      <c r="G349" s="243"/>
      <c r="H349" s="242"/>
      <c r="I349" s="242"/>
      <c r="J349" s="242"/>
      <c r="K349" s="242"/>
    </row>
    <row r="350" ht="37.5" customHeight="1">
      <c r="A350" s="242"/>
      <c r="B350" s="243"/>
      <c r="C350" s="242"/>
      <c r="D350" s="242"/>
      <c r="E350" s="242"/>
      <c r="F350" s="242"/>
      <c r="G350" s="243"/>
      <c r="H350" s="242"/>
      <c r="I350" s="242"/>
      <c r="J350" s="242"/>
      <c r="K350" s="242"/>
    </row>
    <row r="351" ht="37.5" customHeight="1">
      <c r="A351" s="242"/>
      <c r="B351" s="243"/>
      <c r="C351" s="242"/>
      <c r="D351" s="242"/>
      <c r="E351" s="242"/>
      <c r="F351" s="242"/>
      <c r="G351" s="243"/>
      <c r="H351" s="242"/>
      <c r="I351" s="242"/>
      <c r="J351" s="242"/>
      <c r="K351" s="242"/>
    </row>
    <row r="352" ht="37.5" customHeight="1">
      <c r="A352" s="242"/>
      <c r="B352" s="243"/>
      <c r="C352" s="242"/>
      <c r="D352" s="242"/>
      <c r="E352" s="242"/>
      <c r="F352" s="242"/>
      <c r="G352" s="243"/>
      <c r="H352" s="242"/>
      <c r="I352" s="242"/>
      <c r="J352" s="242"/>
      <c r="K352" s="242"/>
    </row>
    <row r="353" ht="37.5" customHeight="1">
      <c r="A353" s="242"/>
      <c r="B353" s="243"/>
      <c r="C353" s="242"/>
      <c r="D353" s="242"/>
      <c r="E353" s="242"/>
      <c r="F353" s="242"/>
      <c r="G353" s="243"/>
      <c r="H353" s="242"/>
      <c r="I353" s="242"/>
      <c r="J353" s="242"/>
      <c r="K353" s="242"/>
    </row>
    <row r="354" ht="37.5" customHeight="1">
      <c r="A354" s="242"/>
      <c r="B354" s="243"/>
      <c r="C354" s="242"/>
      <c r="D354" s="242"/>
      <c r="E354" s="242"/>
      <c r="F354" s="242"/>
      <c r="G354" s="243"/>
      <c r="H354" s="242"/>
      <c r="I354" s="242"/>
      <c r="J354" s="242"/>
      <c r="K354" s="242"/>
    </row>
    <row r="355" ht="37.5" customHeight="1">
      <c r="A355" s="242"/>
      <c r="B355" s="243"/>
      <c r="C355" s="242"/>
      <c r="D355" s="242"/>
      <c r="E355" s="242"/>
      <c r="F355" s="242"/>
      <c r="G355" s="243"/>
      <c r="H355" s="242"/>
      <c r="I355" s="242"/>
      <c r="J355" s="242"/>
      <c r="K355" s="242"/>
    </row>
    <row r="356" ht="37.5" customHeight="1">
      <c r="A356" s="242"/>
      <c r="B356" s="243"/>
      <c r="C356" s="242"/>
      <c r="D356" s="242"/>
      <c r="E356" s="242"/>
      <c r="F356" s="242"/>
      <c r="G356" s="243"/>
      <c r="H356" s="242"/>
      <c r="I356" s="242"/>
      <c r="J356" s="242"/>
      <c r="K356" s="242"/>
    </row>
    <row r="357" ht="37.5" customHeight="1">
      <c r="A357" s="242"/>
      <c r="B357" s="243"/>
      <c r="C357" s="242"/>
      <c r="D357" s="242"/>
      <c r="E357" s="242"/>
      <c r="F357" s="242"/>
      <c r="G357" s="243"/>
      <c r="H357" s="242"/>
      <c r="I357" s="242"/>
      <c r="J357" s="242"/>
      <c r="K357" s="242"/>
    </row>
    <row r="358" ht="37.5" customHeight="1">
      <c r="A358" s="242"/>
      <c r="B358" s="243"/>
      <c r="C358" s="242"/>
      <c r="D358" s="242"/>
      <c r="E358" s="242"/>
      <c r="F358" s="242"/>
      <c r="G358" s="243"/>
      <c r="H358" s="242"/>
      <c r="I358" s="242"/>
      <c r="J358" s="242"/>
      <c r="K358" s="242"/>
    </row>
    <row r="359" ht="37.5" customHeight="1">
      <c r="A359" s="242"/>
      <c r="B359" s="243"/>
      <c r="C359" s="242"/>
      <c r="D359" s="242"/>
      <c r="E359" s="242"/>
      <c r="F359" s="242"/>
      <c r="G359" s="243"/>
      <c r="H359" s="242"/>
      <c r="I359" s="242"/>
      <c r="J359" s="242"/>
      <c r="K359" s="242"/>
    </row>
    <row r="360" ht="37.5" customHeight="1">
      <c r="A360" s="242"/>
      <c r="B360" s="243"/>
      <c r="C360" s="242"/>
      <c r="D360" s="242"/>
      <c r="E360" s="242"/>
      <c r="F360" s="242"/>
      <c r="G360" s="243"/>
      <c r="H360" s="242"/>
      <c r="I360" s="242"/>
      <c r="J360" s="242"/>
      <c r="K360" s="242"/>
    </row>
    <row r="361" ht="37.5" customHeight="1">
      <c r="A361" s="242"/>
      <c r="B361" s="243"/>
      <c r="C361" s="242"/>
      <c r="D361" s="242"/>
      <c r="E361" s="242"/>
      <c r="F361" s="242"/>
      <c r="G361" s="243"/>
      <c r="H361" s="242"/>
      <c r="I361" s="242"/>
      <c r="J361" s="242"/>
      <c r="K361" s="242"/>
    </row>
    <row r="362" ht="37.5" customHeight="1">
      <c r="A362" s="242"/>
      <c r="B362" s="243"/>
      <c r="C362" s="242"/>
      <c r="D362" s="242"/>
      <c r="E362" s="242"/>
      <c r="F362" s="242"/>
      <c r="G362" s="243"/>
      <c r="H362" s="242"/>
      <c r="I362" s="242"/>
      <c r="J362" s="242"/>
      <c r="K362" s="242"/>
    </row>
    <row r="363" ht="37.5" customHeight="1">
      <c r="A363" s="242"/>
      <c r="B363" s="243"/>
      <c r="C363" s="242"/>
      <c r="D363" s="242"/>
      <c r="E363" s="242"/>
      <c r="F363" s="242"/>
      <c r="G363" s="243"/>
      <c r="H363" s="242"/>
      <c r="I363" s="242"/>
      <c r="J363" s="242"/>
      <c r="K363" s="242"/>
    </row>
    <row r="364" ht="37.5" customHeight="1">
      <c r="A364" s="242"/>
      <c r="B364" s="243"/>
      <c r="C364" s="242"/>
      <c r="D364" s="242"/>
      <c r="E364" s="242"/>
      <c r="F364" s="242"/>
      <c r="G364" s="243"/>
      <c r="H364" s="242"/>
      <c r="I364" s="242"/>
      <c r="J364" s="242"/>
      <c r="K364" s="242"/>
    </row>
    <row r="365" ht="37.5" customHeight="1">
      <c r="A365" s="242"/>
      <c r="B365" s="243"/>
      <c r="C365" s="242"/>
      <c r="D365" s="242"/>
      <c r="E365" s="242"/>
      <c r="F365" s="242"/>
      <c r="G365" s="243"/>
      <c r="H365" s="242"/>
      <c r="I365" s="242"/>
      <c r="J365" s="242"/>
      <c r="K365" s="242"/>
    </row>
    <row r="366" ht="37.5" customHeight="1">
      <c r="A366" s="242"/>
      <c r="B366" s="243"/>
      <c r="C366" s="242"/>
      <c r="D366" s="242"/>
      <c r="E366" s="242"/>
      <c r="F366" s="242"/>
      <c r="G366" s="243"/>
      <c r="H366" s="242"/>
      <c r="I366" s="242"/>
      <c r="J366" s="242"/>
      <c r="K366" s="242"/>
    </row>
    <row r="367" ht="37.5" customHeight="1">
      <c r="A367" s="242"/>
      <c r="B367" s="243"/>
      <c r="C367" s="242"/>
      <c r="D367" s="242"/>
      <c r="E367" s="242"/>
      <c r="F367" s="242"/>
      <c r="G367" s="243"/>
      <c r="H367" s="242"/>
      <c r="I367" s="242"/>
      <c r="J367" s="242"/>
      <c r="K367" s="242"/>
    </row>
    <row r="368" ht="37.5" customHeight="1">
      <c r="A368" s="242"/>
      <c r="B368" s="243"/>
      <c r="C368" s="242"/>
      <c r="D368" s="242"/>
      <c r="E368" s="242"/>
      <c r="F368" s="242"/>
      <c r="G368" s="243"/>
      <c r="H368" s="242"/>
      <c r="I368" s="242"/>
      <c r="J368" s="242"/>
      <c r="K368" s="242"/>
    </row>
    <row r="369" ht="37.5" customHeight="1">
      <c r="A369" s="242"/>
      <c r="B369" s="243"/>
      <c r="C369" s="242"/>
      <c r="D369" s="242"/>
      <c r="E369" s="242"/>
      <c r="F369" s="242"/>
      <c r="G369" s="243"/>
      <c r="H369" s="242"/>
      <c r="I369" s="242"/>
      <c r="J369" s="242"/>
      <c r="K369" s="242"/>
    </row>
    <row r="370" ht="37.5" customHeight="1">
      <c r="A370" s="242"/>
      <c r="B370" s="243"/>
      <c r="C370" s="242"/>
      <c r="D370" s="242"/>
      <c r="E370" s="242"/>
      <c r="F370" s="242"/>
      <c r="G370" s="243"/>
      <c r="H370" s="242"/>
      <c r="I370" s="242"/>
      <c r="J370" s="242"/>
      <c r="K370" s="242"/>
    </row>
    <row r="371" ht="37.5" customHeight="1">
      <c r="A371" s="242"/>
      <c r="B371" s="243"/>
      <c r="C371" s="242"/>
      <c r="D371" s="242"/>
      <c r="E371" s="242"/>
      <c r="F371" s="242"/>
      <c r="G371" s="243"/>
      <c r="H371" s="242"/>
      <c r="I371" s="242"/>
      <c r="J371" s="242"/>
      <c r="K371" s="242"/>
    </row>
    <row r="372" ht="37.5" customHeight="1">
      <c r="A372" s="242"/>
      <c r="B372" s="243"/>
      <c r="C372" s="242"/>
      <c r="D372" s="242"/>
      <c r="E372" s="242"/>
      <c r="F372" s="242"/>
      <c r="G372" s="243"/>
      <c r="H372" s="242"/>
      <c r="I372" s="242"/>
      <c r="J372" s="242"/>
      <c r="K372" s="242"/>
    </row>
    <row r="373" ht="37.5" customHeight="1">
      <c r="A373" s="242"/>
      <c r="B373" s="243"/>
      <c r="C373" s="242"/>
      <c r="D373" s="242"/>
      <c r="E373" s="242"/>
      <c r="F373" s="242"/>
      <c r="G373" s="243"/>
      <c r="H373" s="242"/>
      <c r="I373" s="242"/>
      <c r="J373" s="242"/>
      <c r="K373" s="242"/>
    </row>
    <row r="374" ht="37.5" customHeight="1">
      <c r="A374" s="242"/>
      <c r="B374" s="243"/>
      <c r="C374" s="242"/>
      <c r="D374" s="242"/>
      <c r="E374" s="242"/>
      <c r="F374" s="242"/>
      <c r="G374" s="243"/>
      <c r="H374" s="242"/>
      <c r="I374" s="242"/>
      <c r="J374" s="242"/>
      <c r="K374" s="242"/>
    </row>
    <row r="375" ht="37.5" customHeight="1">
      <c r="A375" s="242"/>
      <c r="B375" s="243"/>
      <c r="C375" s="242"/>
      <c r="D375" s="242"/>
      <c r="E375" s="242"/>
      <c r="F375" s="242"/>
      <c r="G375" s="243"/>
      <c r="H375" s="242"/>
      <c r="I375" s="242"/>
      <c r="J375" s="242"/>
      <c r="K375" s="242"/>
    </row>
    <row r="376" ht="37.5" customHeight="1">
      <c r="A376" s="242"/>
      <c r="B376" s="243"/>
      <c r="C376" s="242"/>
      <c r="D376" s="242"/>
      <c r="E376" s="242"/>
      <c r="F376" s="242"/>
      <c r="G376" s="243"/>
      <c r="H376" s="242"/>
      <c r="I376" s="242"/>
      <c r="J376" s="242"/>
      <c r="K376" s="242"/>
    </row>
    <row r="377" ht="37.5" customHeight="1">
      <c r="A377" s="242"/>
      <c r="B377" s="243"/>
      <c r="C377" s="242"/>
      <c r="D377" s="242"/>
      <c r="E377" s="242"/>
      <c r="F377" s="242"/>
      <c r="G377" s="243"/>
      <c r="H377" s="242"/>
      <c r="I377" s="242"/>
      <c r="J377" s="242"/>
      <c r="K377" s="242"/>
    </row>
    <row r="378" ht="37.5" customHeight="1">
      <c r="A378" s="242"/>
      <c r="B378" s="243"/>
      <c r="C378" s="242"/>
      <c r="D378" s="242"/>
      <c r="E378" s="242"/>
      <c r="F378" s="242"/>
      <c r="G378" s="243"/>
      <c r="H378" s="242"/>
      <c r="I378" s="242"/>
      <c r="J378" s="242"/>
      <c r="K378" s="242"/>
    </row>
    <row r="379" ht="37.5" customHeight="1">
      <c r="A379" s="242"/>
      <c r="B379" s="243"/>
      <c r="C379" s="242"/>
      <c r="D379" s="242"/>
      <c r="E379" s="242"/>
      <c r="F379" s="242"/>
      <c r="G379" s="243"/>
      <c r="H379" s="242"/>
      <c r="I379" s="242"/>
      <c r="J379" s="242"/>
      <c r="K379" s="242"/>
    </row>
    <row r="380" ht="37.5" customHeight="1">
      <c r="A380" s="242"/>
      <c r="B380" s="243"/>
      <c r="C380" s="242"/>
      <c r="D380" s="242"/>
      <c r="E380" s="242"/>
      <c r="F380" s="242"/>
      <c r="G380" s="243"/>
      <c r="H380" s="242"/>
      <c r="I380" s="242"/>
      <c r="J380" s="242"/>
      <c r="K380" s="242"/>
    </row>
    <row r="381" ht="37.5" customHeight="1">
      <c r="A381" s="242"/>
      <c r="B381" s="243"/>
      <c r="C381" s="242"/>
      <c r="D381" s="242"/>
      <c r="E381" s="242"/>
      <c r="F381" s="242"/>
      <c r="G381" s="243"/>
      <c r="H381" s="242"/>
      <c r="I381" s="242"/>
      <c r="J381" s="242"/>
      <c r="K381" s="242"/>
    </row>
    <row r="382" ht="37.5" customHeight="1">
      <c r="A382" s="242"/>
      <c r="B382" s="243"/>
      <c r="C382" s="242"/>
      <c r="D382" s="242"/>
      <c r="E382" s="242"/>
      <c r="F382" s="242"/>
      <c r="G382" s="243"/>
      <c r="H382" s="242"/>
      <c r="I382" s="242"/>
      <c r="J382" s="242"/>
      <c r="K382" s="242"/>
    </row>
    <row r="383" ht="37.5" customHeight="1">
      <c r="A383" s="242"/>
      <c r="B383" s="243"/>
      <c r="C383" s="242"/>
      <c r="D383" s="242"/>
      <c r="E383" s="242"/>
      <c r="F383" s="242"/>
      <c r="G383" s="243"/>
      <c r="H383" s="242"/>
      <c r="I383" s="242"/>
      <c r="J383" s="242"/>
      <c r="K383" s="242"/>
    </row>
    <row r="384" ht="37.5" customHeight="1">
      <c r="A384" s="242"/>
      <c r="B384" s="243"/>
      <c r="C384" s="242"/>
      <c r="D384" s="242"/>
      <c r="E384" s="242"/>
      <c r="F384" s="242"/>
      <c r="G384" s="243"/>
      <c r="H384" s="242"/>
      <c r="I384" s="242"/>
      <c r="J384" s="242"/>
      <c r="K384" s="242"/>
    </row>
    <row r="385" ht="37.5" customHeight="1">
      <c r="A385" s="242"/>
      <c r="B385" s="243"/>
      <c r="C385" s="242"/>
      <c r="D385" s="242"/>
      <c r="E385" s="242"/>
      <c r="F385" s="242"/>
      <c r="G385" s="243"/>
      <c r="H385" s="242"/>
      <c r="I385" s="242"/>
      <c r="J385" s="242"/>
      <c r="K385" s="242"/>
    </row>
    <row r="386" ht="37.5" customHeight="1">
      <c r="A386" s="242"/>
      <c r="B386" s="243"/>
      <c r="C386" s="242"/>
      <c r="D386" s="242"/>
      <c r="E386" s="242"/>
      <c r="F386" s="242"/>
      <c r="G386" s="243"/>
      <c r="H386" s="242"/>
      <c r="I386" s="242"/>
      <c r="J386" s="242"/>
      <c r="K386" s="242"/>
    </row>
    <row r="387" ht="37.5" customHeight="1">
      <c r="A387" s="242"/>
      <c r="B387" s="243"/>
      <c r="C387" s="242"/>
      <c r="D387" s="242"/>
      <c r="E387" s="242"/>
      <c r="F387" s="242"/>
      <c r="G387" s="243"/>
      <c r="H387" s="242"/>
      <c r="I387" s="242"/>
      <c r="J387" s="242"/>
      <c r="K387" s="242"/>
    </row>
    <row r="388" ht="37.5" customHeight="1">
      <c r="A388" s="242"/>
      <c r="B388" s="243"/>
      <c r="C388" s="242"/>
      <c r="D388" s="242"/>
      <c r="E388" s="242"/>
      <c r="F388" s="242"/>
      <c r="G388" s="243"/>
      <c r="H388" s="242"/>
      <c r="I388" s="242"/>
      <c r="J388" s="242"/>
      <c r="K388" s="242"/>
    </row>
    <row r="389" ht="37.5" customHeight="1">
      <c r="A389" s="242"/>
      <c r="B389" s="243"/>
      <c r="C389" s="242"/>
      <c r="D389" s="242"/>
      <c r="E389" s="242"/>
      <c r="F389" s="242"/>
      <c r="G389" s="243"/>
      <c r="H389" s="242"/>
      <c r="I389" s="242"/>
      <c r="J389" s="242"/>
      <c r="K389" s="242"/>
    </row>
    <row r="390" ht="37.5" customHeight="1">
      <c r="A390" s="242"/>
      <c r="B390" s="243"/>
      <c r="C390" s="242"/>
      <c r="D390" s="242"/>
      <c r="E390" s="242"/>
      <c r="F390" s="242"/>
      <c r="G390" s="243"/>
      <c r="H390" s="242"/>
      <c r="I390" s="242"/>
      <c r="J390" s="242"/>
      <c r="K390" s="242"/>
    </row>
    <row r="391" ht="37.5" customHeight="1">
      <c r="A391" s="242"/>
      <c r="B391" s="243"/>
      <c r="C391" s="242"/>
      <c r="D391" s="242"/>
      <c r="E391" s="242"/>
      <c r="F391" s="242"/>
      <c r="G391" s="243"/>
      <c r="H391" s="242"/>
      <c r="I391" s="242"/>
      <c r="J391" s="242"/>
      <c r="K391" s="242"/>
    </row>
    <row r="392" ht="37.5" customHeight="1">
      <c r="A392" s="242"/>
      <c r="B392" s="243"/>
      <c r="C392" s="242"/>
      <c r="D392" s="242"/>
      <c r="E392" s="242"/>
      <c r="F392" s="242"/>
      <c r="G392" s="243"/>
      <c r="H392" s="242"/>
      <c r="I392" s="242"/>
      <c r="J392" s="242"/>
      <c r="K392" s="242"/>
    </row>
    <row r="393" ht="37.5" customHeight="1">
      <c r="A393" s="242"/>
      <c r="B393" s="243"/>
      <c r="C393" s="242"/>
      <c r="D393" s="242"/>
      <c r="E393" s="242"/>
      <c r="F393" s="242"/>
      <c r="G393" s="243"/>
      <c r="H393" s="242"/>
      <c r="I393" s="242"/>
      <c r="J393" s="242"/>
      <c r="K393" s="242"/>
    </row>
    <row r="394" ht="37.5" customHeight="1">
      <c r="A394" s="242"/>
      <c r="B394" s="243"/>
      <c r="C394" s="242"/>
      <c r="D394" s="242"/>
      <c r="E394" s="242"/>
      <c r="F394" s="242"/>
      <c r="G394" s="243"/>
      <c r="H394" s="242"/>
      <c r="I394" s="242"/>
      <c r="J394" s="242"/>
      <c r="K394" s="242"/>
    </row>
    <row r="395" ht="37.5" customHeight="1">
      <c r="A395" s="242"/>
      <c r="B395" s="243"/>
      <c r="C395" s="242"/>
      <c r="D395" s="242"/>
      <c r="E395" s="242"/>
      <c r="F395" s="242"/>
      <c r="G395" s="243"/>
      <c r="H395" s="242"/>
      <c r="I395" s="242"/>
      <c r="J395" s="242"/>
      <c r="K395" s="242"/>
    </row>
    <row r="396" ht="37.5" customHeight="1">
      <c r="A396" s="242"/>
      <c r="B396" s="243"/>
      <c r="C396" s="242"/>
      <c r="D396" s="242"/>
      <c r="E396" s="242"/>
      <c r="F396" s="242"/>
      <c r="G396" s="243"/>
      <c r="H396" s="242"/>
      <c r="I396" s="242"/>
      <c r="J396" s="242"/>
      <c r="K396" s="242"/>
    </row>
    <row r="397" ht="37.5" customHeight="1">
      <c r="A397" s="242"/>
      <c r="B397" s="243"/>
      <c r="C397" s="242"/>
      <c r="D397" s="242"/>
      <c r="E397" s="242"/>
      <c r="F397" s="242"/>
      <c r="G397" s="243"/>
      <c r="H397" s="242"/>
      <c r="I397" s="242"/>
      <c r="J397" s="242"/>
      <c r="K397" s="242"/>
    </row>
    <row r="398" ht="37.5" customHeight="1">
      <c r="A398" s="242"/>
      <c r="B398" s="243"/>
      <c r="C398" s="242"/>
      <c r="D398" s="242"/>
      <c r="E398" s="242"/>
      <c r="F398" s="242"/>
      <c r="G398" s="243"/>
      <c r="H398" s="242"/>
      <c r="I398" s="242"/>
      <c r="J398" s="242"/>
      <c r="K398" s="242"/>
    </row>
    <row r="399" ht="37.5" customHeight="1">
      <c r="A399" s="242"/>
      <c r="B399" s="243"/>
      <c r="C399" s="242"/>
      <c r="D399" s="242"/>
      <c r="E399" s="242"/>
      <c r="F399" s="242"/>
      <c r="G399" s="243"/>
      <c r="H399" s="242"/>
      <c r="I399" s="242"/>
      <c r="J399" s="242"/>
      <c r="K399" s="242"/>
    </row>
    <row r="400" ht="37.5" customHeight="1">
      <c r="A400" s="242"/>
      <c r="B400" s="243"/>
      <c r="C400" s="242"/>
      <c r="D400" s="242"/>
      <c r="E400" s="242"/>
      <c r="F400" s="242"/>
      <c r="G400" s="243"/>
      <c r="H400" s="242"/>
      <c r="I400" s="242"/>
      <c r="J400" s="242"/>
      <c r="K400" s="242"/>
    </row>
    <row r="401" ht="37.5" customHeight="1">
      <c r="A401" s="242"/>
      <c r="B401" s="243"/>
      <c r="C401" s="242"/>
      <c r="D401" s="242"/>
      <c r="E401" s="242"/>
      <c r="F401" s="242"/>
      <c r="G401" s="243"/>
      <c r="H401" s="242"/>
      <c r="I401" s="242"/>
      <c r="J401" s="242"/>
      <c r="K401" s="242"/>
    </row>
    <row r="402" ht="37.5" customHeight="1">
      <c r="A402" s="242"/>
      <c r="B402" s="243"/>
      <c r="C402" s="242"/>
      <c r="D402" s="242"/>
      <c r="E402" s="242"/>
      <c r="F402" s="242"/>
      <c r="G402" s="243"/>
      <c r="H402" s="242"/>
      <c r="I402" s="242"/>
      <c r="J402" s="242"/>
      <c r="K402" s="242"/>
    </row>
    <row r="403" ht="37.5" customHeight="1">
      <c r="A403" s="242"/>
      <c r="B403" s="243"/>
      <c r="C403" s="242"/>
      <c r="D403" s="242"/>
      <c r="E403" s="242"/>
      <c r="F403" s="242"/>
      <c r="G403" s="243"/>
      <c r="H403" s="242"/>
      <c r="I403" s="242"/>
      <c r="J403" s="242"/>
      <c r="K403" s="242"/>
    </row>
    <row r="404" ht="37.5" customHeight="1">
      <c r="A404" s="242"/>
      <c r="B404" s="243"/>
      <c r="C404" s="242"/>
      <c r="D404" s="242"/>
      <c r="E404" s="242"/>
      <c r="F404" s="242"/>
      <c r="G404" s="243"/>
      <c r="H404" s="242"/>
      <c r="I404" s="242"/>
      <c r="J404" s="242"/>
      <c r="K404" s="242"/>
    </row>
    <row r="405" ht="37.5" customHeight="1">
      <c r="A405" s="242"/>
      <c r="B405" s="243"/>
      <c r="C405" s="242"/>
      <c r="D405" s="242"/>
      <c r="E405" s="242"/>
      <c r="F405" s="242"/>
      <c r="G405" s="243"/>
      <c r="H405" s="242"/>
      <c r="I405" s="242"/>
      <c r="J405" s="242"/>
      <c r="K405" s="242"/>
    </row>
    <row r="406" ht="37.5" customHeight="1">
      <c r="A406" s="242"/>
      <c r="B406" s="243"/>
      <c r="C406" s="242"/>
      <c r="D406" s="242"/>
      <c r="E406" s="242"/>
      <c r="F406" s="242"/>
      <c r="G406" s="243"/>
      <c r="H406" s="242"/>
      <c r="I406" s="242"/>
      <c r="J406" s="242"/>
      <c r="K406" s="242"/>
    </row>
    <row r="407" ht="37.5" customHeight="1">
      <c r="A407" s="242"/>
      <c r="B407" s="243"/>
      <c r="C407" s="242"/>
      <c r="D407" s="242"/>
      <c r="E407" s="242"/>
      <c r="F407" s="242"/>
      <c r="G407" s="243"/>
      <c r="H407" s="242"/>
      <c r="I407" s="242"/>
      <c r="J407" s="242"/>
      <c r="K407" s="242"/>
    </row>
    <row r="408" ht="37.5" customHeight="1">
      <c r="A408" s="242"/>
      <c r="B408" s="243"/>
      <c r="C408" s="242"/>
      <c r="D408" s="242"/>
      <c r="E408" s="242"/>
      <c r="F408" s="242"/>
      <c r="G408" s="243"/>
      <c r="H408" s="242"/>
      <c r="I408" s="242"/>
      <c r="J408" s="242"/>
      <c r="K408" s="242"/>
    </row>
    <row r="409" ht="37.5" customHeight="1">
      <c r="A409" s="242"/>
      <c r="B409" s="243"/>
      <c r="C409" s="242"/>
      <c r="D409" s="242"/>
      <c r="E409" s="242"/>
      <c r="F409" s="242"/>
      <c r="G409" s="243"/>
      <c r="H409" s="242"/>
      <c r="I409" s="242"/>
      <c r="J409" s="242"/>
      <c r="K409" s="242"/>
    </row>
    <row r="410" ht="37.5" customHeight="1">
      <c r="A410" s="242"/>
      <c r="B410" s="243"/>
      <c r="C410" s="242"/>
      <c r="D410" s="242"/>
      <c r="E410" s="242"/>
      <c r="F410" s="242"/>
      <c r="G410" s="243"/>
      <c r="H410" s="242"/>
      <c r="I410" s="242"/>
      <c r="J410" s="242"/>
      <c r="K410" s="242"/>
    </row>
    <row r="411" ht="37.5" customHeight="1">
      <c r="A411" s="242"/>
      <c r="B411" s="243"/>
      <c r="C411" s="242"/>
      <c r="D411" s="242"/>
      <c r="E411" s="242"/>
      <c r="F411" s="242"/>
      <c r="G411" s="243"/>
      <c r="H411" s="242"/>
      <c r="I411" s="242"/>
      <c r="J411" s="242"/>
      <c r="K411" s="242"/>
    </row>
    <row r="412" ht="37.5" customHeight="1">
      <c r="A412" s="242"/>
      <c r="B412" s="243"/>
      <c r="C412" s="242"/>
      <c r="D412" s="242"/>
      <c r="E412" s="242"/>
      <c r="F412" s="242"/>
      <c r="G412" s="243"/>
      <c r="H412" s="242"/>
      <c r="I412" s="242"/>
      <c r="J412" s="242"/>
      <c r="K412" s="242"/>
    </row>
    <row r="413" ht="37.5" customHeight="1">
      <c r="A413" s="242"/>
      <c r="B413" s="243"/>
      <c r="C413" s="242"/>
      <c r="D413" s="242"/>
      <c r="E413" s="242"/>
      <c r="F413" s="242"/>
      <c r="G413" s="243"/>
      <c r="H413" s="242"/>
      <c r="I413" s="242"/>
      <c r="J413" s="242"/>
      <c r="K413" s="242"/>
    </row>
    <row r="414" ht="37.5" customHeight="1">
      <c r="A414" s="242"/>
      <c r="B414" s="243"/>
      <c r="C414" s="242"/>
      <c r="D414" s="242"/>
      <c r="E414" s="242"/>
      <c r="F414" s="242"/>
      <c r="G414" s="243"/>
      <c r="H414" s="242"/>
      <c r="I414" s="242"/>
      <c r="J414" s="242"/>
      <c r="K414" s="242"/>
    </row>
    <row r="415" ht="37.5" customHeight="1">
      <c r="A415" s="242"/>
      <c r="B415" s="243"/>
      <c r="C415" s="242"/>
      <c r="D415" s="242"/>
      <c r="E415" s="242"/>
      <c r="F415" s="242"/>
      <c r="G415" s="243"/>
      <c r="H415" s="242"/>
      <c r="I415" s="242"/>
      <c r="J415" s="242"/>
      <c r="K415" s="242"/>
    </row>
    <row r="416" ht="37.5" customHeight="1">
      <c r="A416" s="242"/>
      <c r="B416" s="243"/>
      <c r="C416" s="242"/>
      <c r="D416" s="242"/>
      <c r="E416" s="242"/>
      <c r="F416" s="242"/>
      <c r="G416" s="243"/>
      <c r="H416" s="242"/>
      <c r="I416" s="242"/>
      <c r="J416" s="242"/>
      <c r="K416" s="242"/>
    </row>
    <row r="417" ht="37.5" customHeight="1">
      <c r="A417" s="242"/>
      <c r="B417" s="243"/>
      <c r="C417" s="242"/>
      <c r="D417" s="242"/>
      <c r="E417" s="242"/>
      <c r="F417" s="242"/>
      <c r="G417" s="243"/>
      <c r="H417" s="242"/>
      <c r="I417" s="242"/>
      <c r="J417" s="242"/>
      <c r="K417" s="242"/>
    </row>
    <row r="418" ht="37.5" customHeight="1">
      <c r="A418" s="242"/>
      <c r="B418" s="243"/>
      <c r="C418" s="242"/>
      <c r="D418" s="242"/>
      <c r="E418" s="242"/>
      <c r="F418" s="242"/>
      <c r="G418" s="243"/>
      <c r="H418" s="242"/>
      <c r="I418" s="242"/>
      <c r="J418" s="242"/>
      <c r="K418" s="242"/>
    </row>
    <row r="419" ht="37.5" customHeight="1">
      <c r="A419" s="242"/>
      <c r="B419" s="243"/>
      <c r="C419" s="242"/>
      <c r="D419" s="242"/>
      <c r="E419" s="242"/>
      <c r="F419" s="242"/>
      <c r="G419" s="243"/>
      <c r="H419" s="242"/>
      <c r="I419" s="242"/>
      <c r="J419" s="242"/>
      <c r="K419" s="242"/>
    </row>
    <row r="420" ht="37.5" customHeight="1">
      <c r="A420" s="242"/>
      <c r="B420" s="243"/>
      <c r="C420" s="242"/>
      <c r="D420" s="242"/>
      <c r="E420" s="242"/>
      <c r="F420" s="242"/>
      <c r="G420" s="243"/>
      <c r="H420" s="242"/>
      <c r="I420" s="242"/>
      <c r="J420" s="242"/>
      <c r="K420" s="242"/>
    </row>
    <row r="421" ht="37.5" customHeight="1">
      <c r="A421" s="242"/>
      <c r="B421" s="243"/>
      <c r="C421" s="242"/>
      <c r="D421" s="242"/>
      <c r="E421" s="242"/>
      <c r="F421" s="242"/>
      <c r="G421" s="243"/>
      <c r="H421" s="242"/>
      <c r="I421" s="242"/>
      <c r="J421" s="242"/>
      <c r="K421" s="242"/>
    </row>
    <row r="422" ht="37.5" customHeight="1">
      <c r="A422" s="242"/>
      <c r="B422" s="243"/>
      <c r="C422" s="242"/>
      <c r="D422" s="242"/>
      <c r="E422" s="242"/>
      <c r="F422" s="242"/>
      <c r="G422" s="243"/>
      <c r="H422" s="242"/>
      <c r="I422" s="242"/>
      <c r="J422" s="242"/>
      <c r="K422" s="242"/>
    </row>
    <row r="423" ht="37.5" customHeight="1">
      <c r="A423" s="242"/>
      <c r="B423" s="243"/>
      <c r="C423" s="242"/>
      <c r="D423" s="242"/>
      <c r="E423" s="242"/>
      <c r="F423" s="242"/>
      <c r="G423" s="243"/>
      <c r="H423" s="242"/>
      <c r="I423" s="242"/>
      <c r="J423" s="242"/>
      <c r="K423" s="242"/>
    </row>
    <row r="424" ht="37.5" customHeight="1">
      <c r="A424" s="242"/>
      <c r="B424" s="243"/>
      <c r="C424" s="242"/>
      <c r="D424" s="242"/>
      <c r="E424" s="242"/>
      <c r="F424" s="242"/>
      <c r="G424" s="243"/>
      <c r="H424" s="242"/>
      <c r="I424" s="242"/>
      <c r="J424" s="242"/>
      <c r="K424" s="242"/>
    </row>
    <row r="425" ht="37.5" customHeight="1">
      <c r="A425" s="242"/>
      <c r="B425" s="243"/>
      <c r="C425" s="242"/>
      <c r="D425" s="242"/>
      <c r="E425" s="242"/>
      <c r="F425" s="242"/>
      <c r="G425" s="243"/>
      <c r="H425" s="242"/>
      <c r="I425" s="242"/>
      <c r="J425" s="242"/>
      <c r="K425" s="242"/>
    </row>
    <row r="426" ht="37.5" customHeight="1">
      <c r="A426" s="242"/>
      <c r="B426" s="243"/>
      <c r="C426" s="242"/>
      <c r="D426" s="242"/>
      <c r="E426" s="242"/>
      <c r="F426" s="242"/>
      <c r="G426" s="243"/>
      <c r="H426" s="242"/>
      <c r="I426" s="242"/>
      <c r="J426" s="242"/>
      <c r="K426" s="242"/>
    </row>
    <row r="427" ht="37.5" customHeight="1">
      <c r="A427" s="242"/>
      <c r="B427" s="243"/>
      <c r="C427" s="242"/>
      <c r="D427" s="242"/>
      <c r="E427" s="242"/>
      <c r="F427" s="242"/>
      <c r="G427" s="243"/>
      <c r="H427" s="242"/>
      <c r="I427" s="242"/>
      <c r="J427" s="242"/>
      <c r="K427" s="242"/>
    </row>
    <row r="428" ht="37.5" customHeight="1">
      <c r="A428" s="242"/>
      <c r="B428" s="243"/>
      <c r="C428" s="242"/>
      <c r="D428" s="242"/>
      <c r="E428" s="242"/>
      <c r="F428" s="242"/>
      <c r="G428" s="243"/>
      <c r="H428" s="242"/>
      <c r="I428" s="242"/>
      <c r="J428" s="242"/>
      <c r="K428" s="242"/>
    </row>
    <row r="429" ht="37.5" customHeight="1">
      <c r="A429" s="242"/>
      <c r="B429" s="243"/>
      <c r="C429" s="242"/>
      <c r="D429" s="242"/>
      <c r="E429" s="242"/>
      <c r="F429" s="242"/>
      <c r="G429" s="243"/>
      <c r="H429" s="242"/>
      <c r="I429" s="242"/>
      <c r="J429" s="242"/>
      <c r="K429" s="242"/>
    </row>
    <row r="430" ht="37.5" customHeight="1">
      <c r="A430" s="242"/>
      <c r="B430" s="243"/>
      <c r="C430" s="242"/>
      <c r="D430" s="242"/>
      <c r="E430" s="242"/>
      <c r="F430" s="242"/>
      <c r="G430" s="243"/>
      <c r="H430" s="242"/>
      <c r="I430" s="242"/>
      <c r="J430" s="242"/>
      <c r="K430" s="242"/>
    </row>
    <row r="431" ht="37.5" customHeight="1">
      <c r="A431" s="242"/>
      <c r="B431" s="243"/>
      <c r="C431" s="242"/>
      <c r="D431" s="242"/>
      <c r="E431" s="242"/>
      <c r="F431" s="242"/>
      <c r="G431" s="243"/>
      <c r="H431" s="242"/>
      <c r="I431" s="242"/>
      <c r="J431" s="242"/>
      <c r="K431" s="242"/>
    </row>
    <row r="432" ht="37.5" customHeight="1">
      <c r="A432" s="242"/>
      <c r="B432" s="243"/>
      <c r="C432" s="242"/>
      <c r="D432" s="242"/>
      <c r="E432" s="242"/>
      <c r="F432" s="242"/>
      <c r="G432" s="243"/>
      <c r="H432" s="242"/>
      <c r="I432" s="242"/>
      <c r="J432" s="242"/>
      <c r="K432" s="242"/>
    </row>
    <row r="433" ht="37.5" customHeight="1">
      <c r="A433" s="242"/>
      <c r="B433" s="243"/>
      <c r="C433" s="242"/>
      <c r="D433" s="242"/>
      <c r="E433" s="242"/>
      <c r="F433" s="242"/>
      <c r="G433" s="243"/>
      <c r="H433" s="242"/>
      <c r="I433" s="242"/>
      <c r="J433" s="242"/>
      <c r="K433" s="242"/>
    </row>
    <row r="434" ht="37.5" customHeight="1">
      <c r="A434" s="242"/>
      <c r="B434" s="243"/>
      <c r="C434" s="242"/>
      <c r="D434" s="242"/>
      <c r="E434" s="242"/>
      <c r="F434" s="242"/>
      <c r="G434" s="243"/>
      <c r="H434" s="242"/>
      <c r="I434" s="242"/>
      <c r="J434" s="242"/>
      <c r="K434" s="242"/>
    </row>
    <row r="435" ht="37.5" customHeight="1">
      <c r="A435" s="242"/>
      <c r="B435" s="243"/>
      <c r="C435" s="242"/>
      <c r="D435" s="242"/>
      <c r="E435" s="242"/>
      <c r="F435" s="242"/>
      <c r="G435" s="243"/>
      <c r="H435" s="242"/>
      <c r="I435" s="242"/>
      <c r="J435" s="242"/>
      <c r="K435" s="242"/>
    </row>
    <row r="436" ht="37.5" customHeight="1">
      <c r="A436" s="242"/>
      <c r="B436" s="243"/>
      <c r="C436" s="242"/>
      <c r="D436" s="242"/>
      <c r="E436" s="242"/>
      <c r="F436" s="242"/>
      <c r="G436" s="243"/>
      <c r="H436" s="242"/>
      <c r="I436" s="242"/>
      <c r="J436" s="242"/>
      <c r="K436" s="242"/>
    </row>
    <row r="437" ht="37.5" customHeight="1">
      <c r="A437" s="242"/>
      <c r="B437" s="243"/>
      <c r="C437" s="242"/>
      <c r="D437" s="242"/>
      <c r="E437" s="242"/>
      <c r="F437" s="242"/>
      <c r="G437" s="243"/>
      <c r="H437" s="242"/>
      <c r="I437" s="242"/>
      <c r="J437" s="242"/>
      <c r="K437" s="242"/>
    </row>
    <row r="438" ht="37.5" customHeight="1">
      <c r="A438" s="242"/>
      <c r="B438" s="243"/>
      <c r="C438" s="242"/>
      <c r="D438" s="242"/>
      <c r="E438" s="242"/>
      <c r="F438" s="242"/>
      <c r="G438" s="243"/>
      <c r="H438" s="242"/>
      <c r="I438" s="242"/>
      <c r="J438" s="242"/>
      <c r="K438" s="242"/>
    </row>
    <row r="439" ht="37.5" customHeight="1">
      <c r="A439" s="242"/>
      <c r="B439" s="243"/>
      <c r="C439" s="242"/>
      <c r="D439" s="242"/>
      <c r="E439" s="242"/>
      <c r="F439" s="242"/>
      <c r="G439" s="243"/>
      <c r="H439" s="242"/>
      <c r="I439" s="242"/>
      <c r="J439" s="242"/>
      <c r="K439" s="242"/>
    </row>
    <row r="440" ht="37.5" customHeight="1">
      <c r="A440" s="242"/>
      <c r="B440" s="243"/>
      <c r="C440" s="242"/>
      <c r="D440" s="242"/>
      <c r="E440" s="242"/>
      <c r="F440" s="242"/>
      <c r="G440" s="243"/>
      <c r="H440" s="242"/>
      <c r="I440" s="242"/>
      <c r="J440" s="242"/>
      <c r="K440" s="242"/>
    </row>
    <row r="441" ht="37.5" customHeight="1">
      <c r="A441" s="242"/>
      <c r="B441" s="243"/>
      <c r="C441" s="242"/>
      <c r="D441" s="242"/>
      <c r="E441" s="242"/>
      <c r="F441" s="242"/>
      <c r="G441" s="243"/>
      <c r="H441" s="242"/>
      <c r="I441" s="242"/>
      <c r="J441" s="242"/>
      <c r="K441" s="242"/>
    </row>
    <row r="442" ht="37.5" customHeight="1">
      <c r="A442" s="242"/>
      <c r="B442" s="243"/>
      <c r="C442" s="242"/>
      <c r="D442" s="242"/>
      <c r="E442" s="242"/>
      <c r="F442" s="242"/>
      <c r="G442" s="243"/>
      <c r="H442" s="242"/>
      <c r="I442" s="242"/>
      <c r="J442" s="242"/>
      <c r="K442" s="242"/>
    </row>
    <row r="443" ht="37.5" customHeight="1">
      <c r="A443" s="242"/>
      <c r="B443" s="243"/>
      <c r="C443" s="242"/>
      <c r="D443" s="242"/>
      <c r="E443" s="242"/>
      <c r="F443" s="242"/>
      <c r="G443" s="243"/>
      <c r="H443" s="242"/>
      <c r="I443" s="242"/>
      <c r="J443" s="242"/>
      <c r="K443" s="242"/>
    </row>
    <row r="444" ht="37.5" customHeight="1">
      <c r="A444" s="242"/>
      <c r="B444" s="243"/>
      <c r="C444" s="242"/>
      <c r="D444" s="242"/>
      <c r="E444" s="242"/>
      <c r="F444" s="242"/>
      <c r="G444" s="243"/>
      <c r="H444" s="242"/>
      <c r="I444" s="242"/>
      <c r="J444" s="242"/>
      <c r="K444" s="242"/>
    </row>
    <row r="445" ht="37.5" customHeight="1">
      <c r="A445" s="242"/>
      <c r="B445" s="243"/>
      <c r="C445" s="242"/>
      <c r="D445" s="242"/>
      <c r="E445" s="242"/>
      <c r="F445" s="242"/>
      <c r="G445" s="243"/>
      <c r="H445" s="242"/>
      <c r="I445" s="242"/>
      <c r="J445" s="242"/>
      <c r="K445" s="242"/>
    </row>
    <row r="446" ht="37.5" customHeight="1">
      <c r="A446" s="242"/>
      <c r="B446" s="243"/>
      <c r="C446" s="242"/>
      <c r="D446" s="242"/>
      <c r="E446" s="242"/>
      <c r="F446" s="242"/>
      <c r="G446" s="243"/>
      <c r="H446" s="242"/>
      <c r="I446" s="242"/>
      <c r="J446" s="242"/>
      <c r="K446" s="242"/>
    </row>
    <row r="447" ht="37.5" customHeight="1">
      <c r="A447" s="242"/>
      <c r="B447" s="243"/>
      <c r="C447" s="242"/>
      <c r="D447" s="242"/>
      <c r="E447" s="242"/>
      <c r="F447" s="242"/>
      <c r="G447" s="243"/>
      <c r="H447" s="242"/>
      <c r="I447" s="242"/>
      <c r="J447" s="242"/>
      <c r="K447" s="242"/>
    </row>
    <row r="448" ht="37.5" customHeight="1">
      <c r="A448" s="242"/>
      <c r="B448" s="243"/>
      <c r="C448" s="242"/>
      <c r="D448" s="242"/>
      <c r="E448" s="242"/>
      <c r="F448" s="242"/>
      <c r="G448" s="243"/>
      <c r="H448" s="242"/>
      <c r="I448" s="242"/>
      <c r="J448" s="242"/>
      <c r="K448" s="242"/>
    </row>
    <row r="449" ht="37.5" customHeight="1">
      <c r="A449" s="242"/>
      <c r="B449" s="243"/>
      <c r="C449" s="242"/>
      <c r="D449" s="242"/>
      <c r="E449" s="242"/>
      <c r="F449" s="242"/>
      <c r="G449" s="243"/>
      <c r="H449" s="242"/>
      <c r="I449" s="242"/>
      <c r="J449" s="242"/>
      <c r="K449" s="242"/>
    </row>
    <row r="450" ht="37.5" customHeight="1">
      <c r="A450" s="242"/>
      <c r="B450" s="243"/>
      <c r="C450" s="242"/>
      <c r="D450" s="242"/>
      <c r="E450" s="242"/>
      <c r="F450" s="242"/>
      <c r="G450" s="243"/>
      <c r="H450" s="242"/>
      <c r="I450" s="242"/>
      <c r="J450" s="242"/>
      <c r="K450" s="242"/>
    </row>
    <row r="451" ht="37.5" customHeight="1">
      <c r="A451" s="242"/>
      <c r="B451" s="243"/>
      <c r="C451" s="242"/>
      <c r="D451" s="242"/>
      <c r="E451" s="242"/>
      <c r="F451" s="242"/>
      <c r="G451" s="243"/>
      <c r="H451" s="242"/>
      <c r="I451" s="242"/>
      <c r="J451" s="242"/>
      <c r="K451" s="242"/>
    </row>
    <row r="452" ht="37.5" customHeight="1">
      <c r="A452" s="242"/>
      <c r="B452" s="243"/>
      <c r="C452" s="242"/>
      <c r="D452" s="242"/>
      <c r="E452" s="242"/>
      <c r="F452" s="242"/>
      <c r="G452" s="243"/>
      <c r="H452" s="242"/>
      <c r="I452" s="242"/>
      <c r="J452" s="242"/>
      <c r="K452" s="242"/>
    </row>
    <row r="453" ht="37.5" customHeight="1">
      <c r="A453" s="242"/>
      <c r="B453" s="243"/>
      <c r="C453" s="242"/>
      <c r="D453" s="242"/>
      <c r="E453" s="242"/>
      <c r="F453" s="242"/>
      <c r="G453" s="243"/>
      <c r="H453" s="242"/>
      <c r="I453" s="242"/>
      <c r="J453" s="242"/>
      <c r="K453" s="242"/>
    </row>
    <row r="454" ht="37.5" customHeight="1">
      <c r="A454" s="242"/>
      <c r="B454" s="243"/>
      <c r="C454" s="242"/>
      <c r="D454" s="242"/>
      <c r="E454" s="242"/>
      <c r="F454" s="242"/>
      <c r="G454" s="243"/>
      <c r="H454" s="242"/>
      <c r="I454" s="242"/>
      <c r="J454" s="242"/>
      <c r="K454" s="242"/>
    </row>
    <row r="455" ht="37.5" customHeight="1">
      <c r="A455" s="242"/>
      <c r="B455" s="243"/>
      <c r="C455" s="242"/>
      <c r="D455" s="242"/>
      <c r="E455" s="242"/>
      <c r="F455" s="242"/>
      <c r="G455" s="243"/>
      <c r="H455" s="242"/>
      <c r="I455" s="242"/>
      <c r="J455" s="242"/>
      <c r="K455" s="242"/>
    </row>
    <row r="456" ht="37.5" customHeight="1">
      <c r="A456" s="242"/>
      <c r="B456" s="243"/>
      <c r="C456" s="242"/>
      <c r="D456" s="242"/>
      <c r="E456" s="242"/>
      <c r="F456" s="242"/>
      <c r="G456" s="243"/>
      <c r="H456" s="242"/>
      <c r="I456" s="242"/>
      <c r="J456" s="242"/>
      <c r="K456" s="242"/>
    </row>
    <row r="457" ht="37.5" customHeight="1">
      <c r="A457" s="242"/>
      <c r="B457" s="243"/>
      <c r="C457" s="242"/>
      <c r="D457" s="242"/>
      <c r="E457" s="242"/>
      <c r="F457" s="242"/>
      <c r="G457" s="243"/>
      <c r="H457" s="242"/>
      <c r="I457" s="242"/>
      <c r="J457" s="242"/>
      <c r="K457" s="242"/>
    </row>
    <row r="458" ht="37.5" customHeight="1">
      <c r="A458" s="242"/>
      <c r="B458" s="243"/>
      <c r="C458" s="242"/>
      <c r="D458" s="242"/>
      <c r="E458" s="242"/>
      <c r="F458" s="242"/>
      <c r="G458" s="243"/>
      <c r="H458" s="242"/>
      <c r="I458" s="242"/>
      <c r="J458" s="242"/>
      <c r="K458" s="242"/>
    </row>
    <row r="459" ht="37.5" customHeight="1">
      <c r="A459" s="242"/>
      <c r="B459" s="243"/>
      <c r="C459" s="242"/>
      <c r="D459" s="242"/>
      <c r="E459" s="242"/>
      <c r="F459" s="242"/>
      <c r="G459" s="243"/>
      <c r="H459" s="242"/>
      <c r="I459" s="242"/>
      <c r="J459" s="242"/>
      <c r="K459" s="242"/>
    </row>
    <row r="460" ht="37.5" customHeight="1">
      <c r="A460" s="242"/>
      <c r="B460" s="243"/>
      <c r="C460" s="242"/>
      <c r="D460" s="242"/>
      <c r="E460" s="242"/>
      <c r="F460" s="242"/>
      <c r="G460" s="243"/>
      <c r="H460" s="242"/>
      <c r="I460" s="242"/>
      <c r="J460" s="242"/>
      <c r="K460" s="242"/>
    </row>
    <row r="461" ht="37.5" customHeight="1">
      <c r="A461" s="242"/>
      <c r="B461" s="243"/>
      <c r="C461" s="242"/>
      <c r="D461" s="242"/>
      <c r="E461" s="242"/>
      <c r="F461" s="242"/>
      <c r="G461" s="243"/>
      <c r="H461" s="242"/>
      <c r="I461" s="242"/>
      <c r="J461" s="242"/>
      <c r="K461" s="242"/>
    </row>
    <row r="462" ht="37.5" customHeight="1">
      <c r="A462" s="242"/>
      <c r="B462" s="243"/>
      <c r="C462" s="242"/>
      <c r="D462" s="242"/>
      <c r="E462" s="242"/>
      <c r="F462" s="242"/>
      <c r="G462" s="243"/>
      <c r="H462" s="242"/>
      <c r="I462" s="242"/>
      <c r="J462" s="242"/>
      <c r="K462" s="242"/>
    </row>
    <row r="463" ht="37.5" customHeight="1">
      <c r="A463" s="242"/>
      <c r="B463" s="243"/>
      <c r="C463" s="242"/>
      <c r="D463" s="242"/>
      <c r="E463" s="242"/>
      <c r="F463" s="242"/>
      <c r="G463" s="243"/>
      <c r="H463" s="242"/>
      <c r="I463" s="242"/>
      <c r="J463" s="242"/>
      <c r="K463" s="242"/>
    </row>
    <row r="464" ht="37.5" customHeight="1">
      <c r="A464" s="242"/>
      <c r="B464" s="243"/>
      <c r="C464" s="242"/>
      <c r="D464" s="242"/>
      <c r="E464" s="242"/>
      <c r="F464" s="242"/>
      <c r="G464" s="243"/>
      <c r="H464" s="242"/>
      <c r="I464" s="242"/>
      <c r="J464" s="242"/>
      <c r="K464" s="242"/>
    </row>
    <row r="465" ht="37.5" customHeight="1">
      <c r="A465" s="242"/>
      <c r="B465" s="243"/>
      <c r="C465" s="242"/>
      <c r="D465" s="242"/>
      <c r="E465" s="242"/>
      <c r="F465" s="242"/>
      <c r="G465" s="243"/>
      <c r="H465" s="242"/>
      <c r="I465" s="242"/>
      <c r="J465" s="242"/>
      <c r="K465" s="242"/>
    </row>
    <row r="466" ht="37.5" customHeight="1">
      <c r="A466" s="242"/>
      <c r="B466" s="243"/>
      <c r="C466" s="242"/>
      <c r="D466" s="242"/>
      <c r="E466" s="242"/>
      <c r="F466" s="242"/>
      <c r="G466" s="243"/>
      <c r="H466" s="242"/>
      <c r="I466" s="242"/>
      <c r="J466" s="242"/>
      <c r="K466" s="242"/>
    </row>
    <row r="467" ht="37.5" customHeight="1">
      <c r="A467" s="242"/>
      <c r="B467" s="243"/>
      <c r="C467" s="242"/>
      <c r="D467" s="242"/>
      <c r="E467" s="242"/>
      <c r="F467" s="242"/>
      <c r="G467" s="243"/>
      <c r="H467" s="242"/>
      <c r="I467" s="242"/>
      <c r="J467" s="242"/>
      <c r="K467" s="242"/>
    </row>
    <row r="468" ht="37.5" customHeight="1">
      <c r="A468" s="242"/>
      <c r="B468" s="243"/>
      <c r="C468" s="242"/>
      <c r="D468" s="242"/>
      <c r="E468" s="242"/>
      <c r="F468" s="242"/>
      <c r="G468" s="243"/>
      <c r="H468" s="242"/>
      <c r="I468" s="242"/>
      <c r="J468" s="242"/>
      <c r="K468" s="242"/>
    </row>
    <row r="469" ht="37.5" customHeight="1">
      <c r="A469" s="242"/>
      <c r="B469" s="243"/>
      <c r="C469" s="242"/>
      <c r="D469" s="242"/>
      <c r="E469" s="242"/>
      <c r="F469" s="242"/>
      <c r="G469" s="243"/>
      <c r="H469" s="242"/>
      <c r="I469" s="242"/>
      <c r="J469" s="242"/>
      <c r="K469" s="242"/>
    </row>
    <row r="470" ht="37.5" customHeight="1">
      <c r="A470" s="242"/>
      <c r="B470" s="243"/>
      <c r="C470" s="242"/>
      <c r="D470" s="242"/>
      <c r="E470" s="242"/>
      <c r="F470" s="242"/>
      <c r="G470" s="243"/>
      <c r="H470" s="242"/>
      <c r="I470" s="242"/>
      <c r="J470" s="242"/>
      <c r="K470" s="242"/>
    </row>
    <row r="471" ht="37.5" customHeight="1">
      <c r="A471" s="242"/>
      <c r="B471" s="243"/>
      <c r="C471" s="242"/>
      <c r="D471" s="242"/>
      <c r="E471" s="242"/>
      <c r="F471" s="242"/>
      <c r="G471" s="243"/>
      <c r="H471" s="242"/>
      <c r="I471" s="242"/>
      <c r="J471" s="242"/>
      <c r="K471" s="242"/>
    </row>
    <row r="472" ht="37.5" customHeight="1">
      <c r="A472" s="242"/>
      <c r="B472" s="243"/>
      <c r="C472" s="242"/>
      <c r="D472" s="242"/>
      <c r="E472" s="242"/>
      <c r="F472" s="242"/>
      <c r="G472" s="243"/>
      <c r="H472" s="242"/>
      <c r="I472" s="242"/>
      <c r="J472" s="242"/>
      <c r="K472" s="242"/>
    </row>
    <row r="473" ht="37.5" customHeight="1">
      <c r="A473" s="242"/>
      <c r="B473" s="243"/>
      <c r="C473" s="242"/>
      <c r="D473" s="242"/>
      <c r="E473" s="242"/>
      <c r="F473" s="242"/>
      <c r="G473" s="243"/>
      <c r="H473" s="242"/>
      <c r="I473" s="242"/>
      <c r="J473" s="242"/>
      <c r="K473" s="242"/>
    </row>
    <row r="474" ht="37.5" customHeight="1">
      <c r="A474" s="242"/>
      <c r="B474" s="243"/>
      <c r="C474" s="242"/>
      <c r="D474" s="242"/>
      <c r="E474" s="242"/>
      <c r="F474" s="242"/>
      <c r="G474" s="243"/>
      <c r="H474" s="242"/>
      <c r="I474" s="242"/>
      <c r="J474" s="242"/>
      <c r="K474" s="242"/>
    </row>
    <row r="475" ht="37.5" customHeight="1">
      <c r="A475" s="242"/>
      <c r="B475" s="243"/>
      <c r="C475" s="242"/>
      <c r="D475" s="242"/>
      <c r="E475" s="242"/>
      <c r="F475" s="242"/>
      <c r="G475" s="243"/>
      <c r="H475" s="242"/>
      <c r="I475" s="242"/>
      <c r="J475" s="242"/>
      <c r="K475" s="242"/>
    </row>
    <row r="476" ht="37.5" customHeight="1">
      <c r="A476" s="242"/>
      <c r="B476" s="243"/>
      <c r="C476" s="242"/>
      <c r="D476" s="242"/>
      <c r="E476" s="242"/>
      <c r="F476" s="242"/>
      <c r="G476" s="243"/>
      <c r="H476" s="242"/>
      <c r="I476" s="242"/>
      <c r="J476" s="242"/>
      <c r="K476" s="242"/>
    </row>
    <row r="477" ht="37.5" customHeight="1">
      <c r="A477" s="242"/>
      <c r="B477" s="243"/>
      <c r="C477" s="242"/>
      <c r="D477" s="242"/>
      <c r="E477" s="242"/>
      <c r="F477" s="242"/>
      <c r="G477" s="243"/>
      <c r="H477" s="242"/>
      <c r="I477" s="242"/>
      <c r="J477" s="242"/>
      <c r="K477" s="242"/>
    </row>
    <row r="478" ht="37.5" customHeight="1">
      <c r="A478" s="242"/>
      <c r="B478" s="243"/>
      <c r="C478" s="242"/>
      <c r="D478" s="242"/>
      <c r="E478" s="242"/>
      <c r="F478" s="242"/>
      <c r="G478" s="243"/>
      <c r="H478" s="242"/>
      <c r="I478" s="242"/>
      <c r="J478" s="242"/>
      <c r="K478" s="242"/>
    </row>
    <row r="479" ht="37.5" customHeight="1">
      <c r="A479" s="242"/>
      <c r="B479" s="243"/>
      <c r="C479" s="242"/>
      <c r="D479" s="242"/>
      <c r="E479" s="242"/>
      <c r="F479" s="242"/>
      <c r="G479" s="243"/>
      <c r="H479" s="242"/>
      <c r="I479" s="242"/>
      <c r="J479" s="242"/>
      <c r="K479" s="242"/>
    </row>
    <row r="480" ht="37.5" customHeight="1">
      <c r="A480" s="242"/>
      <c r="B480" s="243"/>
      <c r="C480" s="242"/>
      <c r="D480" s="242"/>
      <c r="E480" s="242"/>
      <c r="F480" s="242"/>
      <c r="G480" s="243"/>
      <c r="H480" s="242"/>
      <c r="I480" s="242"/>
      <c r="J480" s="242"/>
      <c r="K480" s="242"/>
    </row>
    <row r="481" ht="37.5" customHeight="1">
      <c r="A481" s="242"/>
      <c r="B481" s="243"/>
      <c r="C481" s="242"/>
      <c r="D481" s="242"/>
      <c r="E481" s="242"/>
      <c r="F481" s="242"/>
      <c r="G481" s="243"/>
      <c r="H481" s="242"/>
      <c r="I481" s="242"/>
      <c r="J481" s="242"/>
      <c r="K481" s="242"/>
    </row>
    <row r="482" ht="37.5" customHeight="1">
      <c r="A482" s="242"/>
      <c r="B482" s="243"/>
      <c r="C482" s="242"/>
      <c r="D482" s="242"/>
      <c r="E482" s="242"/>
      <c r="F482" s="242"/>
      <c r="G482" s="243"/>
      <c r="H482" s="242"/>
      <c r="I482" s="242"/>
      <c r="J482" s="242"/>
      <c r="K482" s="242"/>
    </row>
    <row r="483" ht="37.5" customHeight="1">
      <c r="A483" s="242"/>
      <c r="B483" s="243"/>
      <c r="C483" s="242"/>
      <c r="D483" s="242"/>
      <c r="E483" s="242"/>
      <c r="F483" s="242"/>
      <c r="G483" s="243"/>
      <c r="H483" s="242"/>
      <c r="I483" s="242"/>
      <c r="J483" s="242"/>
      <c r="K483" s="242"/>
    </row>
    <row r="484" ht="37.5" customHeight="1">
      <c r="A484" s="242"/>
      <c r="B484" s="243"/>
      <c r="C484" s="242"/>
      <c r="D484" s="242"/>
      <c r="E484" s="242"/>
      <c r="F484" s="242"/>
      <c r="G484" s="243"/>
      <c r="H484" s="242"/>
      <c r="I484" s="242"/>
      <c r="J484" s="242"/>
      <c r="K484" s="242"/>
    </row>
    <row r="485" ht="37.5" customHeight="1">
      <c r="A485" s="242"/>
      <c r="B485" s="243"/>
      <c r="C485" s="242"/>
      <c r="D485" s="242"/>
      <c r="E485" s="242"/>
      <c r="F485" s="242"/>
      <c r="G485" s="243"/>
      <c r="H485" s="242"/>
      <c r="I485" s="242"/>
      <c r="J485" s="242"/>
      <c r="K485" s="242"/>
    </row>
    <row r="486" ht="37.5" customHeight="1">
      <c r="A486" s="242"/>
      <c r="B486" s="243"/>
      <c r="C486" s="242"/>
      <c r="D486" s="242"/>
      <c r="E486" s="242"/>
      <c r="F486" s="242"/>
      <c r="G486" s="243"/>
      <c r="H486" s="242"/>
      <c r="I486" s="242"/>
      <c r="J486" s="242"/>
      <c r="K486" s="242"/>
    </row>
    <row r="487" ht="37.5" customHeight="1">
      <c r="A487" s="242"/>
      <c r="B487" s="243"/>
      <c r="C487" s="242"/>
      <c r="D487" s="242"/>
      <c r="E487" s="242"/>
      <c r="F487" s="242"/>
      <c r="G487" s="243"/>
      <c r="H487" s="242"/>
      <c r="I487" s="242"/>
      <c r="J487" s="242"/>
      <c r="K487" s="242"/>
    </row>
    <row r="488" ht="37.5" customHeight="1">
      <c r="A488" s="242"/>
      <c r="B488" s="243"/>
      <c r="C488" s="242"/>
      <c r="D488" s="242"/>
      <c r="E488" s="242"/>
      <c r="F488" s="242"/>
      <c r="G488" s="243"/>
      <c r="H488" s="242"/>
      <c r="I488" s="242"/>
      <c r="J488" s="242"/>
      <c r="K488" s="242"/>
    </row>
    <row r="489" ht="37.5" customHeight="1">
      <c r="A489" s="242"/>
      <c r="B489" s="243"/>
      <c r="C489" s="242"/>
      <c r="D489" s="242"/>
      <c r="E489" s="242"/>
      <c r="F489" s="242"/>
      <c r="G489" s="243"/>
      <c r="H489" s="242"/>
      <c r="I489" s="242"/>
      <c r="J489" s="242"/>
      <c r="K489" s="242"/>
    </row>
    <row r="490" ht="37.5" customHeight="1">
      <c r="A490" s="242"/>
      <c r="B490" s="243"/>
      <c r="C490" s="242"/>
      <c r="D490" s="242"/>
      <c r="E490" s="242"/>
      <c r="F490" s="242"/>
      <c r="G490" s="243"/>
      <c r="H490" s="242"/>
      <c r="I490" s="242"/>
      <c r="J490" s="242"/>
      <c r="K490" s="242"/>
    </row>
    <row r="491" ht="37.5" customHeight="1">
      <c r="A491" s="242"/>
      <c r="B491" s="243"/>
      <c r="C491" s="242"/>
      <c r="D491" s="242"/>
      <c r="E491" s="242"/>
      <c r="F491" s="242"/>
      <c r="G491" s="243"/>
      <c r="H491" s="242"/>
      <c r="I491" s="242"/>
      <c r="J491" s="242"/>
      <c r="K491" s="242"/>
    </row>
    <row r="492" ht="37.5" customHeight="1">
      <c r="A492" s="242"/>
      <c r="B492" s="243"/>
      <c r="C492" s="242"/>
      <c r="D492" s="242"/>
      <c r="E492" s="242"/>
      <c r="F492" s="242"/>
      <c r="G492" s="243"/>
      <c r="H492" s="242"/>
      <c r="I492" s="242"/>
      <c r="J492" s="242"/>
      <c r="K492" s="242"/>
    </row>
    <row r="493" ht="37.5" customHeight="1">
      <c r="A493" s="242"/>
      <c r="B493" s="243"/>
      <c r="C493" s="242"/>
      <c r="D493" s="242"/>
      <c r="E493" s="242"/>
      <c r="F493" s="242"/>
      <c r="G493" s="243"/>
      <c r="H493" s="242"/>
      <c r="I493" s="242"/>
      <c r="J493" s="242"/>
      <c r="K493" s="242"/>
    </row>
    <row r="494" ht="37.5" customHeight="1">
      <c r="A494" s="242"/>
      <c r="B494" s="243"/>
      <c r="C494" s="242"/>
      <c r="D494" s="242"/>
      <c r="E494" s="242"/>
      <c r="F494" s="242"/>
      <c r="G494" s="243"/>
      <c r="H494" s="242"/>
      <c r="I494" s="242"/>
      <c r="J494" s="242"/>
      <c r="K494" s="242"/>
    </row>
    <row r="495" ht="37.5" customHeight="1">
      <c r="A495" s="242"/>
      <c r="B495" s="243"/>
      <c r="C495" s="242"/>
      <c r="D495" s="242"/>
      <c r="E495" s="242"/>
      <c r="F495" s="242"/>
      <c r="G495" s="243"/>
      <c r="H495" s="242"/>
      <c r="I495" s="242"/>
      <c r="J495" s="242"/>
      <c r="K495" s="242"/>
    </row>
    <row r="496" ht="37.5" customHeight="1">
      <c r="A496" s="242"/>
      <c r="B496" s="243"/>
      <c r="C496" s="242"/>
      <c r="D496" s="242"/>
      <c r="E496" s="242"/>
      <c r="F496" s="242"/>
      <c r="G496" s="243"/>
      <c r="H496" s="242"/>
      <c r="I496" s="242"/>
      <c r="J496" s="242"/>
      <c r="K496" s="242"/>
    </row>
    <row r="497" ht="37.5" customHeight="1">
      <c r="A497" s="242"/>
      <c r="B497" s="243"/>
      <c r="C497" s="242"/>
      <c r="D497" s="242"/>
      <c r="E497" s="242"/>
      <c r="F497" s="242"/>
      <c r="G497" s="243"/>
      <c r="H497" s="242"/>
      <c r="I497" s="242"/>
      <c r="J497" s="242"/>
      <c r="K497" s="242"/>
    </row>
    <row r="498" ht="37.5" customHeight="1">
      <c r="A498" s="242"/>
      <c r="B498" s="243"/>
      <c r="C498" s="242"/>
      <c r="D498" s="242"/>
      <c r="E498" s="242"/>
      <c r="F498" s="242"/>
      <c r="G498" s="243"/>
      <c r="H498" s="242"/>
      <c r="I498" s="242"/>
      <c r="J498" s="242"/>
      <c r="K498" s="242"/>
    </row>
    <row r="499" ht="37.5" customHeight="1">
      <c r="A499" s="242"/>
      <c r="B499" s="243"/>
      <c r="C499" s="242"/>
      <c r="D499" s="242"/>
      <c r="E499" s="242"/>
      <c r="F499" s="242"/>
      <c r="G499" s="243"/>
      <c r="H499" s="242"/>
      <c r="I499" s="242"/>
      <c r="J499" s="242"/>
      <c r="K499" s="242"/>
    </row>
    <row r="500" ht="37.5" customHeight="1">
      <c r="A500" s="242"/>
      <c r="B500" s="243"/>
      <c r="C500" s="242"/>
      <c r="D500" s="242"/>
      <c r="E500" s="242"/>
      <c r="F500" s="242"/>
      <c r="G500" s="243"/>
      <c r="H500" s="242"/>
      <c r="I500" s="242"/>
      <c r="J500" s="242"/>
      <c r="K500" s="242"/>
    </row>
    <row r="501" ht="37.5" customHeight="1">
      <c r="A501" s="242"/>
      <c r="B501" s="243"/>
      <c r="C501" s="242"/>
      <c r="D501" s="242"/>
      <c r="E501" s="242"/>
      <c r="F501" s="242"/>
      <c r="G501" s="243"/>
      <c r="H501" s="242"/>
      <c r="I501" s="242"/>
      <c r="J501" s="242"/>
      <c r="K501" s="242"/>
    </row>
    <row r="502" ht="37.5" customHeight="1">
      <c r="A502" s="242"/>
      <c r="B502" s="243"/>
      <c r="C502" s="242"/>
      <c r="D502" s="242"/>
      <c r="E502" s="242"/>
      <c r="F502" s="242"/>
      <c r="G502" s="243"/>
      <c r="H502" s="242"/>
      <c r="I502" s="242"/>
      <c r="J502" s="242"/>
      <c r="K502" s="242"/>
    </row>
    <row r="503" ht="37.5" customHeight="1">
      <c r="A503" s="242"/>
      <c r="B503" s="243"/>
      <c r="C503" s="242"/>
      <c r="D503" s="242"/>
      <c r="E503" s="242"/>
      <c r="F503" s="242"/>
      <c r="G503" s="243"/>
      <c r="H503" s="242"/>
      <c r="I503" s="242"/>
      <c r="J503" s="242"/>
      <c r="K503" s="242"/>
    </row>
    <row r="504" ht="37.5" customHeight="1">
      <c r="A504" s="242"/>
      <c r="B504" s="243"/>
      <c r="C504" s="242"/>
      <c r="D504" s="242"/>
      <c r="E504" s="242"/>
      <c r="F504" s="242"/>
      <c r="G504" s="243"/>
      <c r="H504" s="242"/>
      <c r="I504" s="242"/>
      <c r="J504" s="242"/>
      <c r="K504" s="242"/>
    </row>
    <row r="505" ht="37.5" customHeight="1">
      <c r="A505" s="242"/>
      <c r="B505" s="243"/>
      <c r="C505" s="242"/>
      <c r="D505" s="242"/>
      <c r="E505" s="242"/>
      <c r="F505" s="242"/>
      <c r="G505" s="243"/>
      <c r="H505" s="242"/>
      <c r="I505" s="242"/>
      <c r="J505" s="242"/>
      <c r="K505" s="242"/>
    </row>
    <row r="506" ht="37.5" customHeight="1">
      <c r="A506" s="242"/>
      <c r="B506" s="243"/>
      <c r="C506" s="242"/>
      <c r="D506" s="242"/>
      <c r="E506" s="242"/>
      <c r="F506" s="242"/>
      <c r="G506" s="243"/>
      <c r="H506" s="242"/>
      <c r="I506" s="242"/>
      <c r="J506" s="242"/>
      <c r="K506" s="242"/>
    </row>
    <row r="507" ht="37.5" customHeight="1">
      <c r="A507" s="242"/>
      <c r="B507" s="243"/>
      <c r="C507" s="242"/>
      <c r="D507" s="242"/>
      <c r="E507" s="242"/>
      <c r="F507" s="242"/>
      <c r="G507" s="243"/>
      <c r="H507" s="242"/>
      <c r="I507" s="242"/>
      <c r="J507" s="242"/>
      <c r="K507" s="242"/>
    </row>
    <row r="508" ht="37.5" customHeight="1">
      <c r="A508" s="242"/>
      <c r="B508" s="243"/>
      <c r="C508" s="242"/>
      <c r="D508" s="242"/>
      <c r="E508" s="242"/>
      <c r="F508" s="242"/>
      <c r="G508" s="243"/>
      <c r="H508" s="242"/>
      <c r="I508" s="242"/>
      <c r="J508" s="242"/>
      <c r="K508" s="242"/>
    </row>
    <row r="509" ht="37.5" customHeight="1">
      <c r="A509" s="242"/>
      <c r="B509" s="243"/>
      <c r="C509" s="242"/>
      <c r="D509" s="242"/>
      <c r="E509" s="242"/>
      <c r="F509" s="242"/>
      <c r="G509" s="243"/>
      <c r="H509" s="242"/>
      <c r="I509" s="242"/>
      <c r="J509" s="242"/>
      <c r="K509" s="242"/>
    </row>
    <row r="510" ht="37.5" customHeight="1">
      <c r="A510" s="242"/>
      <c r="B510" s="243"/>
      <c r="C510" s="242"/>
      <c r="D510" s="242"/>
      <c r="E510" s="242"/>
      <c r="F510" s="242"/>
      <c r="G510" s="243"/>
      <c r="H510" s="242"/>
      <c r="I510" s="242"/>
      <c r="J510" s="242"/>
      <c r="K510" s="242"/>
    </row>
    <row r="511" ht="37.5" customHeight="1">
      <c r="A511" s="242"/>
      <c r="B511" s="243"/>
      <c r="C511" s="242"/>
      <c r="D511" s="242"/>
      <c r="E511" s="242"/>
      <c r="F511" s="242"/>
      <c r="G511" s="243"/>
      <c r="H511" s="242"/>
      <c r="I511" s="242"/>
      <c r="J511" s="242"/>
      <c r="K511" s="242"/>
    </row>
    <row r="512" ht="37.5" customHeight="1">
      <c r="A512" s="242"/>
      <c r="B512" s="243"/>
      <c r="C512" s="242"/>
      <c r="D512" s="242"/>
      <c r="E512" s="242"/>
      <c r="F512" s="242"/>
      <c r="G512" s="243"/>
      <c r="H512" s="242"/>
      <c r="I512" s="242"/>
      <c r="J512" s="242"/>
      <c r="K512" s="242"/>
    </row>
    <row r="513" ht="37.5" customHeight="1">
      <c r="A513" s="242"/>
      <c r="B513" s="243"/>
      <c r="C513" s="242"/>
      <c r="D513" s="242"/>
      <c r="E513" s="242"/>
      <c r="F513" s="242"/>
      <c r="G513" s="243"/>
      <c r="H513" s="242"/>
      <c r="I513" s="242"/>
      <c r="J513" s="242"/>
      <c r="K513" s="242"/>
    </row>
    <row r="514" ht="37.5" customHeight="1">
      <c r="A514" s="242"/>
      <c r="B514" s="243"/>
      <c r="C514" s="242"/>
      <c r="D514" s="242"/>
      <c r="E514" s="242"/>
      <c r="F514" s="242"/>
      <c r="G514" s="243"/>
      <c r="H514" s="242"/>
      <c r="I514" s="242"/>
      <c r="J514" s="242"/>
      <c r="K514" s="242"/>
    </row>
    <row r="515" ht="37.5" customHeight="1">
      <c r="A515" s="242"/>
      <c r="B515" s="243"/>
      <c r="C515" s="242"/>
      <c r="D515" s="242"/>
      <c r="E515" s="242"/>
      <c r="F515" s="242"/>
      <c r="G515" s="243"/>
      <c r="H515" s="242"/>
      <c r="I515" s="242"/>
      <c r="J515" s="242"/>
      <c r="K515" s="242"/>
    </row>
    <row r="516" ht="37.5" customHeight="1">
      <c r="A516" s="242"/>
      <c r="B516" s="243"/>
      <c r="C516" s="242"/>
      <c r="D516" s="242"/>
      <c r="E516" s="242"/>
      <c r="F516" s="242"/>
      <c r="G516" s="243"/>
      <c r="H516" s="242"/>
      <c r="I516" s="242"/>
      <c r="J516" s="242"/>
      <c r="K516" s="242"/>
    </row>
    <row r="517" ht="37.5" customHeight="1">
      <c r="A517" s="242"/>
      <c r="B517" s="243"/>
      <c r="C517" s="242"/>
      <c r="D517" s="242"/>
      <c r="E517" s="242"/>
      <c r="F517" s="242"/>
      <c r="G517" s="243"/>
      <c r="H517" s="242"/>
      <c r="I517" s="242"/>
      <c r="J517" s="242"/>
      <c r="K517" s="242"/>
    </row>
    <row r="518" ht="37.5" customHeight="1">
      <c r="A518" s="242"/>
      <c r="B518" s="243"/>
      <c r="C518" s="242"/>
      <c r="D518" s="242"/>
      <c r="E518" s="242"/>
      <c r="F518" s="242"/>
      <c r="G518" s="243"/>
      <c r="H518" s="242"/>
      <c r="I518" s="242"/>
      <c r="J518" s="242"/>
      <c r="K518" s="242"/>
    </row>
    <row r="519" ht="37.5" customHeight="1">
      <c r="A519" s="242"/>
      <c r="B519" s="243"/>
      <c r="C519" s="242"/>
      <c r="D519" s="242"/>
      <c r="E519" s="242"/>
      <c r="F519" s="242"/>
      <c r="G519" s="243"/>
      <c r="H519" s="242"/>
      <c r="I519" s="242"/>
      <c r="J519" s="242"/>
      <c r="K519" s="242"/>
    </row>
    <row r="520" ht="37.5" customHeight="1">
      <c r="A520" s="242"/>
      <c r="B520" s="243"/>
      <c r="C520" s="242"/>
      <c r="D520" s="242"/>
      <c r="E520" s="242"/>
      <c r="F520" s="242"/>
      <c r="G520" s="243"/>
      <c r="H520" s="242"/>
      <c r="I520" s="242"/>
      <c r="J520" s="242"/>
      <c r="K520" s="242"/>
    </row>
    <row r="521" ht="37.5" customHeight="1">
      <c r="A521" s="242"/>
      <c r="B521" s="243"/>
      <c r="C521" s="242"/>
      <c r="D521" s="242"/>
      <c r="E521" s="242"/>
      <c r="F521" s="242"/>
      <c r="G521" s="243"/>
      <c r="H521" s="242"/>
      <c r="I521" s="242"/>
      <c r="J521" s="242"/>
      <c r="K521" s="242"/>
    </row>
    <row r="522" ht="37.5" customHeight="1">
      <c r="A522" s="242"/>
      <c r="B522" s="243"/>
      <c r="C522" s="242"/>
      <c r="D522" s="242"/>
      <c r="E522" s="242"/>
      <c r="F522" s="242"/>
      <c r="G522" s="243"/>
      <c r="H522" s="242"/>
      <c r="I522" s="242"/>
      <c r="J522" s="242"/>
      <c r="K522" s="242"/>
    </row>
    <row r="523" ht="37.5" customHeight="1">
      <c r="A523" s="242"/>
      <c r="B523" s="243"/>
      <c r="C523" s="242"/>
      <c r="D523" s="242"/>
      <c r="E523" s="242"/>
      <c r="F523" s="242"/>
      <c r="G523" s="243"/>
      <c r="H523" s="242"/>
      <c r="I523" s="242"/>
      <c r="J523" s="242"/>
      <c r="K523" s="242"/>
    </row>
    <row r="524" ht="37.5" customHeight="1">
      <c r="A524" s="242"/>
      <c r="B524" s="243"/>
      <c r="C524" s="242"/>
      <c r="D524" s="242"/>
      <c r="E524" s="242"/>
      <c r="F524" s="242"/>
      <c r="G524" s="243"/>
      <c r="H524" s="242"/>
      <c r="I524" s="242"/>
      <c r="J524" s="242"/>
      <c r="K524" s="242"/>
    </row>
    <row r="525" ht="37.5" customHeight="1">
      <c r="A525" s="242"/>
      <c r="B525" s="243"/>
      <c r="C525" s="242"/>
      <c r="D525" s="242"/>
      <c r="E525" s="242"/>
      <c r="F525" s="242"/>
      <c r="G525" s="243"/>
      <c r="H525" s="242"/>
      <c r="I525" s="242"/>
      <c r="J525" s="242"/>
      <c r="K525" s="242"/>
    </row>
    <row r="526" ht="37.5" customHeight="1">
      <c r="A526" s="242"/>
      <c r="B526" s="243"/>
      <c r="C526" s="242"/>
      <c r="D526" s="242"/>
      <c r="E526" s="242"/>
      <c r="F526" s="242"/>
      <c r="G526" s="243"/>
      <c r="H526" s="242"/>
      <c r="I526" s="242"/>
      <c r="J526" s="242"/>
      <c r="K526" s="242"/>
    </row>
    <row r="527" ht="37.5" customHeight="1">
      <c r="A527" s="242"/>
      <c r="B527" s="243"/>
      <c r="C527" s="242"/>
      <c r="D527" s="242"/>
      <c r="E527" s="242"/>
      <c r="F527" s="242"/>
      <c r="G527" s="243"/>
      <c r="H527" s="242"/>
      <c r="I527" s="242"/>
      <c r="J527" s="242"/>
      <c r="K527" s="242"/>
    </row>
    <row r="528" ht="37.5" customHeight="1">
      <c r="A528" s="242"/>
      <c r="B528" s="243"/>
      <c r="C528" s="242"/>
      <c r="D528" s="242"/>
      <c r="E528" s="242"/>
      <c r="F528" s="242"/>
      <c r="G528" s="243"/>
      <c r="H528" s="242"/>
      <c r="I528" s="242"/>
      <c r="J528" s="242"/>
      <c r="K528" s="242"/>
    </row>
    <row r="529" ht="37.5" customHeight="1">
      <c r="A529" s="242"/>
      <c r="B529" s="243"/>
      <c r="C529" s="242"/>
      <c r="D529" s="242"/>
      <c r="E529" s="242"/>
      <c r="F529" s="242"/>
      <c r="G529" s="243"/>
      <c r="H529" s="242"/>
      <c r="I529" s="242"/>
      <c r="J529" s="242"/>
      <c r="K529" s="242"/>
    </row>
    <row r="530" ht="37.5" customHeight="1">
      <c r="A530" s="242"/>
      <c r="B530" s="243"/>
      <c r="C530" s="242"/>
      <c r="D530" s="242"/>
      <c r="E530" s="242"/>
      <c r="F530" s="242"/>
      <c r="G530" s="243"/>
      <c r="H530" s="242"/>
      <c r="I530" s="242"/>
      <c r="J530" s="242"/>
      <c r="K530" s="242"/>
    </row>
    <row r="531" ht="37.5" customHeight="1">
      <c r="A531" s="242"/>
      <c r="B531" s="243"/>
      <c r="C531" s="242"/>
      <c r="D531" s="242"/>
      <c r="E531" s="242"/>
      <c r="F531" s="242"/>
      <c r="G531" s="243"/>
      <c r="H531" s="242"/>
      <c r="I531" s="242"/>
      <c r="J531" s="242"/>
      <c r="K531" s="242"/>
    </row>
    <row r="532" ht="37.5" customHeight="1">
      <c r="A532" s="242"/>
      <c r="B532" s="243"/>
      <c r="C532" s="242"/>
      <c r="D532" s="242"/>
      <c r="E532" s="242"/>
      <c r="F532" s="242"/>
      <c r="G532" s="243"/>
      <c r="H532" s="242"/>
      <c r="I532" s="242"/>
      <c r="J532" s="242"/>
      <c r="K532" s="242"/>
    </row>
    <row r="533" ht="37.5" customHeight="1">
      <c r="A533" s="242"/>
      <c r="B533" s="243"/>
      <c r="C533" s="242"/>
      <c r="D533" s="242"/>
      <c r="E533" s="242"/>
      <c r="F533" s="242"/>
      <c r="G533" s="243"/>
      <c r="H533" s="242"/>
      <c r="I533" s="242"/>
      <c r="J533" s="242"/>
      <c r="K533" s="242"/>
    </row>
    <row r="534" ht="37.5" customHeight="1">
      <c r="A534" s="242"/>
      <c r="B534" s="243"/>
      <c r="C534" s="242"/>
      <c r="D534" s="242"/>
      <c r="E534" s="242"/>
      <c r="F534" s="242"/>
      <c r="G534" s="243"/>
      <c r="H534" s="242"/>
      <c r="I534" s="242"/>
      <c r="J534" s="242"/>
      <c r="K534" s="242"/>
    </row>
    <row r="535" ht="37.5" customHeight="1">
      <c r="A535" s="242"/>
      <c r="B535" s="243"/>
      <c r="C535" s="242"/>
      <c r="D535" s="242"/>
      <c r="E535" s="242"/>
      <c r="F535" s="242"/>
      <c r="G535" s="243"/>
      <c r="H535" s="242"/>
      <c r="I535" s="242"/>
      <c r="J535" s="242"/>
      <c r="K535" s="242"/>
    </row>
    <row r="536" ht="37.5" customHeight="1">
      <c r="A536" s="242"/>
      <c r="B536" s="243"/>
      <c r="C536" s="242"/>
      <c r="D536" s="242"/>
      <c r="E536" s="242"/>
      <c r="F536" s="242"/>
      <c r="G536" s="243"/>
      <c r="H536" s="242"/>
      <c r="I536" s="242"/>
      <c r="J536" s="242"/>
      <c r="K536" s="242"/>
    </row>
    <row r="537" ht="37.5" customHeight="1">
      <c r="A537" s="242"/>
      <c r="B537" s="243"/>
      <c r="C537" s="242"/>
      <c r="D537" s="242"/>
      <c r="E537" s="242"/>
      <c r="F537" s="242"/>
      <c r="G537" s="243"/>
      <c r="H537" s="242"/>
      <c r="I537" s="242"/>
      <c r="J537" s="242"/>
      <c r="K537" s="242"/>
    </row>
    <row r="538" ht="37.5" customHeight="1">
      <c r="A538" s="242"/>
      <c r="B538" s="243"/>
      <c r="C538" s="242"/>
      <c r="D538" s="242"/>
      <c r="E538" s="242"/>
      <c r="F538" s="242"/>
      <c r="G538" s="243"/>
      <c r="H538" s="242"/>
      <c r="I538" s="242"/>
      <c r="J538" s="242"/>
      <c r="K538" s="242"/>
    </row>
    <row r="539" ht="37.5" customHeight="1">
      <c r="A539" s="242"/>
      <c r="B539" s="243"/>
      <c r="C539" s="242"/>
      <c r="D539" s="242"/>
      <c r="E539" s="242"/>
      <c r="F539" s="242"/>
      <c r="G539" s="243"/>
      <c r="H539" s="242"/>
      <c r="I539" s="242"/>
      <c r="J539" s="242"/>
      <c r="K539" s="242"/>
    </row>
    <row r="540" ht="37.5" customHeight="1">
      <c r="A540" s="242"/>
      <c r="B540" s="243"/>
      <c r="C540" s="242"/>
      <c r="D540" s="242"/>
      <c r="E540" s="242"/>
      <c r="F540" s="242"/>
      <c r="G540" s="243"/>
      <c r="H540" s="242"/>
      <c r="I540" s="242"/>
      <c r="J540" s="242"/>
      <c r="K540" s="242"/>
    </row>
    <row r="541" ht="37.5" customHeight="1">
      <c r="A541" s="242"/>
      <c r="B541" s="243"/>
      <c r="C541" s="242"/>
      <c r="D541" s="242"/>
      <c r="E541" s="242"/>
      <c r="F541" s="242"/>
      <c r="G541" s="243"/>
      <c r="H541" s="242"/>
      <c r="I541" s="242"/>
      <c r="J541" s="242"/>
      <c r="K541" s="242"/>
    </row>
    <row r="542" ht="37.5" customHeight="1">
      <c r="A542" s="242"/>
      <c r="B542" s="243"/>
      <c r="C542" s="242"/>
      <c r="D542" s="242"/>
      <c r="E542" s="242"/>
      <c r="F542" s="242"/>
      <c r="G542" s="243"/>
      <c r="H542" s="242"/>
      <c r="I542" s="242"/>
      <c r="J542" s="242"/>
      <c r="K542" s="242"/>
    </row>
    <row r="543" ht="37.5" customHeight="1">
      <c r="A543" s="242"/>
      <c r="B543" s="243"/>
      <c r="C543" s="242"/>
      <c r="D543" s="242"/>
      <c r="E543" s="242"/>
      <c r="F543" s="242"/>
      <c r="G543" s="243"/>
      <c r="H543" s="242"/>
      <c r="I543" s="242"/>
      <c r="J543" s="242"/>
      <c r="K543" s="242"/>
    </row>
    <row r="544" ht="37.5" customHeight="1">
      <c r="A544" s="242"/>
      <c r="B544" s="243"/>
      <c r="C544" s="242"/>
      <c r="D544" s="242"/>
      <c r="E544" s="242"/>
      <c r="F544" s="242"/>
      <c r="G544" s="243"/>
      <c r="H544" s="242"/>
      <c r="I544" s="242"/>
      <c r="J544" s="242"/>
      <c r="K544" s="242"/>
    </row>
    <row r="545" ht="37.5" customHeight="1">
      <c r="A545" s="242"/>
      <c r="B545" s="243"/>
      <c r="C545" s="242"/>
      <c r="D545" s="242"/>
      <c r="E545" s="242"/>
      <c r="F545" s="242"/>
      <c r="G545" s="243"/>
      <c r="H545" s="242"/>
      <c r="I545" s="242"/>
      <c r="J545" s="242"/>
      <c r="K545" s="242"/>
    </row>
    <row r="546" ht="37.5" customHeight="1">
      <c r="A546" s="242"/>
      <c r="B546" s="243"/>
      <c r="C546" s="242"/>
      <c r="D546" s="242"/>
      <c r="E546" s="242"/>
      <c r="F546" s="242"/>
      <c r="G546" s="243"/>
      <c r="H546" s="242"/>
      <c r="I546" s="242"/>
      <c r="J546" s="242"/>
      <c r="K546" s="242"/>
    </row>
    <row r="547" ht="37.5" customHeight="1">
      <c r="A547" s="242"/>
      <c r="B547" s="243"/>
      <c r="C547" s="242"/>
      <c r="D547" s="242"/>
      <c r="E547" s="242"/>
      <c r="F547" s="242"/>
      <c r="G547" s="243"/>
      <c r="H547" s="242"/>
      <c r="I547" s="242"/>
      <c r="J547" s="242"/>
      <c r="K547" s="242"/>
    </row>
    <row r="548" ht="37.5" customHeight="1">
      <c r="A548" s="242"/>
      <c r="B548" s="243"/>
      <c r="C548" s="242"/>
      <c r="D548" s="242"/>
      <c r="E548" s="242"/>
      <c r="F548" s="242"/>
      <c r="G548" s="243"/>
      <c r="H548" s="242"/>
      <c r="I548" s="242"/>
      <c r="J548" s="242"/>
      <c r="K548" s="242"/>
    </row>
    <row r="549" ht="37.5" customHeight="1">
      <c r="A549" s="242"/>
      <c r="B549" s="243"/>
      <c r="C549" s="242"/>
      <c r="D549" s="242"/>
      <c r="E549" s="242"/>
      <c r="F549" s="242"/>
      <c r="G549" s="243"/>
      <c r="H549" s="242"/>
      <c r="I549" s="242"/>
      <c r="J549" s="242"/>
      <c r="K549" s="242"/>
    </row>
    <row r="550" ht="37.5" customHeight="1">
      <c r="A550" s="242"/>
      <c r="B550" s="243"/>
      <c r="C550" s="242"/>
      <c r="D550" s="242"/>
      <c r="E550" s="242"/>
      <c r="F550" s="242"/>
      <c r="G550" s="243"/>
      <c r="H550" s="242"/>
      <c r="I550" s="242"/>
      <c r="J550" s="242"/>
      <c r="K550" s="242"/>
    </row>
    <row r="551" ht="37.5" customHeight="1">
      <c r="A551" s="242"/>
      <c r="B551" s="243"/>
      <c r="C551" s="242"/>
      <c r="D551" s="242"/>
      <c r="E551" s="242"/>
      <c r="F551" s="242"/>
      <c r="G551" s="243"/>
      <c r="H551" s="242"/>
      <c r="I551" s="242"/>
      <c r="J551" s="242"/>
      <c r="K551" s="242"/>
    </row>
    <row r="552" ht="37.5" customHeight="1">
      <c r="A552" s="242"/>
      <c r="B552" s="243"/>
      <c r="C552" s="242"/>
      <c r="D552" s="242"/>
      <c r="E552" s="242"/>
      <c r="F552" s="242"/>
      <c r="G552" s="243"/>
      <c r="H552" s="242"/>
      <c r="I552" s="242"/>
      <c r="J552" s="242"/>
      <c r="K552" s="242"/>
    </row>
    <row r="553" ht="37.5" customHeight="1">
      <c r="A553" s="242"/>
      <c r="B553" s="243"/>
      <c r="C553" s="242"/>
      <c r="D553" s="242"/>
      <c r="E553" s="242"/>
      <c r="F553" s="242"/>
      <c r="G553" s="243"/>
      <c r="H553" s="242"/>
      <c r="I553" s="242"/>
      <c r="J553" s="242"/>
      <c r="K553" s="242"/>
    </row>
    <row r="554" ht="37.5" customHeight="1">
      <c r="A554" s="242"/>
      <c r="B554" s="243"/>
      <c r="C554" s="242"/>
      <c r="D554" s="242"/>
      <c r="E554" s="242"/>
      <c r="F554" s="242"/>
      <c r="G554" s="243"/>
      <c r="H554" s="242"/>
      <c r="I554" s="242"/>
      <c r="J554" s="242"/>
      <c r="K554" s="242"/>
    </row>
    <row r="555" ht="37.5" customHeight="1">
      <c r="A555" s="242"/>
      <c r="B555" s="243"/>
      <c r="C555" s="242"/>
      <c r="D555" s="242"/>
      <c r="E555" s="242"/>
      <c r="F555" s="242"/>
      <c r="G555" s="243"/>
      <c r="H555" s="242"/>
      <c r="I555" s="242"/>
      <c r="J555" s="242"/>
      <c r="K555" s="242"/>
    </row>
    <row r="556" ht="37.5" customHeight="1">
      <c r="A556" s="242"/>
      <c r="B556" s="243"/>
      <c r="C556" s="242"/>
      <c r="D556" s="242"/>
      <c r="E556" s="242"/>
      <c r="F556" s="242"/>
      <c r="G556" s="243"/>
      <c r="H556" s="242"/>
      <c r="I556" s="242"/>
      <c r="J556" s="242"/>
      <c r="K556" s="242"/>
    </row>
    <row r="557" ht="37.5" customHeight="1">
      <c r="A557" s="242"/>
      <c r="B557" s="243"/>
      <c r="C557" s="242"/>
      <c r="D557" s="242"/>
      <c r="E557" s="242"/>
      <c r="F557" s="242"/>
      <c r="G557" s="243"/>
      <c r="H557" s="242"/>
      <c r="I557" s="242"/>
      <c r="J557" s="242"/>
      <c r="K557" s="242"/>
    </row>
    <row r="558" ht="37.5" customHeight="1">
      <c r="A558" s="242"/>
      <c r="B558" s="243"/>
      <c r="C558" s="242"/>
      <c r="D558" s="242"/>
      <c r="E558" s="242"/>
      <c r="F558" s="242"/>
      <c r="G558" s="243"/>
      <c r="H558" s="242"/>
      <c r="I558" s="242"/>
      <c r="J558" s="242"/>
      <c r="K558" s="242"/>
    </row>
    <row r="559" ht="37.5" customHeight="1">
      <c r="A559" s="242"/>
      <c r="B559" s="243"/>
      <c r="C559" s="242"/>
      <c r="D559" s="242"/>
      <c r="E559" s="242"/>
      <c r="F559" s="242"/>
      <c r="G559" s="243"/>
      <c r="H559" s="242"/>
      <c r="I559" s="242"/>
      <c r="J559" s="242"/>
      <c r="K559" s="242"/>
    </row>
    <row r="560" ht="37.5" customHeight="1">
      <c r="A560" s="242"/>
      <c r="B560" s="243"/>
      <c r="C560" s="242"/>
      <c r="D560" s="242"/>
      <c r="E560" s="242"/>
      <c r="F560" s="242"/>
      <c r="G560" s="243"/>
      <c r="H560" s="242"/>
      <c r="I560" s="242"/>
      <c r="J560" s="242"/>
      <c r="K560" s="242"/>
    </row>
    <row r="561" ht="37.5" customHeight="1">
      <c r="A561" s="242"/>
      <c r="B561" s="243"/>
      <c r="C561" s="242"/>
      <c r="D561" s="242"/>
      <c r="E561" s="242"/>
      <c r="F561" s="242"/>
      <c r="G561" s="243"/>
      <c r="H561" s="242"/>
      <c r="I561" s="242"/>
      <c r="J561" s="242"/>
      <c r="K561" s="242"/>
    </row>
    <row r="562" ht="37.5" customHeight="1">
      <c r="A562" s="242"/>
      <c r="B562" s="243"/>
      <c r="C562" s="242"/>
      <c r="D562" s="242"/>
      <c r="E562" s="242"/>
      <c r="F562" s="242"/>
      <c r="G562" s="243"/>
      <c r="H562" s="242"/>
      <c r="I562" s="242"/>
      <c r="J562" s="242"/>
      <c r="K562" s="242"/>
    </row>
    <row r="563" ht="37.5" customHeight="1">
      <c r="A563" s="242"/>
      <c r="B563" s="243"/>
      <c r="C563" s="242"/>
      <c r="D563" s="242"/>
      <c r="E563" s="242"/>
      <c r="F563" s="242"/>
      <c r="G563" s="243"/>
      <c r="H563" s="242"/>
      <c r="I563" s="242"/>
      <c r="J563" s="242"/>
      <c r="K563" s="242"/>
    </row>
    <row r="564" ht="37.5" customHeight="1">
      <c r="A564" s="242"/>
      <c r="B564" s="243"/>
      <c r="C564" s="242"/>
      <c r="D564" s="242"/>
      <c r="E564" s="242"/>
      <c r="F564" s="242"/>
      <c r="G564" s="243"/>
      <c r="H564" s="242"/>
      <c r="I564" s="242"/>
      <c r="J564" s="242"/>
      <c r="K564" s="242"/>
    </row>
    <row r="565" ht="37.5" customHeight="1">
      <c r="A565" s="242"/>
      <c r="B565" s="243"/>
      <c r="C565" s="242"/>
      <c r="D565" s="242"/>
      <c r="E565" s="242"/>
      <c r="F565" s="242"/>
      <c r="G565" s="243"/>
      <c r="H565" s="242"/>
      <c r="I565" s="242"/>
      <c r="J565" s="242"/>
      <c r="K565" s="242"/>
    </row>
    <row r="566" ht="37.5" customHeight="1">
      <c r="A566" s="242"/>
      <c r="B566" s="243"/>
      <c r="C566" s="242"/>
      <c r="D566" s="242"/>
      <c r="E566" s="242"/>
      <c r="F566" s="242"/>
      <c r="G566" s="243"/>
      <c r="H566" s="242"/>
      <c r="I566" s="242"/>
      <c r="J566" s="242"/>
      <c r="K566" s="242"/>
    </row>
    <row r="567" ht="37.5" customHeight="1">
      <c r="A567" s="242"/>
      <c r="B567" s="243"/>
      <c r="C567" s="242"/>
      <c r="D567" s="242"/>
      <c r="E567" s="242"/>
      <c r="F567" s="242"/>
      <c r="G567" s="243"/>
      <c r="H567" s="242"/>
      <c r="I567" s="242"/>
      <c r="J567" s="242"/>
      <c r="K567" s="242"/>
    </row>
    <row r="568" ht="37.5" customHeight="1">
      <c r="A568" s="242"/>
      <c r="B568" s="243"/>
      <c r="C568" s="242"/>
      <c r="D568" s="242"/>
      <c r="E568" s="242"/>
      <c r="F568" s="242"/>
      <c r="G568" s="243"/>
      <c r="H568" s="242"/>
      <c r="I568" s="242"/>
      <c r="J568" s="242"/>
      <c r="K568" s="242"/>
    </row>
    <row r="569" ht="37.5" customHeight="1">
      <c r="A569" s="242"/>
      <c r="B569" s="243"/>
      <c r="C569" s="242"/>
      <c r="D569" s="242"/>
      <c r="E569" s="242"/>
      <c r="F569" s="242"/>
      <c r="G569" s="243"/>
      <c r="H569" s="242"/>
      <c r="I569" s="242"/>
      <c r="J569" s="242"/>
      <c r="K569" s="242"/>
    </row>
    <row r="570" ht="37.5" customHeight="1">
      <c r="A570" s="242"/>
      <c r="B570" s="243"/>
      <c r="C570" s="242"/>
      <c r="D570" s="242"/>
      <c r="E570" s="242"/>
      <c r="F570" s="242"/>
      <c r="G570" s="243"/>
      <c r="H570" s="242"/>
      <c r="I570" s="242"/>
      <c r="J570" s="242"/>
      <c r="K570" s="242"/>
    </row>
    <row r="571" ht="37.5" customHeight="1">
      <c r="A571" s="242"/>
      <c r="B571" s="243"/>
      <c r="C571" s="242"/>
      <c r="D571" s="242"/>
      <c r="E571" s="242"/>
      <c r="F571" s="242"/>
      <c r="G571" s="243"/>
      <c r="H571" s="242"/>
      <c r="I571" s="242"/>
      <c r="J571" s="242"/>
      <c r="K571" s="242"/>
    </row>
    <row r="572" ht="37.5" customHeight="1">
      <c r="A572" s="242"/>
      <c r="B572" s="243"/>
      <c r="C572" s="242"/>
      <c r="D572" s="242"/>
      <c r="E572" s="242"/>
      <c r="F572" s="242"/>
      <c r="G572" s="243"/>
      <c r="H572" s="242"/>
      <c r="I572" s="242"/>
      <c r="J572" s="242"/>
      <c r="K572" s="242"/>
    </row>
    <row r="573" ht="37.5" customHeight="1">
      <c r="A573" s="242"/>
      <c r="B573" s="243"/>
      <c r="C573" s="242"/>
      <c r="D573" s="242"/>
      <c r="E573" s="242"/>
      <c r="F573" s="242"/>
      <c r="G573" s="243"/>
      <c r="H573" s="242"/>
      <c r="I573" s="242"/>
      <c r="J573" s="242"/>
      <c r="K573" s="242"/>
    </row>
    <row r="574" ht="37.5" customHeight="1">
      <c r="A574" s="242"/>
      <c r="B574" s="243"/>
      <c r="C574" s="242"/>
      <c r="D574" s="242"/>
      <c r="E574" s="242"/>
      <c r="F574" s="242"/>
      <c r="G574" s="243"/>
      <c r="H574" s="242"/>
      <c r="I574" s="242"/>
      <c r="J574" s="242"/>
      <c r="K574" s="242"/>
    </row>
    <row r="575" ht="37.5" customHeight="1">
      <c r="A575" s="242"/>
      <c r="B575" s="243"/>
      <c r="C575" s="242"/>
      <c r="D575" s="242"/>
      <c r="E575" s="242"/>
      <c r="F575" s="242"/>
      <c r="G575" s="243"/>
      <c r="H575" s="242"/>
      <c r="I575" s="242"/>
      <c r="J575" s="242"/>
      <c r="K575" s="242"/>
    </row>
    <row r="576" ht="37.5" customHeight="1">
      <c r="A576" s="242"/>
      <c r="B576" s="243"/>
      <c r="C576" s="242"/>
      <c r="D576" s="242"/>
      <c r="E576" s="242"/>
      <c r="F576" s="242"/>
      <c r="G576" s="243"/>
      <c r="H576" s="242"/>
      <c r="I576" s="242"/>
      <c r="J576" s="242"/>
      <c r="K576" s="242"/>
    </row>
    <row r="577" ht="37.5" customHeight="1">
      <c r="A577" s="242"/>
      <c r="B577" s="243"/>
      <c r="C577" s="242"/>
      <c r="D577" s="242"/>
      <c r="E577" s="242"/>
      <c r="F577" s="242"/>
      <c r="G577" s="243"/>
      <c r="H577" s="242"/>
      <c r="I577" s="242"/>
      <c r="J577" s="242"/>
      <c r="K577" s="242"/>
    </row>
    <row r="578" ht="37.5" customHeight="1">
      <c r="A578" s="242"/>
      <c r="B578" s="243"/>
      <c r="C578" s="242"/>
      <c r="D578" s="242"/>
      <c r="E578" s="242"/>
      <c r="F578" s="242"/>
      <c r="G578" s="243"/>
      <c r="H578" s="242"/>
      <c r="I578" s="242"/>
      <c r="J578" s="242"/>
      <c r="K578" s="242"/>
    </row>
    <row r="579" ht="37.5" customHeight="1">
      <c r="A579" s="242"/>
      <c r="B579" s="243"/>
      <c r="C579" s="242"/>
      <c r="D579" s="242"/>
      <c r="E579" s="242"/>
      <c r="F579" s="242"/>
      <c r="G579" s="243"/>
      <c r="H579" s="242"/>
      <c r="I579" s="242"/>
      <c r="J579" s="242"/>
      <c r="K579" s="242"/>
    </row>
    <row r="580" ht="37.5" customHeight="1">
      <c r="A580" s="242"/>
      <c r="B580" s="243"/>
      <c r="C580" s="242"/>
      <c r="D580" s="242"/>
      <c r="E580" s="242"/>
      <c r="F580" s="242"/>
      <c r="G580" s="243"/>
      <c r="H580" s="242"/>
      <c r="I580" s="242"/>
      <c r="J580" s="242"/>
      <c r="K580" s="242"/>
    </row>
    <row r="581" ht="37.5" customHeight="1">
      <c r="A581" s="242"/>
      <c r="B581" s="243"/>
      <c r="C581" s="242"/>
      <c r="D581" s="242"/>
      <c r="E581" s="242"/>
      <c r="F581" s="242"/>
      <c r="G581" s="243"/>
      <c r="H581" s="242"/>
      <c r="I581" s="242"/>
      <c r="J581" s="242"/>
      <c r="K581" s="242"/>
    </row>
    <row r="582" ht="37.5" customHeight="1">
      <c r="A582" s="242"/>
      <c r="B582" s="243"/>
      <c r="C582" s="242"/>
      <c r="D582" s="242"/>
      <c r="E582" s="242"/>
      <c r="F582" s="242"/>
      <c r="G582" s="243"/>
      <c r="H582" s="242"/>
      <c r="I582" s="242"/>
      <c r="J582" s="242"/>
      <c r="K582" s="242"/>
    </row>
    <row r="583" ht="37.5" customHeight="1">
      <c r="A583" s="242"/>
      <c r="B583" s="243"/>
      <c r="C583" s="242"/>
      <c r="D583" s="242"/>
      <c r="E583" s="242"/>
      <c r="F583" s="242"/>
      <c r="G583" s="243"/>
      <c r="H583" s="242"/>
      <c r="I583" s="242"/>
      <c r="J583" s="242"/>
      <c r="K583" s="242"/>
    </row>
    <row r="584" ht="37.5" customHeight="1">
      <c r="A584" s="242"/>
      <c r="B584" s="243"/>
      <c r="C584" s="242"/>
      <c r="D584" s="242"/>
      <c r="E584" s="242"/>
      <c r="F584" s="242"/>
      <c r="G584" s="243"/>
      <c r="H584" s="242"/>
      <c r="I584" s="242"/>
      <c r="J584" s="242"/>
      <c r="K584" s="242"/>
    </row>
    <row r="585" ht="37.5" customHeight="1">
      <c r="A585" s="242"/>
      <c r="B585" s="243"/>
      <c r="C585" s="242"/>
      <c r="D585" s="242"/>
      <c r="E585" s="242"/>
      <c r="F585" s="242"/>
      <c r="G585" s="243"/>
      <c r="H585" s="242"/>
      <c r="I585" s="242"/>
      <c r="J585" s="242"/>
      <c r="K585" s="242"/>
    </row>
    <row r="586" ht="37.5" customHeight="1">
      <c r="A586" s="242"/>
      <c r="B586" s="243"/>
      <c r="C586" s="242"/>
      <c r="D586" s="242"/>
      <c r="E586" s="242"/>
      <c r="F586" s="242"/>
      <c r="G586" s="243"/>
      <c r="H586" s="242"/>
      <c r="I586" s="242"/>
      <c r="J586" s="242"/>
      <c r="K586" s="242"/>
    </row>
    <row r="587" ht="37.5" customHeight="1">
      <c r="A587" s="242"/>
      <c r="B587" s="243"/>
      <c r="C587" s="242"/>
      <c r="D587" s="242"/>
      <c r="E587" s="242"/>
      <c r="F587" s="242"/>
      <c r="G587" s="243"/>
      <c r="H587" s="242"/>
      <c r="I587" s="242"/>
      <c r="J587" s="242"/>
      <c r="K587" s="242"/>
    </row>
    <row r="588" ht="37.5" customHeight="1">
      <c r="A588" s="242"/>
      <c r="B588" s="243"/>
      <c r="C588" s="242"/>
      <c r="D588" s="242"/>
      <c r="E588" s="242"/>
      <c r="F588" s="242"/>
      <c r="G588" s="243"/>
      <c r="H588" s="242"/>
      <c r="I588" s="242"/>
      <c r="J588" s="242"/>
      <c r="K588" s="242"/>
    </row>
    <row r="589" ht="37.5" customHeight="1">
      <c r="A589" s="242"/>
      <c r="B589" s="243"/>
      <c r="C589" s="242"/>
      <c r="D589" s="242"/>
      <c r="E589" s="242"/>
      <c r="F589" s="242"/>
      <c r="G589" s="243"/>
      <c r="H589" s="242"/>
      <c r="I589" s="242"/>
      <c r="J589" s="242"/>
      <c r="K589" s="242"/>
    </row>
    <row r="590" ht="37.5" customHeight="1">
      <c r="A590" s="242"/>
      <c r="B590" s="243"/>
      <c r="C590" s="242"/>
      <c r="D590" s="242"/>
      <c r="E590" s="242"/>
      <c r="F590" s="242"/>
      <c r="G590" s="243"/>
      <c r="H590" s="242"/>
      <c r="I590" s="242"/>
      <c r="J590" s="242"/>
      <c r="K590" s="242"/>
    </row>
    <row r="591" ht="37.5" customHeight="1">
      <c r="A591" s="242"/>
      <c r="B591" s="243"/>
      <c r="C591" s="242"/>
      <c r="D591" s="242"/>
      <c r="E591" s="242"/>
      <c r="F591" s="242"/>
      <c r="G591" s="243"/>
      <c r="H591" s="242"/>
      <c r="I591" s="242"/>
      <c r="J591" s="242"/>
      <c r="K591" s="242"/>
    </row>
    <row r="592" ht="37.5" customHeight="1">
      <c r="A592" s="242"/>
      <c r="B592" s="243"/>
      <c r="C592" s="242"/>
      <c r="D592" s="242"/>
      <c r="E592" s="242"/>
      <c r="F592" s="242"/>
      <c r="G592" s="243"/>
      <c r="H592" s="242"/>
      <c r="I592" s="242"/>
      <c r="J592" s="242"/>
      <c r="K592" s="242"/>
    </row>
    <row r="593" ht="37.5" customHeight="1">
      <c r="A593" s="242"/>
      <c r="B593" s="243"/>
      <c r="C593" s="242"/>
      <c r="D593" s="242"/>
      <c r="E593" s="242"/>
      <c r="F593" s="242"/>
      <c r="G593" s="243"/>
      <c r="H593" s="242"/>
      <c r="I593" s="242"/>
      <c r="J593" s="242"/>
      <c r="K593" s="242"/>
    </row>
    <row r="594" ht="37.5" customHeight="1">
      <c r="A594" s="242"/>
      <c r="B594" s="243"/>
      <c r="C594" s="242"/>
      <c r="D594" s="242"/>
      <c r="E594" s="242"/>
      <c r="F594" s="242"/>
      <c r="G594" s="243"/>
      <c r="H594" s="242"/>
      <c r="I594" s="242"/>
      <c r="J594" s="242"/>
      <c r="K594" s="242"/>
    </row>
    <row r="595" ht="37.5" customHeight="1">
      <c r="A595" s="242"/>
      <c r="B595" s="243"/>
      <c r="C595" s="242"/>
      <c r="D595" s="242"/>
      <c r="E595" s="242"/>
      <c r="F595" s="242"/>
      <c r="G595" s="243"/>
      <c r="H595" s="242"/>
      <c r="I595" s="242"/>
      <c r="J595" s="242"/>
      <c r="K595" s="242"/>
    </row>
    <row r="596" ht="37.5" customHeight="1">
      <c r="A596" s="242"/>
      <c r="B596" s="243"/>
      <c r="C596" s="242"/>
      <c r="D596" s="242"/>
      <c r="E596" s="242"/>
      <c r="F596" s="242"/>
      <c r="G596" s="243"/>
      <c r="H596" s="242"/>
      <c r="I596" s="242"/>
      <c r="J596" s="242"/>
      <c r="K596" s="242"/>
    </row>
    <row r="597" ht="37.5" customHeight="1">
      <c r="A597" s="242"/>
      <c r="B597" s="243"/>
      <c r="C597" s="242"/>
      <c r="D597" s="242"/>
      <c r="E597" s="242"/>
      <c r="F597" s="242"/>
      <c r="G597" s="243"/>
      <c r="H597" s="242"/>
      <c r="I597" s="242"/>
      <c r="J597" s="242"/>
      <c r="K597" s="242"/>
    </row>
    <row r="598" ht="37.5" customHeight="1">
      <c r="A598" s="242"/>
      <c r="B598" s="243"/>
      <c r="C598" s="242"/>
      <c r="D598" s="242"/>
      <c r="E598" s="242"/>
      <c r="F598" s="242"/>
      <c r="G598" s="243"/>
      <c r="H598" s="242"/>
      <c r="I598" s="242"/>
      <c r="J598" s="242"/>
      <c r="K598" s="242"/>
    </row>
    <row r="599" ht="37.5" customHeight="1">
      <c r="A599" s="242"/>
      <c r="B599" s="243"/>
      <c r="C599" s="242"/>
      <c r="D599" s="242"/>
      <c r="E599" s="242"/>
      <c r="F599" s="242"/>
      <c r="G599" s="243"/>
      <c r="H599" s="242"/>
      <c r="I599" s="242"/>
      <c r="J599" s="242"/>
      <c r="K599" s="242"/>
    </row>
    <row r="600" ht="37.5" customHeight="1">
      <c r="A600" s="242"/>
      <c r="B600" s="243"/>
      <c r="C600" s="242"/>
      <c r="D600" s="242"/>
      <c r="E600" s="242"/>
      <c r="F600" s="242"/>
      <c r="G600" s="243"/>
      <c r="H600" s="242"/>
      <c r="I600" s="242"/>
      <c r="J600" s="242"/>
      <c r="K600" s="242"/>
    </row>
    <row r="601" ht="37.5" customHeight="1">
      <c r="A601" s="242"/>
      <c r="B601" s="243"/>
      <c r="C601" s="242"/>
      <c r="D601" s="242"/>
      <c r="E601" s="242"/>
      <c r="F601" s="242"/>
      <c r="G601" s="243"/>
      <c r="H601" s="242"/>
      <c r="I601" s="242"/>
      <c r="J601" s="242"/>
      <c r="K601" s="242"/>
    </row>
    <row r="602" ht="37.5" customHeight="1">
      <c r="A602" s="242"/>
      <c r="B602" s="243"/>
      <c r="C602" s="242"/>
      <c r="D602" s="242"/>
      <c r="E602" s="242"/>
      <c r="F602" s="242"/>
      <c r="G602" s="243"/>
      <c r="H602" s="242"/>
      <c r="I602" s="242"/>
      <c r="J602" s="242"/>
      <c r="K602" s="242"/>
    </row>
    <row r="603" ht="37.5" customHeight="1">
      <c r="A603" s="242"/>
      <c r="B603" s="243"/>
      <c r="C603" s="242"/>
      <c r="D603" s="242"/>
      <c r="E603" s="242"/>
      <c r="F603" s="242"/>
      <c r="G603" s="243"/>
      <c r="H603" s="242"/>
      <c r="I603" s="242"/>
      <c r="J603" s="242"/>
      <c r="K603" s="242"/>
    </row>
    <row r="604" ht="37.5" customHeight="1">
      <c r="A604" s="242"/>
      <c r="B604" s="243"/>
      <c r="C604" s="242"/>
      <c r="D604" s="242"/>
      <c r="E604" s="242"/>
      <c r="F604" s="242"/>
      <c r="G604" s="243"/>
      <c r="H604" s="242"/>
      <c r="I604" s="242"/>
      <c r="J604" s="242"/>
      <c r="K604" s="242"/>
    </row>
    <row r="605" ht="37.5" customHeight="1">
      <c r="A605" s="242"/>
      <c r="B605" s="243"/>
      <c r="C605" s="242"/>
      <c r="D605" s="242"/>
      <c r="E605" s="242"/>
      <c r="F605" s="242"/>
      <c r="G605" s="243"/>
      <c r="H605" s="242"/>
      <c r="I605" s="242"/>
      <c r="J605" s="242"/>
      <c r="K605" s="242"/>
    </row>
    <row r="606" ht="37.5" customHeight="1">
      <c r="A606" s="242"/>
      <c r="B606" s="243"/>
      <c r="C606" s="242"/>
      <c r="D606" s="242"/>
      <c r="E606" s="242"/>
      <c r="F606" s="242"/>
      <c r="G606" s="243"/>
      <c r="H606" s="242"/>
      <c r="I606" s="242"/>
      <c r="J606" s="242"/>
      <c r="K606" s="242"/>
    </row>
    <row r="607" ht="37.5" customHeight="1">
      <c r="A607" s="242"/>
      <c r="B607" s="243"/>
      <c r="C607" s="242"/>
      <c r="D607" s="242"/>
      <c r="E607" s="242"/>
      <c r="F607" s="242"/>
      <c r="G607" s="243"/>
      <c r="H607" s="242"/>
      <c r="I607" s="242"/>
      <c r="J607" s="242"/>
      <c r="K607" s="242"/>
    </row>
    <row r="608" ht="37.5" customHeight="1">
      <c r="A608" s="242"/>
      <c r="B608" s="243"/>
      <c r="C608" s="242"/>
      <c r="D608" s="242"/>
      <c r="E608" s="242"/>
      <c r="F608" s="242"/>
      <c r="G608" s="243"/>
      <c r="H608" s="242"/>
      <c r="I608" s="242"/>
      <c r="J608" s="242"/>
      <c r="K608" s="242"/>
    </row>
    <row r="609" ht="37.5" customHeight="1">
      <c r="A609" s="242"/>
      <c r="B609" s="243"/>
      <c r="C609" s="242"/>
      <c r="D609" s="242"/>
      <c r="E609" s="242"/>
      <c r="F609" s="242"/>
      <c r="G609" s="243"/>
      <c r="H609" s="242"/>
      <c r="I609" s="242"/>
      <c r="J609" s="242"/>
      <c r="K609" s="242"/>
    </row>
    <row r="610" ht="37.5" customHeight="1">
      <c r="A610" s="242"/>
      <c r="B610" s="243"/>
      <c r="C610" s="242"/>
      <c r="D610" s="242"/>
      <c r="E610" s="242"/>
      <c r="F610" s="242"/>
      <c r="G610" s="243"/>
      <c r="H610" s="242"/>
      <c r="I610" s="242"/>
      <c r="J610" s="242"/>
      <c r="K610" s="242"/>
    </row>
    <row r="611" ht="37.5" customHeight="1">
      <c r="A611" s="242"/>
      <c r="B611" s="243"/>
      <c r="C611" s="242"/>
      <c r="D611" s="242"/>
      <c r="E611" s="242"/>
      <c r="F611" s="242"/>
      <c r="G611" s="243"/>
      <c r="H611" s="242"/>
      <c r="I611" s="242"/>
      <c r="J611" s="242"/>
      <c r="K611" s="242"/>
    </row>
    <row r="612" ht="37.5" customHeight="1">
      <c r="A612" s="242"/>
      <c r="B612" s="243"/>
      <c r="C612" s="242"/>
      <c r="D612" s="242"/>
      <c r="E612" s="242"/>
      <c r="F612" s="242"/>
      <c r="G612" s="243"/>
      <c r="H612" s="242"/>
      <c r="I612" s="242"/>
      <c r="J612" s="242"/>
      <c r="K612" s="242"/>
    </row>
    <row r="613" ht="37.5" customHeight="1">
      <c r="A613" s="242"/>
      <c r="B613" s="243"/>
      <c r="C613" s="242"/>
      <c r="D613" s="242"/>
      <c r="E613" s="242"/>
      <c r="F613" s="242"/>
      <c r="G613" s="243"/>
      <c r="H613" s="242"/>
      <c r="I613" s="242"/>
      <c r="J613" s="242"/>
      <c r="K613" s="242"/>
    </row>
    <row r="614" ht="37.5" customHeight="1">
      <c r="A614" s="242"/>
      <c r="B614" s="243"/>
      <c r="C614" s="242"/>
      <c r="D614" s="242"/>
      <c r="E614" s="242"/>
      <c r="F614" s="242"/>
      <c r="G614" s="243"/>
      <c r="H614" s="242"/>
      <c r="I614" s="242"/>
      <c r="J614" s="242"/>
      <c r="K614" s="242"/>
    </row>
    <row r="615" ht="37.5" customHeight="1">
      <c r="A615" s="242"/>
      <c r="B615" s="243"/>
      <c r="C615" s="242"/>
      <c r="D615" s="242"/>
      <c r="E615" s="242"/>
      <c r="F615" s="242"/>
      <c r="G615" s="243"/>
      <c r="H615" s="242"/>
      <c r="I615" s="242"/>
      <c r="J615" s="242"/>
      <c r="K615" s="242"/>
    </row>
    <row r="616" ht="37.5" customHeight="1">
      <c r="A616" s="242"/>
      <c r="B616" s="243"/>
      <c r="C616" s="242"/>
      <c r="D616" s="242"/>
      <c r="E616" s="242"/>
      <c r="F616" s="242"/>
      <c r="G616" s="243"/>
      <c r="H616" s="242"/>
      <c r="I616" s="242"/>
      <c r="J616" s="242"/>
      <c r="K616" s="242"/>
    </row>
    <row r="617" ht="37.5" customHeight="1">
      <c r="A617" s="242"/>
      <c r="B617" s="243"/>
      <c r="C617" s="242"/>
      <c r="D617" s="242"/>
      <c r="E617" s="242"/>
      <c r="F617" s="242"/>
      <c r="G617" s="243"/>
      <c r="H617" s="242"/>
      <c r="I617" s="242"/>
      <c r="J617" s="242"/>
      <c r="K617" s="242"/>
    </row>
    <row r="618" ht="37.5" customHeight="1">
      <c r="A618" s="242"/>
      <c r="B618" s="243"/>
      <c r="C618" s="242"/>
      <c r="D618" s="242"/>
      <c r="E618" s="242"/>
      <c r="F618" s="242"/>
      <c r="G618" s="243"/>
      <c r="H618" s="242"/>
      <c r="I618" s="242"/>
      <c r="J618" s="242"/>
      <c r="K618" s="242"/>
    </row>
    <row r="619" ht="37.5" customHeight="1">
      <c r="A619" s="242"/>
      <c r="B619" s="243"/>
      <c r="C619" s="242"/>
      <c r="D619" s="242"/>
      <c r="E619" s="242"/>
      <c r="F619" s="242"/>
      <c r="G619" s="243"/>
      <c r="H619" s="242"/>
      <c r="I619" s="242"/>
      <c r="J619" s="242"/>
      <c r="K619" s="242"/>
    </row>
    <row r="620" ht="37.5" customHeight="1">
      <c r="A620" s="242"/>
      <c r="B620" s="243"/>
      <c r="C620" s="242"/>
      <c r="D620" s="242"/>
      <c r="E620" s="242"/>
      <c r="F620" s="242"/>
      <c r="G620" s="243"/>
      <c r="H620" s="242"/>
      <c r="I620" s="242"/>
      <c r="J620" s="242"/>
      <c r="K620" s="242"/>
    </row>
    <row r="621" ht="37.5" customHeight="1">
      <c r="A621" s="242"/>
      <c r="B621" s="243"/>
      <c r="C621" s="242"/>
      <c r="D621" s="242"/>
      <c r="E621" s="242"/>
      <c r="F621" s="242"/>
      <c r="G621" s="243"/>
      <c r="H621" s="242"/>
      <c r="I621" s="242"/>
      <c r="J621" s="242"/>
      <c r="K621" s="242"/>
    </row>
    <row r="622" ht="37.5" customHeight="1">
      <c r="A622" s="242"/>
      <c r="B622" s="243"/>
      <c r="C622" s="242"/>
      <c r="D622" s="242"/>
      <c r="E622" s="242"/>
      <c r="F622" s="242"/>
      <c r="G622" s="243"/>
      <c r="H622" s="242"/>
      <c r="I622" s="242"/>
      <c r="J622" s="242"/>
      <c r="K622" s="242"/>
    </row>
    <row r="623" ht="37.5" customHeight="1">
      <c r="A623" s="242"/>
      <c r="B623" s="243"/>
      <c r="C623" s="242"/>
      <c r="D623" s="242"/>
      <c r="E623" s="242"/>
      <c r="F623" s="242"/>
      <c r="G623" s="243"/>
      <c r="H623" s="242"/>
      <c r="I623" s="242"/>
      <c r="J623" s="242"/>
      <c r="K623" s="242"/>
    </row>
    <row r="624" ht="37.5" customHeight="1">
      <c r="A624" s="242"/>
      <c r="B624" s="243"/>
      <c r="C624" s="242"/>
      <c r="D624" s="242"/>
      <c r="E624" s="242"/>
      <c r="F624" s="242"/>
      <c r="G624" s="243"/>
      <c r="H624" s="242"/>
      <c r="I624" s="242"/>
      <c r="J624" s="242"/>
      <c r="K624" s="242"/>
    </row>
    <row r="625" ht="37.5" customHeight="1">
      <c r="A625" s="242"/>
      <c r="B625" s="243"/>
      <c r="C625" s="242"/>
      <c r="D625" s="242"/>
      <c r="E625" s="242"/>
      <c r="F625" s="242"/>
      <c r="G625" s="243"/>
      <c r="H625" s="242"/>
      <c r="I625" s="242"/>
      <c r="J625" s="242"/>
      <c r="K625" s="242"/>
    </row>
    <row r="626" ht="37.5" customHeight="1">
      <c r="A626" s="242"/>
      <c r="B626" s="243"/>
      <c r="C626" s="242"/>
      <c r="D626" s="242"/>
      <c r="E626" s="242"/>
      <c r="F626" s="242"/>
      <c r="G626" s="243"/>
      <c r="H626" s="242"/>
      <c r="I626" s="242"/>
      <c r="J626" s="242"/>
      <c r="K626" s="242"/>
    </row>
    <row r="627" ht="37.5" customHeight="1">
      <c r="A627" s="242"/>
      <c r="B627" s="243"/>
      <c r="C627" s="242"/>
      <c r="D627" s="242"/>
      <c r="E627" s="242"/>
      <c r="F627" s="242"/>
      <c r="G627" s="243"/>
      <c r="H627" s="242"/>
      <c r="I627" s="242"/>
      <c r="J627" s="242"/>
      <c r="K627" s="242"/>
    </row>
    <row r="628" ht="37.5" customHeight="1">
      <c r="A628" s="242"/>
      <c r="B628" s="243"/>
      <c r="C628" s="242"/>
      <c r="D628" s="242"/>
      <c r="E628" s="242"/>
      <c r="F628" s="242"/>
      <c r="G628" s="243"/>
      <c r="H628" s="242"/>
      <c r="I628" s="242"/>
      <c r="J628" s="242"/>
      <c r="K628" s="242"/>
    </row>
    <row r="629" ht="37.5" customHeight="1">
      <c r="A629" s="242"/>
      <c r="B629" s="243"/>
      <c r="C629" s="242"/>
      <c r="D629" s="242"/>
      <c r="E629" s="242"/>
      <c r="F629" s="242"/>
      <c r="G629" s="243"/>
      <c r="H629" s="242"/>
      <c r="I629" s="242"/>
      <c r="J629" s="242"/>
      <c r="K629" s="242"/>
    </row>
    <row r="630" ht="37.5" customHeight="1">
      <c r="A630" s="242"/>
      <c r="B630" s="243"/>
      <c r="C630" s="242"/>
      <c r="D630" s="242"/>
      <c r="E630" s="242"/>
      <c r="F630" s="242"/>
      <c r="G630" s="243"/>
      <c r="H630" s="242"/>
      <c r="I630" s="242"/>
      <c r="J630" s="242"/>
      <c r="K630" s="242"/>
    </row>
    <row r="631" ht="37.5" customHeight="1">
      <c r="A631" s="242"/>
      <c r="B631" s="243"/>
      <c r="C631" s="242"/>
      <c r="D631" s="242"/>
      <c r="E631" s="242"/>
      <c r="F631" s="242"/>
      <c r="G631" s="243"/>
      <c r="H631" s="242"/>
      <c r="I631" s="242"/>
      <c r="J631" s="242"/>
      <c r="K631" s="242"/>
    </row>
    <row r="632" ht="37.5" customHeight="1">
      <c r="A632" s="242"/>
      <c r="B632" s="243"/>
      <c r="C632" s="242"/>
      <c r="D632" s="242"/>
      <c r="E632" s="242"/>
      <c r="F632" s="242"/>
      <c r="G632" s="243"/>
      <c r="H632" s="242"/>
      <c r="I632" s="242"/>
      <c r="J632" s="242"/>
      <c r="K632" s="242"/>
    </row>
    <row r="633" ht="37.5" customHeight="1">
      <c r="A633" s="242"/>
      <c r="B633" s="243"/>
      <c r="C633" s="242"/>
      <c r="D633" s="242"/>
      <c r="E633" s="242"/>
      <c r="F633" s="242"/>
      <c r="G633" s="243"/>
      <c r="H633" s="242"/>
      <c r="I633" s="242"/>
      <c r="J633" s="242"/>
      <c r="K633" s="242"/>
    </row>
    <row r="634" ht="37.5" customHeight="1">
      <c r="A634" s="242"/>
      <c r="B634" s="243"/>
      <c r="C634" s="242"/>
      <c r="D634" s="242"/>
      <c r="E634" s="242"/>
      <c r="F634" s="242"/>
      <c r="G634" s="243"/>
      <c r="H634" s="242"/>
      <c r="I634" s="242"/>
      <c r="J634" s="242"/>
      <c r="K634" s="242"/>
    </row>
    <row r="635" ht="37.5" customHeight="1">
      <c r="A635" s="242"/>
      <c r="B635" s="243"/>
      <c r="C635" s="242"/>
      <c r="D635" s="242"/>
      <c r="E635" s="242"/>
      <c r="F635" s="242"/>
      <c r="G635" s="243"/>
      <c r="H635" s="242"/>
      <c r="I635" s="242"/>
      <c r="J635" s="242"/>
      <c r="K635" s="242"/>
    </row>
    <row r="636" ht="37.5" customHeight="1">
      <c r="A636" s="242"/>
      <c r="B636" s="243"/>
      <c r="C636" s="242"/>
      <c r="D636" s="242"/>
      <c r="E636" s="242"/>
      <c r="F636" s="242"/>
      <c r="G636" s="243"/>
      <c r="H636" s="242"/>
      <c r="I636" s="242"/>
      <c r="J636" s="242"/>
      <c r="K636" s="242"/>
    </row>
    <row r="637" ht="37.5" customHeight="1">
      <c r="A637" s="242"/>
      <c r="B637" s="243"/>
      <c r="C637" s="242"/>
      <c r="D637" s="242"/>
      <c r="E637" s="242"/>
      <c r="F637" s="242"/>
      <c r="G637" s="243"/>
      <c r="H637" s="242"/>
      <c r="I637" s="242"/>
      <c r="J637" s="242"/>
      <c r="K637" s="242"/>
    </row>
    <row r="638" ht="37.5" customHeight="1">
      <c r="A638" s="242"/>
      <c r="B638" s="243"/>
      <c r="C638" s="242"/>
      <c r="D638" s="242"/>
      <c r="E638" s="242"/>
      <c r="F638" s="242"/>
      <c r="G638" s="243"/>
      <c r="H638" s="242"/>
      <c r="I638" s="242"/>
      <c r="J638" s="242"/>
      <c r="K638" s="242"/>
    </row>
    <row r="639" ht="37.5" customHeight="1">
      <c r="A639" s="242"/>
      <c r="B639" s="243"/>
      <c r="C639" s="242"/>
      <c r="D639" s="242"/>
      <c r="E639" s="242"/>
      <c r="F639" s="242"/>
      <c r="G639" s="243"/>
      <c r="H639" s="242"/>
      <c r="I639" s="242"/>
      <c r="J639" s="242"/>
      <c r="K639" s="242"/>
    </row>
    <row r="640" ht="37.5" customHeight="1">
      <c r="A640" s="242"/>
      <c r="B640" s="243"/>
      <c r="C640" s="242"/>
      <c r="D640" s="242"/>
      <c r="E640" s="242"/>
      <c r="F640" s="242"/>
      <c r="G640" s="243"/>
      <c r="H640" s="242"/>
      <c r="I640" s="242"/>
      <c r="J640" s="242"/>
      <c r="K640" s="242"/>
    </row>
    <row r="641" ht="37.5" customHeight="1">
      <c r="A641" s="242"/>
      <c r="B641" s="243"/>
      <c r="C641" s="242"/>
      <c r="D641" s="242"/>
      <c r="E641" s="242"/>
      <c r="F641" s="242"/>
      <c r="G641" s="243"/>
      <c r="H641" s="242"/>
      <c r="I641" s="242"/>
      <c r="J641" s="242"/>
      <c r="K641" s="242"/>
    </row>
    <row r="642" ht="37.5" customHeight="1">
      <c r="A642" s="242"/>
      <c r="B642" s="243"/>
      <c r="C642" s="242"/>
      <c r="D642" s="242"/>
      <c r="E642" s="242"/>
      <c r="F642" s="242"/>
      <c r="G642" s="243"/>
      <c r="H642" s="242"/>
      <c r="I642" s="242"/>
      <c r="J642" s="242"/>
      <c r="K642" s="242"/>
    </row>
    <row r="643" ht="37.5" customHeight="1">
      <c r="A643" s="242"/>
      <c r="B643" s="243"/>
      <c r="C643" s="242"/>
      <c r="D643" s="242"/>
      <c r="E643" s="242"/>
      <c r="F643" s="242"/>
      <c r="G643" s="243"/>
      <c r="H643" s="242"/>
      <c r="I643" s="242"/>
      <c r="J643" s="242"/>
      <c r="K643" s="242"/>
    </row>
    <row r="644" ht="37.5" customHeight="1">
      <c r="A644" s="242"/>
      <c r="B644" s="243"/>
      <c r="C644" s="242"/>
      <c r="D644" s="242"/>
      <c r="E644" s="242"/>
      <c r="F644" s="242"/>
      <c r="G644" s="243"/>
      <c r="H644" s="242"/>
      <c r="I644" s="242"/>
      <c r="J644" s="242"/>
      <c r="K644" s="242"/>
    </row>
    <row r="645" ht="37.5" customHeight="1">
      <c r="A645" s="242"/>
      <c r="B645" s="243"/>
      <c r="C645" s="242"/>
      <c r="D645" s="242"/>
      <c r="E645" s="242"/>
      <c r="F645" s="242"/>
      <c r="G645" s="243"/>
      <c r="H645" s="242"/>
      <c r="I645" s="242"/>
      <c r="J645" s="242"/>
      <c r="K645" s="242"/>
    </row>
    <row r="646" ht="37.5" customHeight="1">
      <c r="A646" s="242"/>
      <c r="B646" s="243"/>
      <c r="C646" s="242"/>
      <c r="D646" s="242"/>
      <c r="E646" s="242"/>
      <c r="F646" s="242"/>
      <c r="G646" s="243"/>
      <c r="H646" s="242"/>
      <c r="I646" s="242"/>
      <c r="J646" s="242"/>
      <c r="K646" s="242"/>
    </row>
    <row r="647" ht="37.5" customHeight="1">
      <c r="A647" s="242"/>
      <c r="B647" s="243"/>
      <c r="C647" s="242"/>
      <c r="D647" s="242"/>
      <c r="E647" s="242"/>
      <c r="F647" s="242"/>
      <c r="G647" s="243"/>
      <c r="H647" s="242"/>
      <c r="I647" s="242"/>
      <c r="J647" s="242"/>
      <c r="K647" s="242"/>
    </row>
    <row r="648" ht="37.5" customHeight="1">
      <c r="A648" s="242"/>
      <c r="B648" s="243"/>
      <c r="C648" s="242"/>
      <c r="D648" s="242"/>
      <c r="E648" s="242"/>
      <c r="F648" s="242"/>
      <c r="G648" s="243"/>
      <c r="H648" s="242"/>
      <c r="I648" s="242"/>
      <c r="J648" s="242"/>
      <c r="K648" s="242"/>
    </row>
    <row r="649" ht="37.5" customHeight="1">
      <c r="A649" s="242"/>
      <c r="B649" s="243"/>
      <c r="C649" s="242"/>
      <c r="D649" s="242"/>
      <c r="E649" s="242"/>
      <c r="F649" s="242"/>
      <c r="G649" s="243"/>
      <c r="H649" s="242"/>
      <c r="I649" s="242"/>
      <c r="J649" s="242"/>
      <c r="K649" s="242"/>
    </row>
    <row r="650" ht="37.5" customHeight="1">
      <c r="A650" s="242"/>
      <c r="B650" s="243"/>
      <c r="C650" s="242"/>
      <c r="D650" s="242"/>
      <c r="E650" s="242"/>
      <c r="F650" s="242"/>
      <c r="G650" s="243"/>
      <c r="H650" s="242"/>
      <c r="I650" s="242"/>
      <c r="J650" s="242"/>
      <c r="K650" s="242"/>
    </row>
    <row r="651" ht="37.5" customHeight="1">
      <c r="A651" s="242"/>
      <c r="B651" s="243"/>
      <c r="C651" s="242"/>
      <c r="D651" s="242"/>
      <c r="E651" s="242"/>
      <c r="F651" s="242"/>
      <c r="G651" s="243"/>
      <c r="H651" s="242"/>
      <c r="I651" s="242"/>
      <c r="J651" s="242"/>
      <c r="K651" s="242"/>
    </row>
    <row r="652" ht="37.5" customHeight="1">
      <c r="A652" s="242"/>
      <c r="B652" s="243"/>
      <c r="C652" s="242"/>
      <c r="D652" s="242"/>
      <c r="E652" s="242"/>
      <c r="F652" s="242"/>
      <c r="G652" s="243"/>
      <c r="H652" s="242"/>
      <c r="I652" s="242"/>
      <c r="J652" s="242"/>
      <c r="K652" s="242"/>
    </row>
    <row r="653" ht="37.5" customHeight="1">
      <c r="A653" s="242"/>
      <c r="B653" s="243"/>
      <c r="C653" s="242"/>
      <c r="D653" s="242"/>
      <c r="E653" s="242"/>
      <c r="F653" s="242"/>
      <c r="G653" s="243"/>
      <c r="H653" s="242"/>
      <c r="I653" s="242"/>
      <c r="J653" s="242"/>
      <c r="K653" s="242"/>
    </row>
    <row r="654" ht="37.5" customHeight="1">
      <c r="A654" s="242"/>
      <c r="B654" s="243"/>
      <c r="C654" s="242"/>
      <c r="D654" s="242"/>
      <c r="E654" s="242"/>
      <c r="F654" s="242"/>
      <c r="G654" s="243"/>
      <c r="H654" s="242"/>
      <c r="I654" s="242"/>
      <c r="J654" s="242"/>
      <c r="K654" s="242"/>
    </row>
    <row r="655" ht="37.5" customHeight="1">
      <c r="A655" s="242"/>
      <c r="B655" s="243"/>
      <c r="C655" s="242"/>
      <c r="D655" s="242"/>
      <c r="E655" s="242"/>
      <c r="F655" s="242"/>
      <c r="G655" s="243"/>
      <c r="H655" s="242"/>
      <c r="I655" s="242"/>
      <c r="J655" s="242"/>
      <c r="K655" s="242"/>
    </row>
    <row r="656" ht="37.5" customHeight="1">
      <c r="A656" s="242"/>
      <c r="B656" s="243"/>
      <c r="C656" s="242"/>
      <c r="D656" s="242"/>
      <c r="E656" s="242"/>
      <c r="F656" s="242"/>
      <c r="G656" s="243"/>
      <c r="H656" s="242"/>
      <c r="I656" s="242"/>
      <c r="J656" s="242"/>
      <c r="K656" s="242"/>
    </row>
    <row r="657" ht="37.5" customHeight="1">
      <c r="A657" s="242"/>
      <c r="B657" s="243"/>
      <c r="C657" s="242"/>
      <c r="D657" s="242"/>
      <c r="E657" s="242"/>
      <c r="F657" s="242"/>
      <c r="G657" s="243"/>
      <c r="H657" s="242"/>
      <c r="I657" s="242"/>
      <c r="J657" s="242"/>
      <c r="K657" s="242"/>
    </row>
    <row r="658" ht="37.5" customHeight="1">
      <c r="A658" s="242"/>
      <c r="B658" s="243"/>
      <c r="C658" s="242"/>
      <c r="D658" s="242"/>
      <c r="E658" s="242"/>
      <c r="F658" s="242"/>
      <c r="G658" s="243"/>
      <c r="H658" s="242"/>
      <c r="I658" s="242"/>
      <c r="J658" s="242"/>
      <c r="K658" s="242"/>
    </row>
    <row r="659" ht="37.5" customHeight="1">
      <c r="A659" s="242"/>
      <c r="B659" s="243"/>
      <c r="C659" s="242"/>
      <c r="D659" s="242"/>
      <c r="E659" s="242"/>
      <c r="F659" s="242"/>
      <c r="G659" s="243"/>
      <c r="H659" s="242"/>
      <c r="I659" s="242"/>
      <c r="J659" s="242"/>
      <c r="K659" s="242"/>
    </row>
    <row r="660" ht="37.5" customHeight="1">
      <c r="A660" s="242"/>
      <c r="B660" s="243"/>
      <c r="C660" s="242"/>
      <c r="D660" s="242"/>
      <c r="E660" s="242"/>
      <c r="F660" s="242"/>
      <c r="G660" s="243"/>
      <c r="H660" s="242"/>
      <c r="I660" s="242"/>
      <c r="J660" s="242"/>
      <c r="K660" s="242"/>
    </row>
    <row r="661" ht="37.5" customHeight="1">
      <c r="A661" s="242"/>
      <c r="B661" s="243"/>
      <c r="C661" s="242"/>
      <c r="D661" s="242"/>
      <c r="E661" s="242"/>
      <c r="F661" s="242"/>
      <c r="G661" s="243"/>
      <c r="H661" s="242"/>
      <c r="I661" s="242"/>
      <c r="J661" s="242"/>
      <c r="K661" s="242"/>
    </row>
    <row r="662" ht="37.5" customHeight="1">
      <c r="A662" s="242"/>
      <c r="B662" s="243"/>
      <c r="C662" s="242"/>
      <c r="D662" s="242"/>
      <c r="E662" s="242"/>
      <c r="F662" s="242"/>
      <c r="G662" s="243"/>
      <c r="H662" s="242"/>
      <c r="I662" s="242"/>
      <c r="J662" s="242"/>
      <c r="K662" s="242"/>
    </row>
    <row r="663" ht="37.5" customHeight="1">
      <c r="A663" s="242"/>
      <c r="B663" s="243"/>
      <c r="C663" s="242"/>
      <c r="D663" s="242"/>
      <c r="E663" s="242"/>
      <c r="F663" s="242"/>
      <c r="G663" s="243"/>
      <c r="H663" s="242"/>
      <c r="I663" s="242"/>
      <c r="J663" s="242"/>
      <c r="K663" s="242"/>
    </row>
    <row r="664" ht="37.5" customHeight="1">
      <c r="A664" s="242"/>
      <c r="B664" s="243"/>
      <c r="C664" s="242"/>
      <c r="D664" s="242"/>
      <c r="E664" s="242"/>
      <c r="F664" s="242"/>
      <c r="G664" s="243"/>
      <c r="H664" s="242"/>
      <c r="I664" s="242"/>
      <c r="J664" s="242"/>
      <c r="K664" s="242"/>
    </row>
    <row r="665" ht="37.5" customHeight="1">
      <c r="A665" s="242"/>
      <c r="B665" s="243"/>
      <c r="C665" s="242"/>
      <c r="D665" s="242"/>
      <c r="E665" s="242"/>
      <c r="F665" s="242"/>
      <c r="G665" s="243"/>
      <c r="H665" s="242"/>
      <c r="I665" s="242"/>
      <c r="J665" s="242"/>
      <c r="K665" s="242"/>
    </row>
    <row r="666" ht="37.5" customHeight="1">
      <c r="A666" s="242"/>
      <c r="B666" s="243"/>
      <c r="C666" s="242"/>
      <c r="D666" s="242"/>
      <c r="E666" s="242"/>
      <c r="F666" s="242"/>
      <c r="G666" s="243"/>
      <c r="H666" s="242"/>
      <c r="I666" s="242"/>
      <c r="J666" s="242"/>
      <c r="K666" s="242"/>
    </row>
    <row r="667" ht="37.5" customHeight="1">
      <c r="A667" s="242"/>
      <c r="B667" s="243"/>
      <c r="C667" s="242"/>
      <c r="D667" s="242"/>
      <c r="E667" s="242"/>
      <c r="F667" s="242"/>
      <c r="G667" s="243"/>
      <c r="H667" s="242"/>
      <c r="I667" s="242"/>
      <c r="J667" s="242"/>
      <c r="K667" s="242"/>
    </row>
    <row r="668" ht="37.5" customHeight="1">
      <c r="A668" s="242"/>
      <c r="B668" s="243"/>
      <c r="C668" s="242"/>
      <c r="D668" s="242"/>
      <c r="E668" s="242"/>
      <c r="F668" s="242"/>
      <c r="G668" s="243"/>
      <c r="H668" s="242"/>
      <c r="I668" s="242"/>
      <c r="J668" s="242"/>
      <c r="K668" s="242"/>
    </row>
    <row r="669" ht="37.5" customHeight="1">
      <c r="A669" s="242"/>
      <c r="B669" s="243"/>
      <c r="C669" s="242"/>
      <c r="D669" s="242"/>
      <c r="E669" s="242"/>
      <c r="F669" s="242"/>
      <c r="G669" s="243"/>
      <c r="H669" s="242"/>
      <c r="I669" s="242"/>
      <c r="J669" s="242"/>
      <c r="K669" s="242"/>
    </row>
    <row r="670" ht="37.5" customHeight="1">
      <c r="A670" s="242"/>
      <c r="B670" s="243"/>
      <c r="C670" s="242"/>
      <c r="D670" s="242"/>
      <c r="E670" s="242"/>
      <c r="F670" s="242"/>
      <c r="G670" s="243"/>
      <c r="H670" s="242"/>
      <c r="I670" s="242"/>
      <c r="J670" s="242"/>
      <c r="K670" s="242"/>
    </row>
    <row r="671" ht="37.5" customHeight="1">
      <c r="A671" s="242"/>
      <c r="B671" s="243"/>
      <c r="C671" s="242"/>
      <c r="D671" s="242"/>
      <c r="E671" s="242"/>
      <c r="F671" s="242"/>
      <c r="G671" s="243"/>
      <c r="H671" s="242"/>
      <c r="I671" s="242"/>
      <c r="J671" s="242"/>
      <c r="K671" s="242"/>
    </row>
    <row r="672" ht="37.5" customHeight="1">
      <c r="A672" s="242"/>
      <c r="B672" s="243"/>
      <c r="C672" s="242"/>
      <c r="D672" s="242"/>
      <c r="E672" s="242"/>
      <c r="F672" s="242"/>
      <c r="G672" s="243"/>
      <c r="H672" s="242"/>
      <c r="I672" s="242"/>
      <c r="J672" s="242"/>
      <c r="K672" s="242"/>
    </row>
    <row r="673" ht="37.5" customHeight="1">
      <c r="A673" s="242"/>
      <c r="B673" s="243"/>
      <c r="C673" s="242"/>
      <c r="D673" s="242"/>
      <c r="E673" s="242"/>
      <c r="F673" s="242"/>
      <c r="G673" s="243"/>
      <c r="H673" s="242"/>
      <c r="I673" s="242"/>
      <c r="J673" s="242"/>
      <c r="K673" s="242"/>
    </row>
    <row r="674" ht="37.5" customHeight="1">
      <c r="A674" s="242"/>
      <c r="B674" s="243"/>
      <c r="C674" s="242"/>
      <c r="D674" s="242"/>
      <c r="E674" s="242"/>
      <c r="F674" s="242"/>
      <c r="G674" s="243"/>
      <c r="H674" s="242"/>
      <c r="I674" s="242"/>
      <c r="J674" s="242"/>
      <c r="K674" s="242"/>
    </row>
    <row r="675" ht="37.5" customHeight="1">
      <c r="A675" s="242"/>
      <c r="B675" s="243"/>
      <c r="C675" s="242"/>
      <c r="D675" s="242"/>
      <c r="E675" s="242"/>
      <c r="F675" s="242"/>
      <c r="G675" s="243"/>
      <c r="H675" s="242"/>
      <c r="I675" s="242"/>
      <c r="J675" s="242"/>
      <c r="K675" s="242"/>
    </row>
    <row r="676" ht="37.5" customHeight="1">
      <c r="A676" s="242"/>
      <c r="B676" s="243"/>
      <c r="C676" s="242"/>
      <c r="D676" s="242"/>
      <c r="E676" s="242"/>
      <c r="F676" s="242"/>
      <c r="G676" s="243"/>
      <c r="H676" s="242"/>
      <c r="I676" s="242"/>
      <c r="J676" s="242"/>
      <c r="K676" s="242"/>
    </row>
    <row r="677" ht="37.5" customHeight="1">
      <c r="A677" s="242"/>
      <c r="B677" s="243"/>
      <c r="C677" s="242"/>
      <c r="D677" s="242"/>
      <c r="E677" s="242"/>
      <c r="F677" s="242"/>
      <c r="G677" s="243"/>
      <c r="H677" s="242"/>
      <c r="I677" s="242"/>
      <c r="J677" s="242"/>
      <c r="K677" s="242"/>
    </row>
    <row r="678" ht="37.5" customHeight="1">
      <c r="A678" s="242"/>
      <c r="B678" s="243"/>
      <c r="C678" s="242"/>
      <c r="D678" s="242"/>
      <c r="E678" s="242"/>
      <c r="F678" s="242"/>
      <c r="G678" s="243"/>
      <c r="H678" s="242"/>
      <c r="I678" s="242"/>
      <c r="J678" s="242"/>
      <c r="K678" s="242"/>
    </row>
    <row r="679" ht="37.5" customHeight="1">
      <c r="A679" s="242"/>
      <c r="B679" s="243"/>
      <c r="C679" s="242"/>
      <c r="D679" s="242"/>
      <c r="E679" s="242"/>
      <c r="F679" s="242"/>
      <c r="G679" s="243"/>
      <c r="H679" s="242"/>
      <c r="I679" s="242"/>
      <c r="J679" s="242"/>
      <c r="K679" s="242"/>
    </row>
    <row r="680" ht="37.5" customHeight="1">
      <c r="A680" s="242"/>
      <c r="B680" s="243"/>
      <c r="C680" s="242"/>
      <c r="D680" s="242"/>
      <c r="E680" s="242"/>
      <c r="F680" s="242"/>
      <c r="G680" s="243"/>
      <c r="H680" s="242"/>
      <c r="I680" s="242"/>
      <c r="J680" s="242"/>
      <c r="K680" s="242"/>
    </row>
    <row r="681" ht="37.5" customHeight="1">
      <c r="A681" s="242"/>
      <c r="B681" s="243"/>
      <c r="C681" s="242"/>
      <c r="D681" s="242"/>
      <c r="E681" s="242"/>
      <c r="F681" s="242"/>
      <c r="G681" s="243"/>
      <c r="H681" s="242"/>
      <c r="I681" s="242"/>
      <c r="J681" s="242"/>
      <c r="K681" s="242"/>
    </row>
    <row r="682" ht="37.5" customHeight="1">
      <c r="A682" s="242"/>
      <c r="B682" s="243"/>
      <c r="C682" s="242"/>
      <c r="D682" s="242"/>
      <c r="E682" s="242"/>
      <c r="F682" s="242"/>
      <c r="G682" s="243"/>
      <c r="H682" s="242"/>
      <c r="I682" s="242"/>
      <c r="J682" s="242"/>
      <c r="K682" s="242"/>
    </row>
    <row r="683" ht="37.5" customHeight="1">
      <c r="A683" s="242"/>
      <c r="B683" s="243"/>
      <c r="C683" s="242"/>
      <c r="D683" s="242"/>
      <c r="E683" s="242"/>
      <c r="F683" s="242"/>
      <c r="G683" s="243"/>
      <c r="H683" s="242"/>
      <c r="I683" s="242"/>
      <c r="J683" s="242"/>
      <c r="K683" s="242"/>
    </row>
    <row r="684" ht="37.5" customHeight="1">
      <c r="A684" s="242"/>
      <c r="B684" s="243"/>
      <c r="C684" s="242"/>
      <c r="D684" s="242"/>
      <c r="E684" s="242"/>
      <c r="F684" s="242"/>
      <c r="G684" s="243"/>
      <c r="H684" s="242"/>
      <c r="I684" s="242"/>
      <c r="J684" s="242"/>
      <c r="K684" s="242"/>
    </row>
    <row r="685" ht="37.5" customHeight="1">
      <c r="A685" s="242"/>
      <c r="B685" s="243"/>
      <c r="C685" s="242"/>
      <c r="D685" s="242"/>
      <c r="E685" s="242"/>
      <c r="F685" s="242"/>
      <c r="G685" s="243"/>
      <c r="H685" s="242"/>
      <c r="I685" s="242"/>
      <c r="J685" s="242"/>
      <c r="K685" s="242"/>
    </row>
    <row r="686" ht="37.5" customHeight="1">
      <c r="A686" s="242"/>
      <c r="B686" s="243"/>
      <c r="C686" s="242"/>
      <c r="D686" s="242"/>
      <c r="E686" s="242"/>
      <c r="F686" s="242"/>
      <c r="G686" s="243"/>
      <c r="H686" s="242"/>
      <c r="I686" s="242"/>
      <c r="J686" s="242"/>
      <c r="K686" s="242"/>
    </row>
    <row r="687" ht="37.5" customHeight="1">
      <c r="A687" s="242"/>
      <c r="B687" s="243"/>
      <c r="C687" s="242"/>
      <c r="D687" s="242"/>
      <c r="E687" s="242"/>
      <c r="F687" s="242"/>
      <c r="G687" s="243"/>
      <c r="H687" s="242"/>
      <c r="I687" s="242"/>
      <c r="J687" s="242"/>
      <c r="K687" s="242"/>
    </row>
    <row r="688" ht="37.5" customHeight="1">
      <c r="A688" s="242"/>
      <c r="B688" s="243"/>
      <c r="C688" s="242"/>
      <c r="D688" s="242"/>
      <c r="E688" s="242"/>
      <c r="F688" s="242"/>
      <c r="G688" s="243"/>
      <c r="H688" s="242"/>
      <c r="I688" s="242"/>
      <c r="J688" s="242"/>
      <c r="K688" s="242"/>
    </row>
    <row r="689" ht="37.5" customHeight="1">
      <c r="A689" s="242"/>
      <c r="B689" s="243"/>
      <c r="C689" s="242"/>
      <c r="D689" s="242"/>
      <c r="E689" s="242"/>
      <c r="F689" s="242"/>
      <c r="G689" s="243"/>
      <c r="H689" s="242"/>
      <c r="I689" s="242"/>
      <c r="J689" s="242"/>
      <c r="K689" s="242"/>
    </row>
    <row r="690" ht="37.5" customHeight="1">
      <c r="A690" s="242"/>
      <c r="B690" s="243"/>
      <c r="C690" s="242"/>
      <c r="D690" s="242"/>
      <c r="E690" s="242"/>
      <c r="F690" s="242"/>
      <c r="G690" s="243"/>
      <c r="H690" s="242"/>
      <c r="I690" s="242"/>
      <c r="J690" s="242"/>
      <c r="K690" s="242"/>
    </row>
    <row r="691" ht="37.5" customHeight="1">
      <c r="A691" s="242"/>
      <c r="B691" s="243"/>
      <c r="C691" s="242"/>
      <c r="D691" s="242"/>
      <c r="E691" s="242"/>
      <c r="F691" s="242"/>
      <c r="G691" s="243"/>
      <c r="H691" s="242"/>
      <c r="I691" s="242"/>
      <c r="J691" s="242"/>
      <c r="K691" s="242"/>
    </row>
    <row r="692" ht="37.5" customHeight="1">
      <c r="A692" s="242"/>
      <c r="B692" s="243"/>
      <c r="C692" s="242"/>
      <c r="D692" s="242"/>
      <c r="E692" s="242"/>
      <c r="F692" s="242"/>
      <c r="G692" s="243"/>
      <c r="H692" s="242"/>
      <c r="I692" s="242"/>
      <c r="J692" s="242"/>
      <c r="K692" s="242"/>
    </row>
    <row r="693" ht="37.5" customHeight="1">
      <c r="A693" s="242"/>
      <c r="B693" s="243"/>
      <c r="C693" s="242"/>
      <c r="D693" s="242"/>
      <c r="E693" s="242"/>
      <c r="F693" s="242"/>
      <c r="G693" s="243"/>
      <c r="H693" s="242"/>
      <c r="I693" s="242"/>
      <c r="J693" s="242"/>
      <c r="K693" s="242"/>
    </row>
    <row r="694" ht="37.5" customHeight="1">
      <c r="A694" s="242"/>
      <c r="B694" s="243"/>
      <c r="C694" s="242"/>
      <c r="D694" s="242"/>
      <c r="E694" s="242"/>
      <c r="F694" s="242"/>
      <c r="G694" s="243"/>
      <c r="H694" s="242"/>
      <c r="I694" s="242"/>
      <c r="J694" s="242"/>
      <c r="K694" s="242"/>
    </row>
    <row r="695" ht="37.5" customHeight="1">
      <c r="A695" s="242"/>
      <c r="B695" s="243"/>
      <c r="C695" s="242"/>
      <c r="D695" s="242"/>
      <c r="E695" s="242"/>
      <c r="F695" s="242"/>
      <c r="G695" s="243"/>
      <c r="H695" s="242"/>
      <c r="I695" s="242"/>
      <c r="J695" s="242"/>
      <c r="K695" s="242"/>
    </row>
    <row r="696" ht="37.5" customHeight="1">
      <c r="A696" s="242"/>
      <c r="B696" s="243"/>
      <c r="C696" s="242"/>
      <c r="D696" s="242"/>
      <c r="E696" s="242"/>
      <c r="F696" s="242"/>
      <c r="G696" s="243"/>
      <c r="H696" s="242"/>
      <c r="I696" s="242"/>
      <c r="J696" s="242"/>
      <c r="K696" s="242"/>
    </row>
    <row r="697" ht="37.5" customHeight="1">
      <c r="A697" s="242"/>
      <c r="B697" s="243"/>
      <c r="C697" s="242"/>
      <c r="D697" s="242"/>
      <c r="E697" s="242"/>
      <c r="F697" s="242"/>
      <c r="G697" s="243"/>
      <c r="H697" s="242"/>
      <c r="I697" s="242"/>
      <c r="J697" s="242"/>
      <c r="K697" s="242"/>
    </row>
    <row r="698" ht="37.5" customHeight="1">
      <c r="A698" s="242"/>
      <c r="B698" s="243"/>
      <c r="C698" s="242"/>
      <c r="D698" s="242"/>
      <c r="E698" s="242"/>
      <c r="F698" s="242"/>
      <c r="G698" s="243"/>
      <c r="H698" s="242"/>
      <c r="I698" s="242"/>
      <c r="J698" s="242"/>
      <c r="K698" s="242"/>
    </row>
    <row r="699" ht="37.5" customHeight="1">
      <c r="A699" s="242"/>
      <c r="B699" s="243"/>
      <c r="C699" s="242"/>
      <c r="D699" s="242"/>
      <c r="E699" s="242"/>
      <c r="F699" s="242"/>
      <c r="G699" s="243"/>
      <c r="H699" s="242"/>
      <c r="I699" s="242"/>
      <c r="J699" s="242"/>
      <c r="K699" s="242"/>
    </row>
    <row r="700" ht="37.5" customHeight="1">
      <c r="A700" s="242"/>
      <c r="B700" s="243"/>
      <c r="C700" s="242"/>
      <c r="D700" s="242"/>
      <c r="E700" s="242"/>
      <c r="F700" s="242"/>
      <c r="G700" s="243"/>
      <c r="H700" s="242"/>
      <c r="I700" s="242"/>
      <c r="J700" s="242"/>
      <c r="K700" s="242"/>
    </row>
    <row r="701" ht="37.5" customHeight="1">
      <c r="A701" s="242"/>
      <c r="B701" s="243"/>
      <c r="C701" s="242"/>
      <c r="D701" s="242"/>
      <c r="E701" s="242"/>
      <c r="F701" s="242"/>
      <c r="G701" s="243"/>
      <c r="H701" s="242"/>
      <c r="I701" s="242"/>
      <c r="J701" s="242"/>
      <c r="K701" s="242"/>
    </row>
    <row r="702" ht="37.5" customHeight="1">
      <c r="A702" s="242"/>
      <c r="B702" s="243"/>
      <c r="C702" s="242"/>
      <c r="D702" s="242"/>
      <c r="E702" s="242"/>
      <c r="F702" s="242"/>
      <c r="G702" s="243"/>
      <c r="H702" s="242"/>
      <c r="I702" s="242"/>
      <c r="J702" s="242"/>
      <c r="K702" s="242"/>
    </row>
    <row r="703" ht="37.5" customHeight="1">
      <c r="A703" s="242"/>
      <c r="B703" s="243"/>
      <c r="C703" s="242"/>
      <c r="D703" s="242"/>
      <c r="E703" s="242"/>
      <c r="F703" s="242"/>
      <c r="G703" s="243"/>
      <c r="H703" s="242"/>
      <c r="I703" s="242"/>
      <c r="J703" s="242"/>
      <c r="K703" s="242"/>
    </row>
    <row r="704" ht="37.5" customHeight="1">
      <c r="A704" s="242"/>
      <c r="B704" s="243"/>
      <c r="C704" s="242"/>
      <c r="D704" s="242"/>
      <c r="E704" s="242"/>
      <c r="F704" s="242"/>
      <c r="G704" s="243"/>
      <c r="H704" s="242"/>
      <c r="I704" s="242"/>
      <c r="J704" s="242"/>
      <c r="K704" s="242"/>
    </row>
    <row r="705" ht="37.5" customHeight="1">
      <c r="A705" s="242"/>
      <c r="B705" s="243"/>
      <c r="C705" s="242"/>
      <c r="D705" s="242"/>
      <c r="E705" s="242"/>
      <c r="F705" s="242"/>
      <c r="G705" s="243"/>
      <c r="H705" s="242"/>
      <c r="I705" s="242"/>
      <c r="J705" s="242"/>
      <c r="K705" s="242"/>
    </row>
    <row r="706" ht="37.5" customHeight="1">
      <c r="A706" s="242"/>
      <c r="B706" s="243"/>
      <c r="C706" s="242"/>
      <c r="D706" s="242"/>
      <c r="E706" s="242"/>
      <c r="F706" s="242"/>
      <c r="G706" s="243"/>
      <c r="H706" s="242"/>
      <c r="I706" s="242"/>
      <c r="J706" s="242"/>
      <c r="K706" s="242"/>
    </row>
    <row r="707" ht="37.5" customHeight="1">
      <c r="A707" s="242"/>
      <c r="B707" s="243"/>
      <c r="C707" s="242"/>
      <c r="D707" s="242"/>
      <c r="E707" s="242"/>
      <c r="F707" s="242"/>
      <c r="G707" s="243"/>
      <c r="H707" s="242"/>
      <c r="I707" s="242"/>
      <c r="J707" s="242"/>
      <c r="K707" s="242"/>
    </row>
    <row r="708" ht="37.5" customHeight="1">
      <c r="A708" s="242"/>
      <c r="B708" s="243"/>
      <c r="C708" s="242"/>
      <c r="D708" s="242"/>
      <c r="E708" s="242"/>
      <c r="F708" s="242"/>
      <c r="G708" s="243"/>
      <c r="H708" s="242"/>
      <c r="I708" s="242"/>
      <c r="J708" s="242"/>
      <c r="K708" s="242"/>
    </row>
    <row r="709" ht="37.5" customHeight="1">
      <c r="A709" s="242"/>
      <c r="B709" s="243"/>
      <c r="C709" s="242"/>
      <c r="D709" s="242"/>
      <c r="E709" s="242"/>
      <c r="F709" s="242"/>
      <c r="G709" s="243"/>
      <c r="H709" s="242"/>
      <c r="I709" s="242"/>
      <c r="J709" s="242"/>
      <c r="K709" s="242"/>
    </row>
    <row r="710" ht="37.5" customHeight="1">
      <c r="A710" s="242"/>
      <c r="B710" s="243"/>
      <c r="C710" s="242"/>
      <c r="D710" s="242"/>
      <c r="E710" s="242"/>
      <c r="F710" s="242"/>
      <c r="G710" s="243"/>
      <c r="H710" s="242"/>
      <c r="I710" s="242"/>
      <c r="J710" s="242"/>
      <c r="K710" s="242"/>
    </row>
    <row r="711" ht="37.5" customHeight="1">
      <c r="A711" s="242"/>
      <c r="B711" s="243"/>
      <c r="C711" s="242"/>
      <c r="D711" s="242"/>
      <c r="E711" s="242"/>
      <c r="F711" s="242"/>
      <c r="G711" s="243"/>
      <c r="H711" s="242"/>
      <c r="I711" s="242"/>
      <c r="J711" s="242"/>
      <c r="K711" s="242"/>
    </row>
    <row r="712" ht="37.5" customHeight="1">
      <c r="A712" s="242"/>
      <c r="B712" s="243"/>
      <c r="C712" s="242"/>
      <c r="D712" s="242"/>
      <c r="E712" s="242"/>
      <c r="F712" s="242"/>
      <c r="G712" s="243"/>
      <c r="H712" s="242"/>
      <c r="I712" s="242"/>
      <c r="J712" s="242"/>
      <c r="K712" s="242"/>
    </row>
    <row r="713" ht="37.5" customHeight="1">
      <c r="A713" s="242"/>
      <c r="B713" s="243"/>
      <c r="C713" s="242"/>
      <c r="D713" s="242"/>
      <c r="E713" s="242"/>
      <c r="F713" s="242"/>
      <c r="G713" s="243"/>
      <c r="H713" s="242"/>
      <c r="I713" s="242"/>
      <c r="J713" s="242"/>
      <c r="K713" s="242"/>
    </row>
    <row r="714" ht="37.5" customHeight="1">
      <c r="A714" s="242"/>
      <c r="B714" s="243"/>
      <c r="C714" s="242"/>
      <c r="D714" s="242"/>
      <c r="E714" s="242"/>
      <c r="F714" s="242"/>
      <c r="G714" s="243"/>
      <c r="H714" s="242"/>
      <c r="I714" s="242"/>
      <c r="J714" s="242"/>
      <c r="K714" s="242"/>
    </row>
    <row r="715" ht="37.5" customHeight="1">
      <c r="A715" s="242"/>
      <c r="B715" s="243"/>
      <c r="C715" s="242"/>
      <c r="D715" s="242"/>
      <c r="E715" s="242"/>
      <c r="F715" s="242"/>
      <c r="G715" s="243"/>
      <c r="H715" s="242"/>
      <c r="I715" s="242"/>
      <c r="J715" s="242"/>
      <c r="K715" s="242"/>
    </row>
    <row r="716" ht="37.5" customHeight="1">
      <c r="A716" s="242"/>
      <c r="B716" s="243"/>
      <c r="C716" s="242"/>
      <c r="D716" s="242"/>
      <c r="E716" s="242"/>
      <c r="F716" s="242"/>
      <c r="G716" s="243"/>
      <c r="H716" s="242"/>
      <c r="I716" s="242"/>
      <c r="J716" s="242"/>
      <c r="K716" s="242"/>
    </row>
    <row r="717" ht="37.5" customHeight="1">
      <c r="A717" s="242"/>
      <c r="B717" s="243"/>
      <c r="C717" s="242"/>
      <c r="D717" s="242"/>
      <c r="E717" s="242"/>
      <c r="F717" s="242"/>
      <c r="G717" s="243"/>
      <c r="H717" s="242"/>
      <c r="I717" s="242"/>
      <c r="J717" s="242"/>
      <c r="K717" s="242"/>
    </row>
    <row r="718" ht="37.5" customHeight="1">
      <c r="A718" s="242"/>
      <c r="B718" s="243"/>
      <c r="C718" s="242"/>
      <c r="D718" s="242"/>
      <c r="E718" s="242"/>
      <c r="F718" s="242"/>
      <c r="G718" s="243"/>
      <c r="H718" s="242"/>
      <c r="I718" s="242"/>
      <c r="J718" s="242"/>
      <c r="K718" s="242"/>
    </row>
    <row r="719" ht="37.5" customHeight="1">
      <c r="A719" s="242"/>
      <c r="B719" s="243"/>
      <c r="C719" s="242"/>
      <c r="D719" s="242"/>
      <c r="E719" s="242"/>
      <c r="F719" s="242"/>
      <c r="G719" s="243"/>
      <c r="H719" s="242"/>
      <c r="I719" s="242"/>
      <c r="J719" s="242"/>
      <c r="K719" s="242"/>
    </row>
    <row r="720" ht="37.5" customHeight="1">
      <c r="A720" s="242"/>
      <c r="B720" s="243"/>
      <c r="C720" s="242"/>
      <c r="D720" s="242"/>
      <c r="E720" s="242"/>
      <c r="F720" s="242"/>
      <c r="G720" s="243"/>
      <c r="H720" s="242"/>
      <c r="I720" s="242"/>
      <c r="J720" s="242"/>
      <c r="K720" s="242"/>
    </row>
    <row r="721" ht="37.5" customHeight="1">
      <c r="A721" s="242"/>
      <c r="B721" s="243"/>
      <c r="C721" s="242"/>
      <c r="D721" s="242"/>
      <c r="E721" s="242"/>
      <c r="F721" s="242"/>
      <c r="G721" s="243"/>
      <c r="H721" s="242"/>
      <c r="I721" s="242"/>
      <c r="J721" s="242"/>
      <c r="K721" s="242"/>
    </row>
    <row r="722" ht="37.5" customHeight="1">
      <c r="A722" s="242"/>
      <c r="B722" s="243"/>
      <c r="C722" s="242"/>
      <c r="D722" s="242"/>
      <c r="E722" s="242"/>
      <c r="F722" s="242"/>
      <c r="G722" s="243"/>
      <c r="H722" s="242"/>
      <c r="I722" s="242"/>
      <c r="J722" s="242"/>
      <c r="K722" s="242"/>
    </row>
    <row r="723" ht="37.5" customHeight="1">
      <c r="A723" s="242"/>
      <c r="B723" s="243"/>
      <c r="C723" s="242"/>
      <c r="D723" s="242"/>
      <c r="E723" s="242"/>
      <c r="F723" s="242"/>
      <c r="G723" s="243"/>
      <c r="H723" s="242"/>
      <c r="I723" s="242"/>
      <c r="J723" s="242"/>
      <c r="K723" s="242"/>
    </row>
    <row r="724" ht="37.5" customHeight="1">
      <c r="A724" s="242"/>
      <c r="B724" s="243"/>
      <c r="C724" s="242"/>
      <c r="D724" s="242"/>
      <c r="E724" s="242"/>
      <c r="F724" s="242"/>
      <c r="G724" s="243"/>
      <c r="H724" s="242"/>
      <c r="I724" s="242"/>
      <c r="J724" s="242"/>
      <c r="K724" s="242"/>
    </row>
    <row r="725" ht="37.5" customHeight="1">
      <c r="A725" s="242"/>
      <c r="B725" s="243"/>
      <c r="C725" s="242"/>
      <c r="D725" s="242"/>
      <c r="E725" s="242"/>
      <c r="F725" s="242"/>
      <c r="G725" s="243"/>
      <c r="H725" s="242"/>
      <c r="I725" s="242"/>
      <c r="J725" s="242"/>
      <c r="K725" s="242"/>
    </row>
    <row r="726" ht="37.5" customHeight="1">
      <c r="A726" s="242"/>
      <c r="B726" s="243"/>
      <c r="C726" s="242"/>
      <c r="D726" s="242"/>
      <c r="E726" s="242"/>
      <c r="F726" s="242"/>
      <c r="G726" s="243"/>
      <c r="H726" s="242"/>
      <c r="I726" s="242"/>
      <c r="J726" s="242"/>
      <c r="K726" s="242"/>
    </row>
    <row r="727" ht="37.5" customHeight="1">
      <c r="A727" s="242"/>
      <c r="B727" s="243"/>
      <c r="C727" s="242"/>
      <c r="D727" s="242"/>
      <c r="E727" s="242"/>
      <c r="F727" s="242"/>
      <c r="G727" s="243"/>
      <c r="H727" s="242"/>
      <c r="I727" s="242"/>
      <c r="J727" s="242"/>
      <c r="K727" s="242"/>
    </row>
    <row r="728" ht="37.5" customHeight="1">
      <c r="A728" s="242"/>
      <c r="B728" s="243"/>
      <c r="C728" s="242"/>
      <c r="D728" s="242"/>
      <c r="E728" s="242"/>
      <c r="F728" s="242"/>
      <c r="G728" s="243"/>
      <c r="H728" s="242"/>
      <c r="I728" s="242"/>
      <c r="J728" s="242"/>
      <c r="K728" s="242"/>
    </row>
    <row r="729" ht="37.5" customHeight="1">
      <c r="A729" s="242"/>
      <c r="B729" s="243"/>
      <c r="C729" s="242"/>
      <c r="D729" s="242"/>
      <c r="E729" s="242"/>
      <c r="F729" s="242"/>
      <c r="G729" s="243"/>
      <c r="H729" s="242"/>
      <c r="I729" s="242"/>
      <c r="J729" s="242"/>
      <c r="K729" s="242"/>
    </row>
    <row r="730" ht="37.5" customHeight="1">
      <c r="A730" s="242"/>
      <c r="B730" s="243"/>
      <c r="C730" s="242"/>
      <c r="D730" s="242"/>
      <c r="E730" s="242"/>
      <c r="F730" s="242"/>
      <c r="G730" s="243"/>
      <c r="H730" s="242"/>
      <c r="I730" s="242"/>
      <c r="J730" s="242"/>
      <c r="K730" s="242"/>
    </row>
    <row r="731" ht="37.5" customHeight="1">
      <c r="A731" s="242"/>
      <c r="B731" s="243"/>
      <c r="C731" s="242"/>
      <c r="D731" s="242"/>
      <c r="E731" s="242"/>
      <c r="F731" s="242"/>
      <c r="G731" s="243"/>
      <c r="H731" s="242"/>
      <c r="I731" s="242"/>
      <c r="J731" s="242"/>
      <c r="K731" s="242"/>
    </row>
    <row r="732" ht="37.5" customHeight="1">
      <c r="A732" s="242"/>
      <c r="B732" s="243"/>
      <c r="C732" s="242"/>
      <c r="D732" s="242"/>
      <c r="E732" s="242"/>
      <c r="F732" s="242"/>
      <c r="G732" s="243"/>
      <c r="H732" s="242"/>
      <c r="I732" s="242"/>
      <c r="J732" s="242"/>
      <c r="K732" s="242"/>
    </row>
    <row r="733" ht="37.5" customHeight="1">
      <c r="A733" s="242"/>
      <c r="B733" s="243"/>
      <c r="C733" s="242"/>
      <c r="D733" s="242"/>
      <c r="E733" s="242"/>
      <c r="F733" s="242"/>
      <c r="G733" s="243"/>
      <c r="H733" s="242"/>
      <c r="I733" s="242"/>
      <c r="J733" s="242"/>
      <c r="K733" s="242"/>
    </row>
    <row r="734" ht="37.5" customHeight="1">
      <c r="A734" s="242"/>
      <c r="B734" s="243"/>
      <c r="C734" s="242"/>
      <c r="D734" s="242"/>
      <c r="E734" s="242"/>
      <c r="F734" s="242"/>
      <c r="G734" s="243"/>
      <c r="H734" s="242"/>
      <c r="I734" s="242"/>
      <c r="J734" s="242"/>
      <c r="K734" s="242"/>
    </row>
    <row r="735" ht="37.5" customHeight="1">
      <c r="A735" s="242"/>
      <c r="B735" s="243"/>
      <c r="C735" s="242"/>
      <c r="D735" s="242"/>
      <c r="E735" s="242"/>
      <c r="F735" s="242"/>
      <c r="G735" s="243"/>
      <c r="H735" s="242"/>
      <c r="I735" s="242"/>
      <c r="J735" s="242"/>
      <c r="K735" s="242"/>
    </row>
    <row r="736" ht="37.5" customHeight="1">
      <c r="A736" s="242"/>
      <c r="B736" s="243"/>
      <c r="C736" s="242"/>
      <c r="D736" s="242"/>
      <c r="E736" s="242"/>
      <c r="F736" s="242"/>
      <c r="G736" s="243"/>
      <c r="H736" s="242"/>
      <c r="I736" s="242"/>
      <c r="J736" s="242"/>
      <c r="K736" s="242"/>
    </row>
    <row r="737" ht="37.5" customHeight="1">
      <c r="A737" s="242"/>
      <c r="B737" s="243"/>
      <c r="C737" s="242"/>
      <c r="D737" s="242"/>
      <c r="E737" s="242"/>
      <c r="F737" s="242"/>
      <c r="G737" s="243"/>
      <c r="H737" s="242"/>
      <c r="I737" s="242"/>
      <c r="J737" s="242"/>
      <c r="K737" s="242"/>
    </row>
    <row r="738" ht="37.5" customHeight="1">
      <c r="A738" s="242"/>
      <c r="B738" s="243"/>
      <c r="C738" s="242"/>
      <c r="D738" s="242"/>
      <c r="E738" s="242"/>
      <c r="F738" s="242"/>
      <c r="G738" s="243"/>
      <c r="H738" s="242"/>
      <c r="I738" s="242"/>
      <c r="J738" s="242"/>
      <c r="K738" s="242"/>
    </row>
    <row r="739" ht="37.5" customHeight="1">
      <c r="A739" s="242"/>
      <c r="B739" s="243"/>
      <c r="C739" s="242"/>
      <c r="D739" s="242"/>
      <c r="E739" s="242"/>
      <c r="F739" s="242"/>
      <c r="G739" s="243"/>
      <c r="H739" s="242"/>
      <c r="I739" s="242"/>
      <c r="J739" s="242"/>
      <c r="K739" s="242"/>
    </row>
    <row r="740" ht="37.5" customHeight="1">
      <c r="A740" s="242"/>
      <c r="B740" s="243"/>
      <c r="C740" s="242"/>
      <c r="D740" s="242"/>
      <c r="E740" s="242"/>
      <c r="F740" s="242"/>
      <c r="G740" s="243"/>
      <c r="H740" s="242"/>
      <c r="I740" s="242"/>
      <c r="J740" s="242"/>
      <c r="K740" s="242"/>
    </row>
    <row r="741" ht="37.5" customHeight="1">
      <c r="A741" s="242"/>
      <c r="B741" s="243"/>
      <c r="C741" s="242"/>
      <c r="D741" s="242"/>
      <c r="E741" s="242"/>
      <c r="F741" s="242"/>
      <c r="G741" s="243"/>
      <c r="H741" s="242"/>
      <c r="I741" s="242"/>
      <c r="J741" s="242"/>
      <c r="K741" s="242"/>
    </row>
    <row r="742" ht="37.5" customHeight="1">
      <c r="A742" s="242"/>
      <c r="B742" s="243"/>
      <c r="C742" s="242"/>
      <c r="D742" s="242"/>
      <c r="E742" s="242"/>
      <c r="F742" s="242"/>
      <c r="G742" s="243"/>
      <c r="H742" s="242"/>
      <c r="I742" s="242"/>
      <c r="J742" s="242"/>
      <c r="K742" s="242"/>
    </row>
    <row r="743" ht="37.5" customHeight="1">
      <c r="A743" s="242"/>
      <c r="B743" s="243"/>
      <c r="C743" s="242"/>
      <c r="D743" s="242"/>
      <c r="E743" s="242"/>
      <c r="F743" s="242"/>
      <c r="G743" s="243"/>
      <c r="H743" s="242"/>
      <c r="I743" s="242"/>
      <c r="J743" s="242"/>
      <c r="K743" s="242"/>
    </row>
    <row r="744" ht="37.5" customHeight="1">
      <c r="A744" s="242"/>
      <c r="B744" s="243"/>
      <c r="C744" s="242"/>
      <c r="D744" s="242"/>
      <c r="E744" s="242"/>
      <c r="F744" s="242"/>
      <c r="G744" s="243"/>
      <c r="H744" s="242"/>
      <c r="I744" s="242"/>
      <c r="J744" s="242"/>
      <c r="K744" s="242"/>
    </row>
    <row r="745" ht="37.5" customHeight="1">
      <c r="A745" s="242"/>
      <c r="B745" s="243"/>
      <c r="C745" s="242"/>
      <c r="D745" s="242"/>
      <c r="E745" s="242"/>
      <c r="F745" s="242"/>
      <c r="G745" s="243"/>
      <c r="H745" s="242"/>
      <c r="I745" s="242"/>
      <c r="J745" s="242"/>
      <c r="K745" s="242"/>
    </row>
    <row r="746" ht="37.5" customHeight="1">
      <c r="A746" s="242"/>
      <c r="B746" s="243"/>
      <c r="C746" s="242"/>
      <c r="D746" s="242"/>
      <c r="E746" s="242"/>
      <c r="F746" s="242"/>
      <c r="G746" s="243"/>
      <c r="H746" s="242"/>
      <c r="I746" s="242"/>
      <c r="J746" s="242"/>
      <c r="K746" s="242"/>
    </row>
    <row r="747" ht="37.5" customHeight="1">
      <c r="A747" s="242"/>
      <c r="B747" s="243"/>
      <c r="C747" s="242"/>
      <c r="D747" s="242"/>
      <c r="E747" s="242"/>
      <c r="F747" s="242"/>
      <c r="G747" s="243"/>
      <c r="H747" s="242"/>
      <c r="I747" s="242"/>
      <c r="J747" s="242"/>
      <c r="K747" s="242"/>
    </row>
    <row r="748" ht="37.5" customHeight="1">
      <c r="A748" s="242"/>
      <c r="B748" s="243"/>
      <c r="C748" s="242"/>
      <c r="D748" s="242"/>
      <c r="E748" s="242"/>
      <c r="F748" s="242"/>
      <c r="G748" s="243"/>
      <c r="H748" s="242"/>
      <c r="I748" s="242"/>
      <c r="J748" s="242"/>
      <c r="K748" s="242"/>
    </row>
    <row r="749" ht="37.5" customHeight="1">
      <c r="A749" s="242"/>
      <c r="B749" s="243"/>
      <c r="C749" s="242"/>
      <c r="D749" s="242"/>
      <c r="E749" s="242"/>
      <c r="F749" s="242"/>
      <c r="G749" s="243"/>
      <c r="H749" s="242"/>
      <c r="I749" s="242"/>
      <c r="J749" s="242"/>
      <c r="K749" s="242"/>
    </row>
    <row r="750" ht="37.5" customHeight="1">
      <c r="A750" s="242"/>
      <c r="B750" s="243"/>
      <c r="C750" s="242"/>
      <c r="D750" s="242"/>
      <c r="E750" s="242"/>
      <c r="F750" s="242"/>
      <c r="G750" s="243"/>
      <c r="H750" s="242"/>
      <c r="I750" s="242"/>
      <c r="J750" s="242"/>
      <c r="K750" s="242"/>
    </row>
    <row r="751" ht="37.5" customHeight="1">
      <c r="A751" s="242"/>
      <c r="B751" s="243"/>
      <c r="C751" s="242"/>
      <c r="D751" s="242"/>
      <c r="E751" s="242"/>
      <c r="F751" s="242"/>
      <c r="G751" s="243"/>
      <c r="H751" s="242"/>
      <c r="I751" s="242"/>
      <c r="J751" s="242"/>
      <c r="K751" s="242"/>
    </row>
    <row r="752" ht="37.5" customHeight="1">
      <c r="A752" s="242"/>
      <c r="B752" s="243"/>
      <c r="C752" s="242"/>
      <c r="D752" s="242"/>
      <c r="E752" s="242"/>
      <c r="F752" s="242"/>
      <c r="G752" s="243"/>
      <c r="H752" s="242"/>
      <c r="I752" s="242"/>
      <c r="J752" s="242"/>
      <c r="K752" s="242"/>
    </row>
    <row r="753" ht="37.5" customHeight="1">
      <c r="A753" s="242"/>
      <c r="B753" s="243"/>
      <c r="C753" s="242"/>
      <c r="D753" s="242"/>
      <c r="E753" s="242"/>
      <c r="F753" s="242"/>
      <c r="G753" s="243"/>
      <c r="H753" s="242"/>
      <c r="I753" s="242"/>
      <c r="J753" s="242"/>
      <c r="K753" s="242"/>
    </row>
    <row r="754" ht="37.5" customHeight="1">
      <c r="A754" s="242"/>
      <c r="B754" s="243"/>
      <c r="C754" s="242"/>
      <c r="D754" s="242"/>
      <c r="E754" s="242"/>
      <c r="F754" s="242"/>
      <c r="G754" s="243"/>
      <c r="H754" s="242"/>
      <c r="I754" s="242"/>
      <c r="J754" s="242"/>
      <c r="K754" s="242"/>
    </row>
    <row r="755" ht="37.5" customHeight="1">
      <c r="A755" s="242"/>
      <c r="B755" s="243"/>
      <c r="C755" s="242"/>
      <c r="D755" s="242"/>
      <c r="E755" s="242"/>
      <c r="F755" s="242"/>
      <c r="G755" s="243"/>
      <c r="H755" s="242"/>
      <c r="I755" s="242"/>
      <c r="J755" s="242"/>
      <c r="K755" s="242"/>
    </row>
    <row r="756" ht="37.5" customHeight="1">
      <c r="A756" s="242"/>
      <c r="B756" s="243"/>
      <c r="C756" s="242"/>
      <c r="D756" s="242"/>
      <c r="E756" s="242"/>
      <c r="F756" s="242"/>
      <c r="G756" s="243"/>
      <c r="H756" s="242"/>
      <c r="I756" s="242"/>
      <c r="J756" s="242"/>
      <c r="K756" s="242"/>
    </row>
    <row r="757" ht="37.5" customHeight="1">
      <c r="A757" s="242"/>
      <c r="B757" s="243"/>
      <c r="C757" s="242"/>
      <c r="D757" s="242"/>
      <c r="E757" s="242"/>
      <c r="F757" s="242"/>
      <c r="G757" s="243"/>
      <c r="H757" s="242"/>
      <c r="I757" s="242"/>
      <c r="J757" s="242"/>
      <c r="K757" s="242"/>
    </row>
    <row r="758" ht="37.5" customHeight="1">
      <c r="A758" s="242"/>
      <c r="B758" s="243"/>
      <c r="C758" s="242"/>
      <c r="D758" s="242"/>
      <c r="E758" s="242"/>
      <c r="F758" s="242"/>
      <c r="G758" s="243"/>
      <c r="H758" s="242"/>
      <c r="I758" s="242"/>
      <c r="J758" s="242"/>
      <c r="K758" s="242"/>
    </row>
    <row r="759" ht="37.5" customHeight="1">
      <c r="A759" s="242"/>
      <c r="B759" s="243"/>
      <c r="C759" s="242"/>
      <c r="D759" s="242"/>
      <c r="E759" s="242"/>
      <c r="F759" s="242"/>
      <c r="G759" s="243"/>
      <c r="H759" s="242"/>
      <c r="I759" s="242"/>
      <c r="J759" s="242"/>
      <c r="K759" s="242"/>
    </row>
    <row r="760" ht="37.5" customHeight="1">
      <c r="A760" s="242"/>
      <c r="B760" s="243"/>
      <c r="C760" s="242"/>
      <c r="D760" s="242"/>
      <c r="E760" s="242"/>
      <c r="F760" s="242"/>
      <c r="G760" s="243"/>
      <c r="H760" s="242"/>
      <c r="I760" s="242"/>
      <c r="J760" s="242"/>
      <c r="K760" s="242"/>
    </row>
    <row r="761" ht="37.5" customHeight="1">
      <c r="A761" s="242"/>
      <c r="B761" s="243"/>
      <c r="C761" s="242"/>
      <c r="D761" s="242"/>
      <c r="E761" s="242"/>
      <c r="F761" s="242"/>
      <c r="G761" s="243"/>
      <c r="H761" s="242"/>
      <c r="I761" s="242"/>
      <c r="J761" s="242"/>
      <c r="K761" s="242"/>
    </row>
    <row r="762" ht="37.5" customHeight="1">
      <c r="A762" s="242"/>
      <c r="B762" s="243"/>
      <c r="C762" s="242"/>
      <c r="D762" s="242"/>
      <c r="E762" s="242"/>
      <c r="F762" s="242"/>
      <c r="G762" s="243"/>
      <c r="H762" s="242"/>
      <c r="I762" s="242"/>
      <c r="J762" s="242"/>
      <c r="K762" s="242"/>
    </row>
    <row r="763" ht="37.5" customHeight="1">
      <c r="A763" s="242"/>
      <c r="B763" s="243"/>
      <c r="C763" s="242"/>
      <c r="D763" s="242"/>
      <c r="E763" s="242"/>
      <c r="F763" s="242"/>
      <c r="G763" s="243"/>
      <c r="H763" s="242"/>
      <c r="I763" s="242"/>
      <c r="J763" s="242"/>
      <c r="K763" s="242"/>
    </row>
    <row r="764" ht="37.5" customHeight="1">
      <c r="A764" s="242"/>
      <c r="B764" s="243"/>
      <c r="C764" s="242"/>
      <c r="D764" s="242"/>
      <c r="E764" s="242"/>
      <c r="F764" s="242"/>
      <c r="G764" s="243"/>
      <c r="H764" s="242"/>
      <c r="I764" s="242"/>
      <c r="J764" s="242"/>
      <c r="K764" s="242"/>
    </row>
    <row r="765" ht="37.5" customHeight="1">
      <c r="A765" s="242"/>
      <c r="B765" s="243"/>
      <c r="C765" s="242"/>
      <c r="D765" s="242"/>
      <c r="E765" s="242"/>
      <c r="F765" s="242"/>
      <c r="G765" s="243"/>
      <c r="H765" s="242"/>
      <c r="I765" s="242"/>
      <c r="J765" s="242"/>
      <c r="K765" s="242"/>
    </row>
    <row r="766" ht="37.5" customHeight="1">
      <c r="A766" s="242"/>
      <c r="B766" s="243"/>
      <c r="C766" s="242"/>
      <c r="D766" s="242"/>
      <c r="E766" s="242"/>
      <c r="F766" s="242"/>
      <c r="G766" s="243"/>
      <c r="H766" s="242"/>
      <c r="I766" s="242"/>
      <c r="J766" s="242"/>
      <c r="K766" s="242"/>
    </row>
    <row r="767" ht="37.5" customHeight="1">
      <c r="A767" s="242"/>
      <c r="B767" s="243"/>
      <c r="C767" s="242"/>
      <c r="D767" s="242"/>
      <c r="E767" s="242"/>
      <c r="F767" s="242"/>
      <c r="G767" s="243"/>
      <c r="H767" s="242"/>
      <c r="I767" s="242"/>
      <c r="J767" s="242"/>
      <c r="K767" s="242"/>
    </row>
    <row r="768" ht="37.5" customHeight="1">
      <c r="A768" s="242"/>
      <c r="B768" s="243"/>
      <c r="C768" s="242"/>
      <c r="D768" s="242"/>
      <c r="E768" s="242"/>
      <c r="F768" s="242"/>
      <c r="G768" s="243"/>
      <c r="H768" s="242"/>
      <c r="I768" s="242"/>
      <c r="J768" s="242"/>
      <c r="K768" s="242"/>
    </row>
    <row r="769" ht="37.5" customHeight="1">
      <c r="A769" s="242"/>
      <c r="B769" s="243"/>
      <c r="C769" s="242"/>
      <c r="D769" s="242"/>
      <c r="E769" s="242"/>
      <c r="F769" s="242"/>
      <c r="G769" s="243"/>
      <c r="H769" s="242"/>
      <c r="I769" s="242"/>
      <c r="J769" s="242"/>
      <c r="K769" s="242"/>
    </row>
    <row r="770" ht="37.5" customHeight="1">
      <c r="A770" s="242"/>
      <c r="B770" s="243"/>
      <c r="C770" s="242"/>
      <c r="D770" s="242"/>
      <c r="E770" s="242"/>
      <c r="F770" s="242"/>
      <c r="G770" s="243"/>
      <c r="H770" s="242"/>
      <c r="I770" s="242"/>
      <c r="J770" s="242"/>
      <c r="K770" s="242"/>
    </row>
    <row r="771" ht="37.5" customHeight="1">
      <c r="A771" s="242"/>
      <c r="B771" s="243"/>
      <c r="C771" s="242"/>
      <c r="D771" s="242"/>
      <c r="E771" s="242"/>
      <c r="F771" s="242"/>
      <c r="G771" s="243"/>
      <c r="H771" s="242"/>
      <c r="I771" s="242"/>
      <c r="J771" s="242"/>
      <c r="K771" s="242"/>
    </row>
    <row r="772" ht="37.5" customHeight="1">
      <c r="A772" s="242"/>
      <c r="B772" s="243"/>
      <c r="C772" s="242"/>
      <c r="D772" s="242"/>
      <c r="E772" s="242"/>
      <c r="F772" s="242"/>
      <c r="G772" s="243"/>
      <c r="H772" s="242"/>
      <c r="I772" s="242"/>
      <c r="J772" s="242"/>
      <c r="K772" s="242"/>
    </row>
    <row r="773" ht="37.5" customHeight="1">
      <c r="A773" s="242"/>
      <c r="B773" s="243"/>
      <c r="C773" s="242"/>
      <c r="D773" s="242"/>
      <c r="E773" s="242"/>
      <c r="F773" s="242"/>
      <c r="G773" s="243"/>
      <c r="H773" s="242"/>
      <c r="I773" s="242"/>
      <c r="J773" s="242"/>
      <c r="K773" s="242"/>
    </row>
    <row r="774" ht="37.5" customHeight="1">
      <c r="A774" s="242"/>
      <c r="B774" s="243"/>
      <c r="C774" s="242"/>
      <c r="D774" s="242"/>
      <c r="E774" s="242"/>
      <c r="F774" s="242"/>
      <c r="G774" s="243"/>
      <c r="H774" s="242"/>
      <c r="I774" s="242"/>
      <c r="J774" s="242"/>
      <c r="K774" s="242"/>
    </row>
    <row r="775" ht="37.5" customHeight="1">
      <c r="A775" s="242"/>
      <c r="B775" s="243"/>
      <c r="C775" s="242"/>
      <c r="D775" s="242"/>
      <c r="E775" s="242"/>
      <c r="F775" s="242"/>
      <c r="G775" s="243"/>
      <c r="H775" s="242"/>
      <c r="I775" s="242"/>
      <c r="J775" s="242"/>
      <c r="K775" s="242"/>
    </row>
    <row r="776" ht="37.5" customHeight="1">
      <c r="A776" s="242"/>
      <c r="B776" s="243"/>
      <c r="C776" s="242"/>
      <c r="D776" s="242"/>
      <c r="E776" s="242"/>
      <c r="F776" s="242"/>
      <c r="G776" s="243"/>
      <c r="H776" s="242"/>
      <c r="I776" s="242"/>
      <c r="J776" s="242"/>
      <c r="K776" s="242"/>
    </row>
    <row r="777" ht="37.5" customHeight="1">
      <c r="A777" s="242"/>
      <c r="B777" s="243"/>
      <c r="C777" s="242"/>
      <c r="D777" s="242"/>
      <c r="E777" s="242"/>
      <c r="F777" s="242"/>
      <c r="G777" s="243"/>
      <c r="H777" s="242"/>
      <c r="I777" s="242"/>
      <c r="J777" s="242"/>
      <c r="K777" s="242"/>
    </row>
    <row r="778" ht="37.5" customHeight="1">
      <c r="A778" s="242"/>
      <c r="B778" s="243"/>
      <c r="C778" s="242"/>
      <c r="D778" s="242"/>
      <c r="E778" s="242"/>
      <c r="F778" s="242"/>
      <c r="G778" s="243"/>
      <c r="H778" s="242"/>
      <c r="I778" s="242"/>
      <c r="J778" s="242"/>
      <c r="K778" s="242"/>
    </row>
    <row r="779" ht="37.5" customHeight="1">
      <c r="A779" s="242"/>
      <c r="B779" s="243"/>
      <c r="C779" s="242"/>
      <c r="D779" s="242"/>
      <c r="E779" s="242"/>
      <c r="F779" s="242"/>
      <c r="G779" s="243"/>
      <c r="H779" s="242"/>
      <c r="I779" s="242"/>
      <c r="J779" s="242"/>
      <c r="K779" s="242"/>
    </row>
    <row r="780" ht="37.5" customHeight="1">
      <c r="A780" s="242"/>
      <c r="B780" s="243"/>
      <c r="C780" s="242"/>
      <c r="D780" s="242"/>
      <c r="E780" s="242"/>
      <c r="F780" s="242"/>
      <c r="G780" s="243"/>
      <c r="H780" s="242"/>
      <c r="I780" s="242"/>
      <c r="J780" s="242"/>
      <c r="K780" s="242"/>
    </row>
    <row r="781" ht="37.5" customHeight="1">
      <c r="A781" s="242"/>
      <c r="B781" s="243"/>
      <c r="C781" s="242"/>
      <c r="D781" s="242"/>
      <c r="E781" s="242"/>
      <c r="F781" s="242"/>
      <c r="G781" s="243"/>
      <c r="H781" s="242"/>
      <c r="I781" s="242"/>
      <c r="J781" s="242"/>
      <c r="K781" s="242"/>
    </row>
    <row r="782" ht="37.5" customHeight="1">
      <c r="A782" s="242"/>
      <c r="B782" s="243"/>
      <c r="C782" s="242"/>
      <c r="D782" s="242"/>
      <c r="E782" s="242"/>
      <c r="F782" s="242"/>
      <c r="G782" s="243"/>
      <c r="H782" s="242"/>
      <c r="I782" s="242"/>
      <c r="J782" s="242"/>
      <c r="K782" s="242"/>
    </row>
    <row r="783" ht="37.5" customHeight="1">
      <c r="A783" s="242"/>
      <c r="B783" s="243"/>
      <c r="C783" s="242"/>
      <c r="D783" s="242"/>
      <c r="E783" s="242"/>
      <c r="F783" s="242"/>
      <c r="G783" s="243"/>
      <c r="H783" s="242"/>
      <c r="I783" s="242"/>
      <c r="J783" s="242"/>
      <c r="K783" s="242"/>
    </row>
    <row r="784" ht="37.5" customHeight="1">
      <c r="A784" s="242"/>
      <c r="B784" s="243"/>
      <c r="C784" s="242"/>
      <c r="D784" s="242"/>
      <c r="E784" s="242"/>
      <c r="F784" s="242"/>
      <c r="G784" s="243"/>
      <c r="H784" s="242"/>
      <c r="I784" s="242"/>
      <c r="J784" s="242"/>
      <c r="K784" s="242"/>
    </row>
    <row r="785" ht="37.5" customHeight="1">
      <c r="A785" s="242"/>
      <c r="B785" s="243"/>
      <c r="C785" s="242"/>
      <c r="D785" s="242"/>
      <c r="E785" s="242"/>
      <c r="F785" s="242"/>
      <c r="G785" s="243"/>
      <c r="H785" s="242"/>
      <c r="I785" s="242"/>
      <c r="J785" s="242"/>
      <c r="K785" s="242"/>
    </row>
    <row r="786" ht="37.5" customHeight="1">
      <c r="A786" s="242"/>
      <c r="B786" s="243"/>
      <c r="C786" s="242"/>
      <c r="D786" s="242"/>
      <c r="E786" s="242"/>
      <c r="F786" s="242"/>
      <c r="G786" s="243"/>
      <c r="H786" s="242"/>
      <c r="I786" s="242"/>
      <c r="J786" s="242"/>
      <c r="K786" s="242"/>
    </row>
    <row r="787" ht="37.5" customHeight="1">
      <c r="A787" s="242"/>
      <c r="B787" s="243"/>
      <c r="C787" s="242"/>
      <c r="D787" s="242"/>
      <c r="E787" s="242"/>
      <c r="F787" s="242"/>
      <c r="G787" s="243"/>
      <c r="H787" s="242"/>
      <c r="I787" s="242"/>
      <c r="J787" s="242"/>
      <c r="K787" s="242"/>
    </row>
    <row r="788" ht="37.5" customHeight="1">
      <c r="A788" s="242"/>
      <c r="B788" s="243"/>
      <c r="C788" s="242"/>
      <c r="D788" s="242"/>
      <c r="E788" s="242"/>
      <c r="F788" s="242"/>
      <c r="G788" s="243"/>
      <c r="H788" s="242"/>
      <c r="I788" s="242"/>
      <c r="J788" s="242"/>
      <c r="K788" s="242"/>
    </row>
    <row r="789" ht="37.5" customHeight="1">
      <c r="A789" s="242"/>
      <c r="B789" s="243"/>
      <c r="C789" s="242"/>
      <c r="D789" s="242"/>
      <c r="E789" s="242"/>
      <c r="F789" s="242"/>
      <c r="G789" s="243"/>
      <c r="H789" s="242"/>
      <c r="I789" s="242"/>
      <c r="J789" s="242"/>
      <c r="K789" s="242"/>
    </row>
    <row r="790" ht="37.5" customHeight="1">
      <c r="A790" s="242"/>
      <c r="B790" s="243"/>
      <c r="C790" s="242"/>
      <c r="D790" s="242"/>
      <c r="E790" s="242"/>
      <c r="F790" s="242"/>
      <c r="G790" s="243"/>
      <c r="H790" s="242"/>
      <c r="I790" s="242"/>
      <c r="J790" s="242"/>
      <c r="K790" s="242"/>
    </row>
    <row r="791" ht="37.5" customHeight="1">
      <c r="A791" s="242"/>
      <c r="B791" s="243"/>
      <c r="C791" s="242"/>
      <c r="D791" s="242"/>
      <c r="E791" s="242"/>
      <c r="F791" s="242"/>
      <c r="G791" s="243"/>
      <c r="H791" s="242"/>
      <c r="I791" s="242"/>
      <c r="J791" s="242"/>
      <c r="K791" s="242"/>
    </row>
    <row r="792" ht="37.5" customHeight="1">
      <c r="A792" s="242"/>
      <c r="B792" s="243"/>
      <c r="C792" s="242"/>
      <c r="D792" s="242"/>
      <c r="E792" s="242"/>
      <c r="F792" s="242"/>
      <c r="G792" s="243"/>
      <c r="H792" s="242"/>
      <c r="I792" s="242"/>
      <c r="J792" s="242"/>
      <c r="K792" s="242"/>
    </row>
    <row r="793" ht="37.5" customHeight="1">
      <c r="A793" s="242"/>
      <c r="B793" s="243"/>
      <c r="C793" s="242"/>
      <c r="D793" s="242"/>
      <c r="E793" s="242"/>
      <c r="F793" s="242"/>
      <c r="G793" s="243"/>
      <c r="H793" s="242"/>
      <c r="I793" s="242"/>
      <c r="J793" s="242"/>
      <c r="K793" s="242"/>
    </row>
    <row r="794" ht="37.5" customHeight="1">
      <c r="A794" s="242"/>
      <c r="B794" s="243"/>
      <c r="C794" s="242"/>
      <c r="D794" s="242"/>
      <c r="E794" s="242"/>
      <c r="F794" s="242"/>
      <c r="G794" s="243"/>
      <c r="H794" s="242"/>
      <c r="I794" s="242"/>
      <c r="J794" s="242"/>
      <c r="K794" s="242"/>
    </row>
    <row r="795" ht="37.5" customHeight="1">
      <c r="A795" s="242"/>
      <c r="B795" s="243"/>
      <c r="C795" s="242"/>
      <c r="D795" s="242"/>
      <c r="E795" s="242"/>
      <c r="F795" s="242"/>
      <c r="G795" s="243"/>
      <c r="H795" s="242"/>
      <c r="I795" s="242"/>
      <c r="J795" s="242"/>
      <c r="K795" s="242"/>
    </row>
    <row r="796" ht="37.5" customHeight="1">
      <c r="A796" s="242"/>
      <c r="B796" s="243"/>
      <c r="C796" s="242"/>
      <c r="D796" s="242"/>
      <c r="E796" s="242"/>
      <c r="F796" s="242"/>
      <c r="G796" s="243"/>
      <c r="H796" s="242"/>
      <c r="I796" s="242"/>
      <c r="J796" s="242"/>
      <c r="K796" s="242"/>
    </row>
    <row r="797" ht="37.5" customHeight="1">
      <c r="A797" s="242"/>
      <c r="B797" s="243"/>
      <c r="C797" s="242"/>
      <c r="D797" s="242"/>
      <c r="E797" s="242"/>
      <c r="F797" s="242"/>
      <c r="G797" s="243"/>
      <c r="H797" s="242"/>
      <c r="I797" s="242"/>
      <c r="J797" s="242"/>
      <c r="K797" s="242"/>
    </row>
    <row r="798" ht="37.5" customHeight="1">
      <c r="A798" s="242"/>
      <c r="B798" s="243"/>
      <c r="C798" s="242"/>
      <c r="D798" s="242"/>
      <c r="E798" s="242"/>
      <c r="F798" s="242"/>
      <c r="G798" s="243"/>
      <c r="H798" s="242"/>
      <c r="I798" s="242"/>
      <c r="J798" s="242"/>
      <c r="K798" s="242"/>
    </row>
    <row r="799" ht="37.5" customHeight="1">
      <c r="A799" s="242"/>
      <c r="B799" s="243"/>
      <c r="C799" s="242"/>
      <c r="D799" s="242"/>
      <c r="E799" s="242"/>
      <c r="F799" s="242"/>
      <c r="G799" s="243"/>
      <c r="H799" s="242"/>
      <c r="I799" s="242"/>
      <c r="J799" s="242"/>
      <c r="K799" s="242"/>
    </row>
    <row r="800" ht="37.5" customHeight="1">
      <c r="A800" s="242"/>
      <c r="B800" s="243"/>
      <c r="C800" s="242"/>
      <c r="D800" s="242"/>
      <c r="E800" s="242"/>
      <c r="F800" s="242"/>
      <c r="G800" s="243"/>
      <c r="H800" s="242"/>
      <c r="I800" s="242"/>
      <c r="J800" s="242"/>
      <c r="K800" s="242"/>
    </row>
    <row r="801" ht="37.5" customHeight="1">
      <c r="A801" s="242"/>
      <c r="B801" s="243"/>
      <c r="C801" s="242"/>
      <c r="D801" s="242"/>
      <c r="E801" s="242"/>
      <c r="F801" s="242"/>
      <c r="G801" s="243"/>
      <c r="H801" s="242"/>
      <c r="I801" s="242"/>
      <c r="J801" s="242"/>
      <c r="K801" s="242"/>
    </row>
    <row r="802" ht="37.5" customHeight="1">
      <c r="A802" s="242"/>
      <c r="B802" s="243"/>
      <c r="C802" s="242"/>
      <c r="D802" s="242"/>
      <c r="E802" s="242"/>
      <c r="F802" s="242"/>
      <c r="G802" s="243"/>
      <c r="H802" s="242"/>
      <c r="I802" s="242"/>
      <c r="J802" s="242"/>
      <c r="K802" s="242"/>
    </row>
    <row r="803" ht="37.5" customHeight="1">
      <c r="A803" s="242"/>
      <c r="B803" s="243"/>
      <c r="C803" s="242"/>
      <c r="D803" s="242"/>
      <c r="E803" s="242"/>
      <c r="F803" s="242"/>
      <c r="G803" s="243"/>
      <c r="H803" s="242"/>
      <c r="I803" s="242"/>
      <c r="J803" s="242"/>
      <c r="K803" s="242"/>
    </row>
    <row r="804" ht="37.5" customHeight="1">
      <c r="A804" s="242"/>
      <c r="B804" s="243"/>
      <c r="C804" s="242"/>
      <c r="D804" s="242"/>
      <c r="E804" s="242"/>
      <c r="F804" s="242"/>
      <c r="G804" s="243"/>
      <c r="H804" s="242"/>
      <c r="I804" s="242"/>
      <c r="J804" s="242"/>
      <c r="K804" s="242"/>
    </row>
    <row r="805" ht="37.5" customHeight="1">
      <c r="A805" s="242"/>
      <c r="B805" s="243"/>
      <c r="C805" s="242"/>
      <c r="D805" s="242"/>
      <c r="E805" s="242"/>
      <c r="F805" s="242"/>
      <c r="G805" s="243"/>
      <c r="H805" s="242"/>
      <c r="I805" s="242"/>
      <c r="J805" s="242"/>
      <c r="K805" s="242"/>
    </row>
    <row r="806" ht="37.5" customHeight="1">
      <c r="A806" s="242"/>
      <c r="B806" s="243"/>
      <c r="C806" s="242"/>
      <c r="D806" s="242"/>
      <c r="E806" s="242"/>
      <c r="F806" s="242"/>
      <c r="G806" s="243"/>
      <c r="H806" s="242"/>
      <c r="I806" s="242"/>
      <c r="J806" s="242"/>
      <c r="K806" s="242"/>
    </row>
    <row r="807" ht="37.5" customHeight="1">
      <c r="A807" s="242"/>
      <c r="B807" s="243"/>
      <c r="C807" s="242"/>
      <c r="D807" s="242"/>
      <c r="E807" s="242"/>
      <c r="F807" s="242"/>
      <c r="G807" s="243"/>
      <c r="H807" s="242"/>
      <c r="I807" s="242"/>
      <c r="J807" s="242"/>
      <c r="K807" s="242"/>
    </row>
    <row r="808" ht="37.5" customHeight="1">
      <c r="A808" s="242"/>
      <c r="B808" s="243"/>
      <c r="C808" s="242"/>
      <c r="D808" s="242"/>
      <c r="E808" s="242"/>
      <c r="F808" s="242"/>
      <c r="G808" s="243"/>
      <c r="H808" s="242"/>
      <c r="I808" s="242"/>
      <c r="J808" s="242"/>
      <c r="K808" s="242"/>
    </row>
    <row r="809" ht="37.5" customHeight="1">
      <c r="A809" s="242"/>
      <c r="B809" s="243"/>
      <c r="C809" s="242"/>
      <c r="D809" s="242"/>
      <c r="E809" s="242"/>
      <c r="F809" s="242"/>
      <c r="G809" s="243"/>
      <c r="H809" s="242"/>
      <c r="I809" s="242"/>
      <c r="J809" s="242"/>
      <c r="K809" s="242"/>
    </row>
    <row r="810" ht="37.5" customHeight="1">
      <c r="A810" s="242"/>
      <c r="B810" s="243"/>
      <c r="C810" s="242"/>
      <c r="D810" s="242"/>
      <c r="E810" s="242"/>
      <c r="F810" s="242"/>
      <c r="G810" s="243"/>
      <c r="H810" s="242"/>
      <c r="I810" s="242"/>
      <c r="J810" s="242"/>
      <c r="K810" s="242"/>
    </row>
    <row r="811" ht="37.5" customHeight="1">
      <c r="A811" s="242"/>
      <c r="B811" s="243"/>
      <c r="C811" s="242"/>
      <c r="D811" s="242"/>
      <c r="E811" s="242"/>
      <c r="F811" s="242"/>
      <c r="G811" s="243"/>
      <c r="H811" s="242"/>
      <c r="I811" s="242"/>
      <c r="J811" s="242"/>
      <c r="K811" s="242"/>
    </row>
    <row r="812" ht="37.5" customHeight="1">
      <c r="A812" s="242"/>
      <c r="B812" s="243"/>
      <c r="C812" s="242"/>
      <c r="D812" s="242"/>
      <c r="E812" s="242"/>
      <c r="F812" s="242"/>
      <c r="G812" s="243"/>
      <c r="H812" s="242"/>
      <c r="I812" s="242"/>
      <c r="J812" s="242"/>
      <c r="K812" s="242"/>
    </row>
    <row r="813" ht="37.5" customHeight="1">
      <c r="A813" s="242"/>
      <c r="B813" s="243"/>
      <c r="C813" s="242"/>
      <c r="D813" s="242"/>
      <c r="E813" s="242"/>
      <c r="F813" s="242"/>
      <c r="G813" s="243"/>
      <c r="H813" s="242"/>
      <c r="I813" s="242"/>
      <c r="J813" s="242"/>
      <c r="K813" s="242"/>
    </row>
    <row r="814" ht="37.5" customHeight="1">
      <c r="A814" s="242"/>
      <c r="B814" s="243"/>
      <c r="C814" s="242"/>
      <c r="D814" s="242"/>
      <c r="E814" s="242"/>
      <c r="F814" s="242"/>
      <c r="G814" s="243"/>
      <c r="H814" s="242"/>
      <c r="I814" s="242"/>
      <c r="J814" s="242"/>
      <c r="K814" s="242"/>
    </row>
    <row r="815" ht="37.5" customHeight="1">
      <c r="A815" s="242"/>
      <c r="B815" s="243"/>
      <c r="C815" s="242"/>
      <c r="D815" s="242"/>
      <c r="E815" s="242"/>
      <c r="F815" s="242"/>
      <c r="G815" s="243"/>
      <c r="H815" s="242"/>
      <c r="I815" s="242"/>
      <c r="J815" s="242"/>
      <c r="K815" s="242"/>
    </row>
    <row r="816" ht="37.5" customHeight="1">
      <c r="A816" s="242"/>
      <c r="B816" s="243"/>
      <c r="C816" s="242"/>
      <c r="D816" s="242"/>
      <c r="E816" s="242"/>
      <c r="F816" s="242"/>
      <c r="G816" s="243"/>
      <c r="H816" s="242"/>
      <c r="I816" s="242"/>
      <c r="J816" s="242"/>
      <c r="K816" s="242"/>
    </row>
    <row r="817" ht="37.5" customHeight="1">
      <c r="A817" s="242"/>
      <c r="B817" s="243"/>
      <c r="C817" s="242"/>
      <c r="D817" s="242"/>
      <c r="E817" s="242"/>
      <c r="F817" s="242"/>
      <c r="G817" s="243"/>
      <c r="H817" s="242"/>
      <c r="I817" s="242"/>
      <c r="J817" s="242"/>
      <c r="K817" s="242"/>
    </row>
    <row r="818" ht="37.5" customHeight="1">
      <c r="A818" s="242"/>
      <c r="B818" s="243"/>
      <c r="C818" s="242"/>
      <c r="D818" s="242"/>
      <c r="E818" s="242"/>
      <c r="F818" s="242"/>
      <c r="G818" s="243"/>
      <c r="H818" s="242"/>
      <c r="I818" s="242"/>
      <c r="J818" s="242"/>
      <c r="K818" s="242"/>
    </row>
    <row r="819" ht="37.5" customHeight="1">
      <c r="A819" s="242"/>
      <c r="B819" s="243"/>
      <c r="C819" s="242"/>
      <c r="D819" s="242"/>
      <c r="E819" s="242"/>
      <c r="F819" s="242"/>
      <c r="G819" s="243"/>
      <c r="H819" s="242"/>
      <c r="I819" s="242"/>
      <c r="J819" s="242"/>
      <c r="K819" s="242"/>
    </row>
    <row r="820" ht="37.5" customHeight="1">
      <c r="A820" s="242"/>
      <c r="B820" s="243"/>
      <c r="C820" s="242"/>
      <c r="D820" s="242"/>
      <c r="E820" s="242"/>
      <c r="F820" s="242"/>
      <c r="G820" s="243"/>
      <c r="H820" s="242"/>
      <c r="I820" s="242"/>
      <c r="J820" s="242"/>
      <c r="K820" s="242"/>
    </row>
    <row r="821" ht="37.5" customHeight="1">
      <c r="A821" s="242"/>
      <c r="B821" s="243"/>
      <c r="C821" s="242"/>
      <c r="D821" s="242"/>
      <c r="E821" s="242"/>
      <c r="F821" s="242"/>
      <c r="G821" s="243"/>
      <c r="H821" s="242"/>
      <c r="I821" s="242"/>
      <c r="J821" s="242"/>
      <c r="K821" s="242"/>
    </row>
    <row r="822" ht="37.5" customHeight="1">
      <c r="A822" s="242"/>
      <c r="B822" s="243"/>
      <c r="C822" s="242"/>
      <c r="D822" s="242"/>
      <c r="E822" s="242"/>
      <c r="F822" s="242"/>
      <c r="G822" s="243"/>
      <c r="H822" s="242"/>
      <c r="I822" s="242"/>
      <c r="J822" s="242"/>
      <c r="K822" s="242"/>
    </row>
    <row r="823" ht="37.5" customHeight="1">
      <c r="A823" s="242"/>
      <c r="B823" s="243"/>
      <c r="C823" s="242"/>
      <c r="D823" s="242"/>
      <c r="E823" s="242"/>
      <c r="F823" s="242"/>
      <c r="G823" s="243"/>
      <c r="H823" s="242"/>
      <c r="I823" s="242"/>
      <c r="J823" s="242"/>
      <c r="K823" s="242"/>
    </row>
    <row r="824" ht="37.5" customHeight="1">
      <c r="A824" s="242"/>
      <c r="B824" s="243"/>
      <c r="C824" s="242"/>
      <c r="D824" s="242"/>
      <c r="E824" s="242"/>
      <c r="F824" s="242"/>
      <c r="G824" s="243"/>
      <c r="H824" s="242"/>
      <c r="I824" s="242"/>
      <c r="J824" s="242"/>
      <c r="K824" s="242"/>
    </row>
    <row r="825" ht="37.5" customHeight="1">
      <c r="A825" s="242"/>
      <c r="B825" s="243"/>
      <c r="C825" s="242"/>
      <c r="D825" s="242"/>
      <c r="E825" s="242"/>
      <c r="F825" s="242"/>
      <c r="G825" s="243"/>
      <c r="H825" s="242"/>
      <c r="I825" s="242"/>
      <c r="J825" s="242"/>
      <c r="K825" s="242"/>
    </row>
    <row r="826" ht="37.5" customHeight="1">
      <c r="A826" s="242"/>
      <c r="B826" s="243"/>
      <c r="C826" s="242"/>
      <c r="D826" s="242"/>
      <c r="E826" s="242"/>
      <c r="F826" s="242"/>
      <c r="G826" s="243"/>
      <c r="H826" s="242"/>
      <c r="I826" s="242"/>
      <c r="J826" s="242"/>
      <c r="K826" s="242"/>
    </row>
    <row r="827" ht="37.5" customHeight="1">
      <c r="A827" s="242"/>
      <c r="B827" s="243"/>
      <c r="C827" s="242"/>
      <c r="D827" s="242"/>
      <c r="E827" s="242"/>
      <c r="F827" s="242"/>
      <c r="G827" s="243"/>
      <c r="H827" s="242"/>
      <c r="I827" s="242"/>
      <c r="J827" s="242"/>
      <c r="K827" s="242"/>
    </row>
    <row r="828" ht="37.5" customHeight="1">
      <c r="A828" s="242"/>
      <c r="B828" s="243"/>
      <c r="C828" s="242"/>
      <c r="D828" s="242"/>
      <c r="E828" s="242"/>
      <c r="F828" s="242"/>
      <c r="G828" s="243"/>
      <c r="H828" s="242"/>
      <c r="I828" s="242"/>
      <c r="J828" s="242"/>
      <c r="K828" s="242"/>
    </row>
    <row r="829" ht="37.5" customHeight="1">
      <c r="A829" s="242"/>
      <c r="B829" s="243"/>
      <c r="C829" s="242"/>
      <c r="D829" s="242"/>
      <c r="E829" s="242"/>
      <c r="F829" s="242"/>
      <c r="G829" s="243"/>
      <c r="H829" s="242"/>
      <c r="I829" s="242"/>
      <c r="J829" s="242"/>
      <c r="K829" s="242"/>
    </row>
    <row r="830" ht="37.5" customHeight="1">
      <c r="A830" s="242"/>
      <c r="B830" s="243"/>
      <c r="C830" s="242"/>
      <c r="D830" s="242"/>
      <c r="E830" s="242"/>
      <c r="F830" s="242"/>
      <c r="G830" s="243"/>
      <c r="H830" s="242"/>
      <c r="I830" s="242"/>
      <c r="J830" s="242"/>
      <c r="K830" s="242"/>
    </row>
    <row r="831" ht="37.5" customHeight="1">
      <c r="A831" s="242"/>
      <c r="B831" s="243"/>
      <c r="C831" s="242"/>
      <c r="D831" s="242"/>
      <c r="E831" s="242"/>
      <c r="F831" s="242"/>
      <c r="G831" s="243"/>
      <c r="H831" s="242"/>
      <c r="I831" s="242"/>
      <c r="J831" s="242"/>
      <c r="K831" s="242"/>
    </row>
    <row r="832" ht="37.5" customHeight="1">
      <c r="A832" s="242"/>
      <c r="B832" s="243"/>
      <c r="C832" s="242"/>
      <c r="D832" s="242"/>
      <c r="E832" s="242"/>
      <c r="F832" s="242"/>
      <c r="G832" s="243"/>
      <c r="H832" s="242"/>
      <c r="I832" s="242"/>
      <c r="J832" s="242"/>
      <c r="K832" s="242"/>
    </row>
    <row r="833" ht="37.5" customHeight="1">
      <c r="A833" s="242"/>
      <c r="B833" s="243"/>
      <c r="C833" s="242"/>
      <c r="D833" s="242"/>
      <c r="E833" s="242"/>
      <c r="F833" s="242"/>
      <c r="G833" s="243"/>
      <c r="H833" s="242"/>
      <c r="I833" s="242"/>
      <c r="J833" s="242"/>
      <c r="K833" s="242"/>
    </row>
    <row r="834" ht="37.5" customHeight="1">
      <c r="A834" s="242"/>
      <c r="B834" s="243"/>
      <c r="C834" s="242"/>
      <c r="D834" s="242"/>
      <c r="E834" s="242"/>
      <c r="F834" s="242"/>
      <c r="G834" s="243"/>
      <c r="H834" s="242"/>
      <c r="I834" s="242"/>
      <c r="J834" s="242"/>
      <c r="K834" s="242"/>
    </row>
    <row r="835" ht="37.5" customHeight="1">
      <c r="A835" s="242"/>
      <c r="B835" s="243"/>
      <c r="C835" s="242"/>
      <c r="D835" s="242"/>
      <c r="E835" s="242"/>
      <c r="F835" s="242"/>
      <c r="G835" s="243"/>
      <c r="H835" s="242"/>
      <c r="I835" s="242"/>
      <c r="J835" s="242"/>
      <c r="K835" s="242"/>
    </row>
    <row r="836" ht="37.5" customHeight="1">
      <c r="A836" s="242"/>
      <c r="B836" s="243"/>
      <c r="C836" s="242"/>
      <c r="D836" s="242"/>
      <c r="E836" s="242"/>
      <c r="F836" s="242"/>
      <c r="G836" s="243"/>
      <c r="H836" s="242"/>
      <c r="I836" s="242"/>
      <c r="J836" s="242"/>
      <c r="K836" s="242"/>
    </row>
    <row r="837" ht="37.5" customHeight="1">
      <c r="A837" s="242"/>
      <c r="B837" s="243"/>
      <c r="C837" s="242"/>
      <c r="D837" s="242"/>
      <c r="E837" s="242"/>
      <c r="F837" s="242"/>
      <c r="G837" s="243"/>
      <c r="H837" s="242"/>
      <c r="I837" s="242"/>
      <c r="J837" s="242"/>
      <c r="K837" s="242"/>
    </row>
    <row r="838" ht="37.5" customHeight="1">
      <c r="A838" s="242"/>
      <c r="B838" s="243"/>
      <c r="C838" s="242"/>
      <c r="D838" s="242"/>
      <c r="E838" s="242"/>
      <c r="F838" s="242"/>
      <c r="G838" s="243"/>
      <c r="H838" s="242"/>
      <c r="I838" s="242"/>
      <c r="J838" s="242"/>
      <c r="K838" s="242"/>
    </row>
    <row r="839" ht="37.5" customHeight="1">
      <c r="A839" s="242"/>
      <c r="B839" s="243"/>
      <c r="C839" s="242"/>
      <c r="D839" s="242"/>
      <c r="E839" s="242"/>
      <c r="F839" s="242"/>
      <c r="G839" s="243"/>
      <c r="H839" s="242"/>
      <c r="I839" s="242"/>
      <c r="J839" s="242"/>
      <c r="K839" s="242"/>
    </row>
    <row r="840" ht="37.5" customHeight="1">
      <c r="A840" s="242"/>
      <c r="B840" s="243"/>
      <c r="C840" s="242"/>
      <c r="D840" s="242"/>
      <c r="E840" s="242"/>
      <c r="F840" s="242"/>
      <c r="G840" s="243"/>
      <c r="H840" s="242"/>
      <c r="I840" s="242"/>
      <c r="J840" s="242"/>
      <c r="K840" s="242"/>
    </row>
    <row r="841" ht="37.5" customHeight="1">
      <c r="A841" s="242"/>
      <c r="B841" s="243"/>
      <c r="C841" s="242"/>
      <c r="D841" s="242"/>
      <c r="E841" s="242"/>
      <c r="F841" s="242"/>
      <c r="G841" s="243"/>
      <c r="H841" s="242"/>
      <c r="I841" s="242"/>
      <c r="J841" s="242"/>
      <c r="K841" s="242"/>
    </row>
    <row r="842" ht="37.5" customHeight="1">
      <c r="A842" s="242"/>
      <c r="B842" s="243"/>
      <c r="C842" s="242"/>
      <c r="D842" s="242"/>
      <c r="E842" s="242"/>
      <c r="F842" s="242"/>
      <c r="G842" s="243"/>
      <c r="H842" s="242"/>
      <c r="I842" s="242"/>
      <c r="J842" s="242"/>
      <c r="K842" s="242"/>
    </row>
    <row r="843" ht="37.5" customHeight="1">
      <c r="A843" s="242"/>
      <c r="B843" s="243"/>
      <c r="C843" s="242"/>
      <c r="D843" s="242"/>
      <c r="E843" s="242"/>
      <c r="F843" s="242"/>
      <c r="G843" s="243"/>
      <c r="H843" s="242"/>
      <c r="I843" s="242"/>
      <c r="J843" s="242"/>
      <c r="K843" s="242"/>
    </row>
    <row r="844" ht="37.5" customHeight="1">
      <c r="A844" s="242"/>
      <c r="B844" s="243"/>
      <c r="C844" s="242"/>
      <c r="D844" s="242"/>
      <c r="E844" s="242"/>
      <c r="F844" s="242"/>
      <c r="G844" s="243"/>
      <c r="H844" s="242"/>
      <c r="I844" s="242"/>
      <c r="J844" s="242"/>
      <c r="K844" s="242"/>
    </row>
    <row r="845" ht="37.5" customHeight="1">
      <c r="A845" s="242"/>
      <c r="B845" s="243"/>
      <c r="C845" s="242"/>
      <c r="D845" s="242"/>
      <c r="E845" s="242"/>
      <c r="F845" s="242"/>
      <c r="G845" s="243"/>
      <c r="H845" s="242"/>
      <c r="I845" s="242"/>
      <c r="J845" s="242"/>
      <c r="K845" s="242"/>
    </row>
    <row r="846" ht="37.5" customHeight="1">
      <c r="A846" s="242"/>
      <c r="B846" s="243"/>
      <c r="C846" s="242"/>
      <c r="D846" s="242"/>
      <c r="E846" s="242"/>
      <c r="F846" s="242"/>
      <c r="G846" s="243"/>
      <c r="H846" s="242"/>
      <c r="I846" s="242"/>
      <c r="J846" s="242"/>
      <c r="K846" s="242"/>
    </row>
    <row r="847" ht="37.5" customHeight="1">
      <c r="A847" s="242"/>
      <c r="B847" s="243"/>
      <c r="C847" s="242"/>
      <c r="D847" s="242"/>
      <c r="E847" s="242"/>
      <c r="F847" s="242"/>
      <c r="G847" s="243"/>
      <c r="H847" s="242"/>
      <c r="I847" s="242"/>
      <c r="J847" s="242"/>
      <c r="K847" s="242"/>
    </row>
    <row r="848" ht="37.5" customHeight="1">
      <c r="A848" s="242"/>
      <c r="B848" s="243"/>
      <c r="C848" s="242"/>
      <c r="D848" s="242"/>
      <c r="E848" s="242"/>
      <c r="F848" s="242"/>
      <c r="G848" s="243"/>
      <c r="H848" s="242"/>
      <c r="I848" s="242"/>
      <c r="J848" s="242"/>
      <c r="K848" s="242"/>
    </row>
    <row r="849" ht="37.5" customHeight="1">
      <c r="A849" s="242"/>
      <c r="B849" s="243"/>
      <c r="C849" s="242"/>
      <c r="D849" s="242"/>
      <c r="E849" s="242"/>
      <c r="F849" s="242"/>
      <c r="G849" s="243"/>
      <c r="H849" s="242"/>
      <c r="I849" s="242"/>
      <c r="J849" s="242"/>
      <c r="K849" s="242"/>
    </row>
    <row r="850" ht="37.5" customHeight="1">
      <c r="A850" s="242"/>
      <c r="B850" s="243"/>
      <c r="C850" s="242"/>
      <c r="D850" s="242"/>
      <c r="E850" s="242"/>
      <c r="F850" s="242"/>
      <c r="G850" s="243"/>
      <c r="H850" s="242"/>
      <c r="I850" s="242"/>
      <c r="J850" s="242"/>
      <c r="K850" s="242"/>
    </row>
    <row r="851" ht="37.5" customHeight="1">
      <c r="A851" s="242"/>
      <c r="B851" s="243"/>
      <c r="C851" s="242"/>
      <c r="D851" s="242"/>
      <c r="E851" s="242"/>
      <c r="F851" s="242"/>
      <c r="G851" s="243"/>
      <c r="H851" s="242"/>
      <c r="I851" s="242"/>
      <c r="J851" s="242"/>
      <c r="K851" s="242"/>
    </row>
    <row r="852" ht="37.5" customHeight="1">
      <c r="A852" s="242"/>
      <c r="B852" s="243"/>
      <c r="C852" s="242"/>
      <c r="D852" s="242"/>
      <c r="E852" s="242"/>
      <c r="F852" s="242"/>
      <c r="G852" s="243"/>
      <c r="H852" s="242"/>
      <c r="I852" s="242"/>
      <c r="J852" s="242"/>
      <c r="K852" s="242"/>
    </row>
    <row r="853" ht="37.5" customHeight="1">
      <c r="A853" s="242"/>
      <c r="B853" s="243"/>
      <c r="C853" s="242"/>
      <c r="D853" s="242"/>
      <c r="E853" s="242"/>
      <c r="F853" s="242"/>
      <c r="G853" s="243"/>
      <c r="H853" s="242"/>
      <c r="I853" s="242"/>
      <c r="J853" s="242"/>
      <c r="K853" s="242"/>
    </row>
    <row r="854" ht="37.5" customHeight="1">
      <c r="A854" s="242"/>
      <c r="B854" s="243"/>
      <c r="C854" s="242"/>
      <c r="D854" s="242"/>
      <c r="E854" s="242"/>
      <c r="F854" s="242"/>
      <c r="G854" s="243"/>
      <c r="H854" s="242"/>
      <c r="I854" s="242"/>
      <c r="J854" s="242"/>
      <c r="K854" s="242"/>
    </row>
    <row r="855" ht="37.5" customHeight="1">
      <c r="A855" s="242"/>
      <c r="B855" s="243"/>
      <c r="C855" s="242"/>
      <c r="D855" s="242"/>
      <c r="E855" s="242"/>
      <c r="F855" s="242"/>
      <c r="G855" s="243"/>
      <c r="H855" s="242"/>
      <c r="I855" s="242"/>
      <c r="J855" s="242"/>
      <c r="K855" s="242"/>
    </row>
    <row r="856" ht="37.5" customHeight="1">
      <c r="A856" s="242"/>
      <c r="B856" s="243"/>
      <c r="C856" s="242"/>
      <c r="D856" s="242"/>
      <c r="E856" s="242"/>
      <c r="F856" s="242"/>
      <c r="G856" s="243"/>
      <c r="H856" s="242"/>
      <c r="I856" s="242"/>
      <c r="J856" s="242"/>
      <c r="K856" s="242"/>
    </row>
    <row r="857" ht="37.5" customHeight="1">
      <c r="A857" s="242"/>
      <c r="B857" s="243"/>
      <c r="C857" s="242"/>
      <c r="D857" s="242"/>
      <c r="E857" s="242"/>
      <c r="F857" s="242"/>
      <c r="G857" s="243"/>
      <c r="H857" s="242"/>
      <c r="I857" s="242"/>
      <c r="J857" s="242"/>
      <c r="K857" s="242"/>
    </row>
    <row r="858" ht="37.5" customHeight="1">
      <c r="A858" s="242"/>
      <c r="B858" s="243"/>
      <c r="C858" s="242"/>
      <c r="D858" s="242"/>
      <c r="E858" s="242"/>
      <c r="F858" s="242"/>
      <c r="G858" s="243"/>
      <c r="H858" s="242"/>
      <c r="I858" s="242"/>
      <c r="J858" s="242"/>
      <c r="K858" s="242"/>
    </row>
    <row r="859" ht="37.5" customHeight="1">
      <c r="A859" s="242"/>
      <c r="B859" s="243"/>
      <c r="C859" s="242"/>
      <c r="D859" s="242"/>
      <c r="E859" s="242"/>
      <c r="F859" s="242"/>
      <c r="G859" s="243"/>
      <c r="H859" s="242"/>
      <c r="I859" s="242"/>
      <c r="J859" s="242"/>
      <c r="K859" s="242"/>
    </row>
    <row r="860" ht="37.5" customHeight="1">
      <c r="A860" s="242"/>
      <c r="B860" s="243"/>
      <c r="C860" s="242"/>
      <c r="D860" s="242"/>
      <c r="E860" s="242"/>
      <c r="F860" s="242"/>
      <c r="G860" s="243"/>
      <c r="H860" s="242"/>
      <c r="I860" s="242"/>
      <c r="J860" s="242"/>
      <c r="K860" s="242"/>
    </row>
    <row r="861" ht="37.5" customHeight="1">
      <c r="A861" s="242"/>
      <c r="B861" s="243"/>
      <c r="C861" s="242"/>
      <c r="D861" s="242"/>
      <c r="E861" s="242"/>
      <c r="F861" s="242"/>
      <c r="G861" s="243"/>
      <c r="H861" s="242"/>
      <c r="I861" s="242"/>
      <c r="J861" s="242"/>
      <c r="K861" s="242"/>
    </row>
    <row r="862" ht="37.5" customHeight="1">
      <c r="A862" s="242"/>
      <c r="B862" s="243"/>
      <c r="C862" s="242"/>
      <c r="D862" s="242"/>
      <c r="E862" s="242"/>
      <c r="F862" s="242"/>
      <c r="G862" s="243"/>
      <c r="H862" s="242"/>
      <c r="I862" s="242"/>
      <c r="J862" s="242"/>
      <c r="K862" s="242"/>
    </row>
    <row r="863" ht="37.5" customHeight="1">
      <c r="A863" s="242"/>
      <c r="B863" s="243"/>
      <c r="C863" s="242"/>
      <c r="D863" s="242"/>
      <c r="E863" s="242"/>
      <c r="F863" s="242"/>
      <c r="G863" s="243"/>
      <c r="H863" s="242"/>
      <c r="I863" s="242"/>
      <c r="J863" s="242"/>
      <c r="K863" s="242"/>
    </row>
    <row r="864" ht="37.5" customHeight="1">
      <c r="A864" s="242"/>
      <c r="B864" s="243"/>
      <c r="C864" s="242"/>
      <c r="D864" s="242"/>
      <c r="E864" s="242"/>
      <c r="F864" s="242"/>
      <c r="G864" s="243"/>
      <c r="H864" s="242"/>
      <c r="I864" s="242"/>
      <c r="J864" s="242"/>
      <c r="K864" s="242"/>
    </row>
    <row r="865" ht="37.5" customHeight="1">
      <c r="A865" s="242"/>
      <c r="B865" s="243"/>
      <c r="C865" s="242"/>
      <c r="D865" s="242"/>
      <c r="E865" s="242"/>
      <c r="F865" s="242"/>
      <c r="G865" s="243"/>
      <c r="H865" s="242"/>
      <c r="I865" s="242"/>
      <c r="J865" s="242"/>
      <c r="K865" s="242"/>
    </row>
    <row r="866" ht="37.5" customHeight="1">
      <c r="A866" s="242"/>
      <c r="B866" s="243"/>
      <c r="C866" s="242"/>
      <c r="D866" s="242"/>
      <c r="E866" s="242"/>
      <c r="F866" s="242"/>
      <c r="G866" s="243"/>
      <c r="H866" s="242"/>
      <c r="I866" s="242"/>
      <c r="J866" s="242"/>
      <c r="K866" s="242"/>
    </row>
    <row r="867" ht="37.5" customHeight="1">
      <c r="A867" s="242"/>
      <c r="B867" s="243"/>
      <c r="C867" s="242"/>
      <c r="D867" s="242"/>
      <c r="E867" s="242"/>
      <c r="F867" s="242"/>
      <c r="G867" s="243"/>
      <c r="H867" s="242"/>
      <c r="I867" s="242"/>
      <c r="J867" s="242"/>
      <c r="K867" s="242"/>
    </row>
    <row r="868" ht="37.5" customHeight="1">
      <c r="A868" s="242"/>
      <c r="B868" s="243"/>
      <c r="C868" s="242"/>
      <c r="D868" s="242"/>
      <c r="E868" s="242"/>
      <c r="F868" s="242"/>
      <c r="G868" s="243"/>
      <c r="H868" s="242"/>
      <c r="I868" s="242"/>
      <c r="J868" s="242"/>
      <c r="K868" s="242"/>
    </row>
    <row r="869" ht="37.5" customHeight="1">
      <c r="A869" s="242"/>
      <c r="B869" s="243"/>
      <c r="C869" s="242"/>
      <c r="D869" s="242"/>
      <c r="E869" s="242"/>
      <c r="F869" s="242"/>
      <c r="G869" s="243"/>
      <c r="H869" s="242"/>
      <c r="I869" s="242"/>
      <c r="J869" s="242"/>
      <c r="K869" s="242"/>
    </row>
    <row r="870" ht="37.5" customHeight="1">
      <c r="A870" s="242"/>
      <c r="B870" s="243"/>
      <c r="C870" s="242"/>
      <c r="D870" s="242"/>
      <c r="E870" s="242"/>
      <c r="F870" s="242"/>
      <c r="G870" s="243"/>
      <c r="H870" s="242"/>
      <c r="I870" s="242"/>
      <c r="J870" s="242"/>
      <c r="K870" s="242"/>
    </row>
    <row r="871" ht="37.5" customHeight="1">
      <c r="A871" s="242"/>
      <c r="B871" s="243"/>
      <c r="C871" s="242"/>
      <c r="D871" s="242"/>
      <c r="E871" s="242"/>
      <c r="F871" s="242"/>
      <c r="G871" s="243"/>
      <c r="H871" s="242"/>
      <c r="I871" s="242"/>
      <c r="J871" s="242"/>
      <c r="K871" s="242"/>
    </row>
    <row r="872" ht="37.5" customHeight="1">
      <c r="A872" s="242"/>
      <c r="B872" s="243"/>
      <c r="C872" s="242"/>
      <c r="D872" s="242"/>
      <c r="E872" s="242"/>
      <c r="F872" s="242"/>
      <c r="G872" s="243"/>
      <c r="H872" s="242"/>
      <c r="I872" s="242"/>
      <c r="J872" s="242"/>
      <c r="K872" s="242"/>
    </row>
    <row r="873" ht="37.5" customHeight="1">
      <c r="A873" s="242"/>
      <c r="B873" s="243"/>
      <c r="C873" s="242"/>
      <c r="D873" s="242"/>
      <c r="E873" s="242"/>
      <c r="F873" s="242"/>
      <c r="G873" s="243"/>
      <c r="H873" s="242"/>
      <c r="I873" s="242"/>
      <c r="J873" s="242"/>
      <c r="K873" s="242"/>
    </row>
    <row r="874" ht="37.5" customHeight="1">
      <c r="A874" s="242"/>
      <c r="B874" s="243"/>
      <c r="C874" s="242"/>
      <c r="D874" s="242"/>
      <c r="E874" s="242"/>
      <c r="F874" s="242"/>
      <c r="G874" s="243"/>
      <c r="H874" s="242"/>
      <c r="I874" s="242"/>
      <c r="J874" s="242"/>
      <c r="K874" s="242"/>
    </row>
    <row r="875" ht="37.5" customHeight="1">
      <c r="A875" s="242"/>
      <c r="B875" s="243"/>
      <c r="C875" s="242"/>
      <c r="D875" s="242"/>
      <c r="E875" s="242"/>
      <c r="F875" s="242"/>
      <c r="G875" s="243"/>
      <c r="H875" s="242"/>
      <c r="I875" s="242"/>
      <c r="J875" s="242"/>
      <c r="K875" s="242"/>
    </row>
    <row r="876" ht="37.5" customHeight="1">
      <c r="A876" s="242"/>
      <c r="B876" s="243"/>
      <c r="C876" s="242"/>
      <c r="D876" s="242"/>
      <c r="E876" s="242"/>
      <c r="F876" s="242"/>
      <c r="G876" s="243"/>
      <c r="H876" s="242"/>
      <c r="I876" s="242"/>
      <c r="J876" s="242"/>
      <c r="K876" s="242"/>
    </row>
    <row r="877" ht="37.5" customHeight="1">
      <c r="A877" s="242"/>
      <c r="B877" s="243"/>
      <c r="C877" s="242"/>
      <c r="D877" s="242"/>
      <c r="E877" s="242"/>
      <c r="F877" s="242"/>
      <c r="G877" s="243"/>
      <c r="H877" s="242"/>
      <c r="I877" s="242"/>
      <c r="J877" s="242"/>
      <c r="K877" s="242"/>
    </row>
    <row r="878" ht="37.5" customHeight="1">
      <c r="A878" s="242"/>
      <c r="B878" s="243"/>
      <c r="C878" s="242"/>
      <c r="D878" s="242"/>
      <c r="E878" s="242"/>
      <c r="F878" s="242"/>
      <c r="G878" s="243"/>
      <c r="H878" s="242"/>
      <c r="I878" s="242"/>
      <c r="J878" s="242"/>
      <c r="K878" s="242"/>
    </row>
    <row r="879" ht="37.5" customHeight="1">
      <c r="A879" s="242"/>
      <c r="B879" s="243"/>
      <c r="C879" s="242"/>
      <c r="D879" s="242"/>
      <c r="E879" s="242"/>
      <c r="F879" s="242"/>
      <c r="G879" s="243"/>
      <c r="H879" s="242"/>
      <c r="I879" s="242"/>
      <c r="J879" s="242"/>
      <c r="K879" s="242"/>
    </row>
    <row r="880" ht="37.5" customHeight="1">
      <c r="A880" s="242"/>
      <c r="B880" s="243"/>
      <c r="C880" s="242"/>
      <c r="D880" s="242"/>
      <c r="E880" s="242"/>
      <c r="F880" s="242"/>
      <c r="G880" s="243"/>
      <c r="H880" s="242"/>
      <c r="I880" s="242"/>
      <c r="J880" s="242"/>
      <c r="K880" s="242"/>
    </row>
    <row r="881" ht="37.5" customHeight="1">
      <c r="A881" s="242"/>
      <c r="B881" s="243"/>
      <c r="C881" s="242"/>
      <c r="D881" s="242"/>
      <c r="E881" s="242"/>
      <c r="F881" s="242"/>
      <c r="G881" s="243"/>
      <c r="H881" s="242"/>
      <c r="I881" s="242"/>
      <c r="J881" s="242"/>
      <c r="K881" s="242"/>
    </row>
    <row r="882" ht="37.5" customHeight="1">
      <c r="A882" s="242"/>
      <c r="B882" s="243"/>
      <c r="C882" s="242"/>
      <c r="D882" s="242"/>
      <c r="E882" s="242"/>
      <c r="F882" s="242"/>
      <c r="G882" s="243"/>
      <c r="H882" s="242"/>
      <c r="I882" s="242"/>
      <c r="J882" s="242"/>
      <c r="K882" s="242"/>
    </row>
    <row r="883" ht="37.5" customHeight="1">
      <c r="A883" s="242"/>
      <c r="B883" s="243"/>
      <c r="C883" s="242"/>
      <c r="D883" s="242"/>
      <c r="E883" s="242"/>
      <c r="F883" s="242"/>
      <c r="G883" s="243"/>
      <c r="H883" s="242"/>
      <c r="I883" s="242"/>
      <c r="J883" s="242"/>
      <c r="K883" s="242"/>
    </row>
    <row r="884" ht="37.5" customHeight="1">
      <c r="A884" s="242"/>
      <c r="B884" s="243"/>
      <c r="C884" s="242"/>
      <c r="D884" s="242"/>
      <c r="E884" s="242"/>
      <c r="F884" s="242"/>
      <c r="G884" s="243"/>
      <c r="H884" s="242"/>
      <c r="I884" s="242"/>
      <c r="J884" s="242"/>
      <c r="K884" s="242"/>
    </row>
    <row r="885" ht="37.5" customHeight="1">
      <c r="A885" s="242"/>
      <c r="B885" s="243"/>
      <c r="C885" s="242"/>
      <c r="D885" s="242"/>
      <c r="E885" s="242"/>
      <c r="F885" s="242"/>
      <c r="G885" s="243"/>
      <c r="H885" s="242"/>
      <c r="I885" s="242"/>
      <c r="J885" s="242"/>
      <c r="K885" s="242"/>
    </row>
    <row r="886" ht="37.5" customHeight="1">
      <c r="A886" s="242"/>
      <c r="B886" s="243"/>
      <c r="C886" s="242"/>
      <c r="D886" s="242"/>
      <c r="E886" s="242"/>
      <c r="F886" s="242"/>
      <c r="G886" s="243"/>
      <c r="H886" s="242"/>
      <c r="I886" s="242"/>
      <c r="J886" s="242"/>
      <c r="K886" s="242"/>
    </row>
    <row r="887" ht="37.5" customHeight="1">
      <c r="A887" s="242"/>
      <c r="B887" s="243"/>
      <c r="C887" s="242"/>
      <c r="D887" s="242"/>
      <c r="E887" s="242"/>
      <c r="F887" s="242"/>
      <c r="G887" s="243"/>
      <c r="H887" s="242"/>
      <c r="I887" s="242"/>
      <c r="J887" s="242"/>
      <c r="K887" s="242"/>
    </row>
    <row r="888" ht="37.5" customHeight="1">
      <c r="A888" s="242"/>
      <c r="B888" s="243"/>
      <c r="C888" s="242"/>
      <c r="D888" s="242"/>
      <c r="E888" s="242"/>
      <c r="F888" s="242"/>
      <c r="G888" s="243"/>
      <c r="H888" s="242"/>
      <c r="I888" s="242"/>
      <c r="J888" s="242"/>
      <c r="K888" s="242"/>
    </row>
    <row r="889" ht="37.5" customHeight="1">
      <c r="A889" s="242"/>
      <c r="B889" s="243"/>
      <c r="C889" s="242"/>
      <c r="D889" s="242"/>
      <c r="E889" s="242"/>
      <c r="F889" s="242"/>
      <c r="G889" s="243"/>
      <c r="H889" s="242"/>
      <c r="I889" s="242"/>
      <c r="J889" s="242"/>
      <c r="K889" s="242"/>
    </row>
    <row r="890" ht="37.5" customHeight="1">
      <c r="A890" s="242"/>
      <c r="B890" s="243"/>
      <c r="C890" s="242"/>
      <c r="D890" s="242"/>
      <c r="E890" s="242"/>
      <c r="F890" s="242"/>
      <c r="G890" s="243"/>
      <c r="H890" s="242"/>
      <c r="I890" s="242"/>
      <c r="J890" s="242"/>
      <c r="K890" s="242"/>
    </row>
    <row r="891" ht="37.5" customHeight="1">
      <c r="A891" s="242"/>
      <c r="B891" s="243"/>
      <c r="C891" s="242"/>
      <c r="D891" s="242"/>
      <c r="E891" s="242"/>
      <c r="F891" s="242"/>
      <c r="G891" s="243"/>
      <c r="H891" s="242"/>
      <c r="I891" s="242"/>
      <c r="J891" s="242"/>
      <c r="K891" s="242"/>
    </row>
    <row r="892" ht="37.5" customHeight="1">
      <c r="A892" s="242"/>
      <c r="B892" s="243"/>
      <c r="C892" s="242"/>
      <c r="D892" s="242"/>
      <c r="E892" s="242"/>
      <c r="F892" s="242"/>
      <c r="G892" s="243"/>
      <c r="H892" s="242"/>
      <c r="I892" s="242"/>
      <c r="J892" s="242"/>
      <c r="K892" s="242"/>
    </row>
    <row r="893" ht="37.5" customHeight="1">
      <c r="A893" s="242"/>
      <c r="B893" s="243"/>
      <c r="C893" s="242"/>
      <c r="D893" s="242"/>
      <c r="E893" s="242"/>
      <c r="F893" s="242"/>
      <c r="G893" s="243"/>
      <c r="H893" s="242"/>
      <c r="I893" s="242"/>
      <c r="J893" s="242"/>
      <c r="K893" s="242"/>
    </row>
    <row r="894" ht="37.5" customHeight="1">
      <c r="A894" s="242"/>
      <c r="B894" s="243"/>
      <c r="C894" s="242"/>
      <c r="D894" s="242"/>
      <c r="E894" s="242"/>
      <c r="F894" s="242"/>
      <c r="G894" s="243"/>
      <c r="H894" s="242"/>
      <c r="I894" s="242"/>
      <c r="J894" s="242"/>
      <c r="K894" s="242"/>
    </row>
    <row r="895" ht="37.5" customHeight="1">
      <c r="A895" s="242"/>
      <c r="B895" s="243"/>
      <c r="C895" s="242"/>
      <c r="D895" s="242"/>
      <c r="E895" s="242"/>
      <c r="F895" s="242"/>
      <c r="G895" s="243"/>
      <c r="H895" s="242"/>
      <c r="I895" s="242"/>
      <c r="J895" s="242"/>
      <c r="K895" s="242"/>
    </row>
    <row r="896" ht="37.5" customHeight="1">
      <c r="A896" s="242"/>
      <c r="B896" s="243"/>
      <c r="C896" s="242"/>
      <c r="D896" s="242"/>
      <c r="E896" s="242"/>
      <c r="F896" s="242"/>
      <c r="G896" s="243"/>
      <c r="H896" s="242"/>
      <c r="I896" s="242"/>
      <c r="J896" s="242"/>
      <c r="K896" s="242"/>
    </row>
    <row r="897" ht="37.5" customHeight="1">
      <c r="A897" s="242"/>
      <c r="B897" s="243"/>
      <c r="C897" s="242"/>
      <c r="D897" s="242"/>
      <c r="E897" s="242"/>
      <c r="F897" s="242"/>
      <c r="G897" s="243"/>
      <c r="H897" s="242"/>
      <c r="I897" s="242"/>
      <c r="J897" s="242"/>
      <c r="K897" s="242"/>
    </row>
    <row r="898" ht="37.5" customHeight="1">
      <c r="A898" s="242"/>
      <c r="B898" s="243"/>
      <c r="C898" s="242"/>
      <c r="D898" s="242"/>
      <c r="E898" s="242"/>
      <c r="F898" s="242"/>
      <c r="G898" s="243"/>
      <c r="H898" s="242"/>
      <c r="I898" s="242"/>
      <c r="J898" s="242"/>
      <c r="K898" s="242"/>
    </row>
    <row r="899" ht="37.5" customHeight="1">
      <c r="A899" s="242"/>
      <c r="B899" s="243"/>
      <c r="C899" s="242"/>
      <c r="D899" s="242"/>
      <c r="E899" s="242"/>
      <c r="F899" s="242"/>
      <c r="G899" s="243"/>
      <c r="H899" s="242"/>
      <c r="I899" s="242"/>
      <c r="J899" s="242"/>
      <c r="K899" s="242"/>
    </row>
    <row r="900" ht="37.5" customHeight="1">
      <c r="A900" s="242"/>
      <c r="B900" s="243"/>
      <c r="C900" s="242"/>
      <c r="D900" s="242"/>
      <c r="E900" s="242"/>
      <c r="F900" s="242"/>
      <c r="G900" s="243"/>
      <c r="H900" s="242"/>
      <c r="I900" s="242"/>
      <c r="J900" s="242"/>
      <c r="K900" s="242"/>
    </row>
    <row r="901" ht="37.5" customHeight="1">
      <c r="A901" s="242"/>
      <c r="B901" s="243"/>
      <c r="C901" s="242"/>
      <c r="D901" s="242"/>
      <c r="E901" s="242"/>
      <c r="F901" s="242"/>
      <c r="G901" s="243"/>
      <c r="H901" s="242"/>
      <c r="I901" s="242"/>
      <c r="J901" s="242"/>
      <c r="K901" s="242"/>
    </row>
    <row r="902" ht="37.5" customHeight="1">
      <c r="A902" s="242"/>
      <c r="B902" s="243"/>
      <c r="C902" s="242"/>
      <c r="D902" s="242"/>
      <c r="E902" s="242"/>
      <c r="F902" s="242"/>
      <c r="G902" s="243"/>
      <c r="H902" s="242"/>
      <c r="I902" s="242"/>
      <c r="J902" s="242"/>
      <c r="K902" s="242"/>
    </row>
    <row r="903" ht="37.5" customHeight="1">
      <c r="A903" s="242"/>
      <c r="B903" s="243"/>
      <c r="C903" s="242"/>
      <c r="D903" s="242"/>
      <c r="E903" s="242"/>
      <c r="F903" s="242"/>
      <c r="G903" s="243"/>
      <c r="H903" s="242"/>
      <c r="I903" s="242"/>
      <c r="J903" s="242"/>
      <c r="K903" s="242"/>
    </row>
    <row r="904" ht="37.5" customHeight="1">
      <c r="A904" s="242"/>
      <c r="B904" s="243"/>
      <c r="C904" s="242"/>
      <c r="D904" s="242"/>
      <c r="E904" s="242"/>
      <c r="F904" s="242"/>
      <c r="G904" s="243"/>
      <c r="H904" s="242"/>
      <c r="I904" s="242"/>
      <c r="J904" s="242"/>
      <c r="K904" s="242"/>
    </row>
    <row r="905" ht="37.5" customHeight="1">
      <c r="A905" s="242"/>
      <c r="B905" s="243"/>
      <c r="C905" s="242"/>
      <c r="D905" s="242"/>
      <c r="E905" s="242"/>
      <c r="F905" s="242"/>
      <c r="G905" s="243"/>
      <c r="H905" s="242"/>
      <c r="I905" s="242"/>
      <c r="J905" s="242"/>
      <c r="K905" s="242"/>
    </row>
    <row r="906" ht="37.5" customHeight="1">
      <c r="A906" s="242"/>
      <c r="B906" s="243"/>
      <c r="C906" s="242"/>
      <c r="D906" s="242"/>
      <c r="E906" s="242"/>
      <c r="F906" s="242"/>
      <c r="G906" s="243"/>
      <c r="H906" s="242"/>
      <c r="I906" s="242"/>
      <c r="J906" s="242"/>
      <c r="K906" s="242"/>
    </row>
    <row r="907" ht="37.5" customHeight="1">
      <c r="A907" s="242"/>
      <c r="B907" s="243"/>
      <c r="C907" s="242"/>
      <c r="D907" s="242"/>
      <c r="E907" s="242"/>
      <c r="F907" s="242"/>
      <c r="G907" s="243"/>
      <c r="H907" s="242"/>
      <c r="I907" s="242"/>
      <c r="J907" s="242"/>
      <c r="K907" s="242"/>
    </row>
    <row r="908" ht="37.5" customHeight="1">
      <c r="A908" s="242"/>
      <c r="B908" s="243"/>
      <c r="C908" s="242"/>
      <c r="D908" s="242"/>
      <c r="E908" s="242"/>
      <c r="F908" s="242"/>
      <c r="G908" s="243"/>
      <c r="H908" s="242"/>
      <c r="I908" s="242"/>
      <c r="J908" s="242"/>
      <c r="K908" s="242"/>
    </row>
    <row r="909" ht="37.5" customHeight="1">
      <c r="A909" s="242"/>
      <c r="B909" s="243"/>
      <c r="C909" s="242"/>
      <c r="D909" s="242"/>
      <c r="E909" s="242"/>
      <c r="F909" s="242"/>
      <c r="G909" s="243"/>
      <c r="H909" s="242"/>
      <c r="I909" s="242"/>
      <c r="J909" s="242"/>
      <c r="K909" s="242"/>
    </row>
    <row r="910" ht="37.5" customHeight="1">
      <c r="A910" s="242"/>
      <c r="B910" s="243"/>
      <c r="C910" s="242"/>
      <c r="D910" s="242"/>
      <c r="E910" s="242"/>
      <c r="F910" s="242"/>
      <c r="G910" s="243"/>
      <c r="H910" s="242"/>
      <c r="I910" s="242"/>
      <c r="J910" s="242"/>
      <c r="K910" s="242"/>
    </row>
    <row r="911" ht="37.5" customHeight="1">
      <c r="A911" s="242"/>
      <c r="B911" s="243"/>
      <c r="C911" s="242"/>
      <c r="D911" s="242"/>
      <c r="E911" s="242"/>
      <c r="F911" s="242"/>
      <c r="G911" s="243"/>
      <c r="H911" s="242"/>
      <c r="I911" s="242"/>
      <c r="J911" s="242"/>
      <c r="K911" s="242"/>
    </row>
    <row r="912" ht="37.5" customHeight="1">
      <c r="A912" s="242"/>
      <c r="B912" s="243"/>
      <c r="C912" s="242"/>
      <c r="D912" s="242"/>
      <c r="E912" s="242"/>
      <c r="F912" s="242"/>
      <c r="G912" s="243"/>
      <c r="H912" s="242"/>
      <c r="I912" s="242"/>
      <c r="J912" s="242"/>
      <c r="K912" s="242"/>
    </row>
    <row r="913" ht="37.5" customHeight="1">
      <c r="A913" s="242"/>
      <c r="B913" s="243"/>
      <c r="C913" s="242"/>
      <c r="D913" s="242"/>
      <c r="E913" s="242"/>
      <c r="F913" s="242"/>
      <c r="G913" s="243"/>
      <c r="H913" s="242"/>
      <c r="I913" s="242"/>
      <c r="J913" s="242"/>
      <c r="K913" s="242"/>
    </row>
    <row r="914" ht="37.5" customHeight="1">
      <c r="A914" s="242"/>
      <c r="B914" s="243"/>
      <c r="C914" s="242"/>
      <c r="D914" s="242"/>
      <c r="E914" s="242"/>
      <c r="F914" s="242"/>
      <c r="G914" s="243"/>
      <c r="H914" s="242"/>
      <c r="I914" s="242"/>
      <c r="J914" s="242"/>
      <c r="K914" s="242"/>
    </row>
    <row r="915" ht="37.5" customHeight="1">
      <c r="A915" s="242"/>
      <c r="B915" s="243"/>
      <c r="C915" s="242"/>
      <c r="D915" s="242"/>
      <c r="E915" s="242"/>
      <c r="F915" s="242"/>
      <c r="G915" s="243"/>
      <c r="H915" s="242"/>
      <c r="I915" s="242"/>
      <c r="J915" s="242"/>
      <c r="K915" s="242"/>
    </row>
    <row r="916" ht="37.5" customHeight="1">
      <c r="A916" s="242"/>
      <c r="B916" s="243"/>
      <c r="C916" s="242"/>
      <c r="D916" s="242"/>
      <c r="E916" s="242"/>
      <c r="F916" s="242"/>
      <c r="G916" s="243"/>
      <c r="H916" s="242"/>
      <c r="I916" s="242"/>
      <c r="J916" s="242"/>
      <c r="K916" s="242"/>
    </row>
    <row r="917" ht="37.5" customHeight="1">
      <c r="A917" s="242"/>
      <c r="B917" s="243"/>
      <c r="C917" s="242"/>
      <c r="D917" s="242"/>
      <c r="E917" s="242"/>
      <c r="F917" s="242"/>
      <c r="G917" s="243"/>
      <c r="H917" s="242"/>
      <c r="I917" s="242"/>
      <c r="J917" s="242"/>
      <c r="K917" s="242"/>
    </row>
    <row r="918" ht="37.5" customHeight="1">
      <c r="A918" s="242"/>
      <c r="B918" s="243"/>
      <c r="C918" s="242"/>
      <c r="D918" s="242"/>
      <c r="E918" s="242"/>
      <c r="F918" s="242"/>
      <c r="G918" s="243"/>
      <c r="H918" s="242"/>
      <c r="I918" s="242"/>
      <c r="J918" s="242"/>
      <c r="K918" s="242"/>
    </row>
    <row r="919" ht="37.5" customHeight="1">
      <c r="A919" s="242"/>
      <c r="B919" s="243"/>
      <c r="C919" s="242"/>
      <c r="D919" s="242"/>
      <c r="E919" s="242"/>
      <c r="F919" s="242"/>
      <c r="G919" s="243"/>
      <c r="H919" s="242"/>
      <c r="I919" s="242"/>
      <c r="J919" s="242"/>
      <c r="K919" s="242"/>
    </row>
    <row r="920" ht="37.5" customHeight="1">
      <c r="A920" s="242"/>
      <c r="B920" s="243"/>
      <c r="C920" s="242"/>
      <c r="D920" s="242"/>
      <c r="E920" s="242"/>
      <c r="F920" s="242"/>
      <c r="G920" s="243"/>
      <c r="H920" s="242"/>
      <c r="I920" s="242"/>
      <c r="J920" s="242"/>
      <c r="K920" s="242"/>
    </row>
    <row r="921" ht="37.5" customHeight="1">
      <c r="A921" s="242"/>
      <c r="B921" s="243"/>
      <c r="C921" s="242"/>
      <c r="D921" s="242"/>
      <c r="E921" s="242"/>
      <c r="F921" s="242"/>
      <c r="G921" s="243"/>
      <c r="H921" s="242"/>
      <c r="I921" s="242"/>
      <c r="J921" s="242"/>
      <c r="K921" s="242"/>
    </row>
    <row r="922" ht="37.5" customHeight="1">
      <c r="A922" s="242"/>
      <c r="B922" s="243"/>
      <c r="C922" s="242"/>
      <c r="D922" s="242"/>
      <c r="E922" s="242"/>
      <c r="F922" s="242"/>
      <c r="G922" s="243"/>
      <c r="H922" s="242"/>
      <c r="I922" s="242"/>
      <c r="J922" s="242"/>
      <c r="K922" s="242"/>
    </row>
    <row r="923" ht="37.5" customHeight="1">
      <c r="A923" s="242"/>
      <c r="B923" s="243"/>
      <c r="C923" s="242"/>
      <c r="D923" s="242"/>
      <c r="E923" s="242"/>
      <c r="F923" s="242"/>
      <c r="G923" s="243"/>
      <c r="H923" s="242"/>
      <c r="I923" s="242"/>
      <c r="J923" s="242"/>
      <c r="K923" s="242"/>
    </row>
    <row r="924" ht="37.5" customHeight="1">
      <c r="A924" s="242"/>
      <c r="B924" s="243"/>
      <c r="C924" s="242"/>
      <c r="D924" s="242"/>
      <c r="E924" s="242"/>
      <c r="F924" s="242"/>
      <c r="G924" s="243"/>
      <c r="H924" s="242"/>
      <c r="I924" s="242"/>
      <c r="J924" s="242"/>
      <c r="K924" s="242"/>
    </row>
    <row r="925" ht="37.5" customHeight="1">
      <c r="A925" s="242"/>
      <c r="B925" s="243"/>
      <c r="C925" s="242"/>
      <c r="D925" s="242"/>
      <c r="E925" s="242"/>
      <c r="F925" s="242"/>
      <c r="G925" s="243"/>
      <c r="H925" s="242"/>
      <c r="I925" s="242"/>
      <c r="J925" s="242"/>
      <c r="K925" s="242"/>
    </row>
    <row r="926" ht="37.5" customHeight="1">
      <c r="A926" s="242"/>
      <c r="B926" s="243"/>
      <c r="C926" s="242"/>
      <c r="D926" s="242"/>
      <c r="E926" s="242"/>
      <c r="F926" s="242"/>
      <c r="G926" s="243"/>
      <c r="H926" s="242"/>
      <c r="I926" s="242"/>
      <c r="J926" s="242"/>
      <c r="K926" s="242"/>
    </row>
    <row r="927" ht="37.5" customHeight="1">
      <c r="A927" s="242"/>
      <c r="B927" s="243"/>
      <c r="C927" s="242"/>
      <c r="D927" s="242"/>
      <c r="E927" s="242"/>
      <c r="F927" s="242"/>
      <c r="G927" s="243"/>
      <c r="H927" s="242"/>
      <c r="I927" s="242"/>
      <c r="J927" s="242"/>
      <c r="K927" s="242"/>
    </row>
    <row r="928" ht="37.5" customHeight="1">
      <c r="A928" s="242"/>
      <c r="B928" s="243"/>
      <c r="C928" s="242"/>
      <c r="D928" s="242"/>
      <c r="E928" s="242"/>
      <c r="F928" s="242"/>
      <c r="G928" s="243"/>
      <c r="H928" s="242"/>
      <c r="I928" s="242"/>
      <c r="J928" s="242"/>
      <c r="K928" s="242"/>
    </row>
    <row r="929" ht="37.5" customHeight="1">
      <c r="A929" s="242"/>
      <c r="B929" s="243"/>
      <c r="C929" s="242"/>
      <c r="D929" s="242"/>
      <c r="E929" s="242"/>
      <c r="F929" s="242"/>
      <c r="G929" s="243"/>
      <c r="H929" s="242"/>
      <c r="I929" s="242"/>
      <c r="J929" s="242"/>
      <c r="K929" s="242"/>
    </row>
    <row r="930" ht="37.5" customHeight="1">
      <c r="A930" s="242"/>
      <c r="B930" s="243"/>
      <c r="C930" s="242"/>
      <c r="D930" s="242"/>
      <c r="E930" s="242"/>
      <c r="F930" s="242"/>
      <c r="G930" s="243"/>
      <c r="H930" s="242"/>
      <c r="I930" s="242"/>
      <c r="J930" s="242"/>
      <c r="K930" s="242"/>
    </row>
    <row r="931" ht="37.5" customHeight="1">
      <c r="A931" s="242"/>
      <c r="B931" s="243"/>
      <c r="C931" s="242"/>
      <c r="D931" s="242"/>
      <c r="E931" s="242"/>
      <c r="F931" s="242"/>
      <c r="G931" s="243"/>
      <c r="H931" s="242"/>
      <c r="I931" s="242"/>
      <c r="J931" s="242"/>
      <c r="K931" s="242"/>
    </row>
    <row r="932" ht="37.5" customHeight="1">
      <c r="A932" s="242"/>
      <c r="B932" s="243"/>
      <c r="C932" s="242"/>
      <c r="D932" s="242"/>
      <c r="E932" s="242"/>
      <c r="F932" s="242"/>
      <c r="G932" s="243"/>
      <c r="H932" s="242"/>
      <c r="I932" s="242"/>
      <c r="J932" s="242"/>
      <c r="K932" s="242"/>
    </row>
    <row r="933" ht="37.5" customHeight="1">
      <c r="A933" s="242"/>
      <c r="B933" s="243"/>
      <c r="C933" s="242"/>
      <c r="D933" s="242"/>
      <c r="E933" s="242"/>
      <c r="F933" s="242"/>
      <c r="G933" s="243"/>
      <c r="H933" s="242"/>
      <c r="I933" s="242"/>
      <c r="J933" s="242"/>
      <c r="K933" s="242"/>
    </row>
    <row r="934" ht="37.5" customHeight="1">
      <c r="A934" s="242"/>
      <c r="B934" s="243"/>
      <c r="C934" s="242"/>
      <c r="D934" s="242"/>
      <c r="E934" s="242"/>
      <c r="F934" s="242"/>
      <c r="G934" s="243"/>
      <c r="H934" s="242"/>
      <c r="I934" s="242"/>
      <c r="J934" s="242"/>
      <c r="K934" s="242"/>
    </row>
    <row r="935" ht="37.5" customHeight="1">
      <c r="A935" s="242"/>
      <c r="B935" s="243"/>
      <c r="C935" s="242"/>
      <c r="D935" s="242"/>
      <c r="E935" s="242"/>
      <c r="F935" s="242"/>
      <c r="G935" s="243"/>
      <c r="H935" s="242"/>
      <c r="I935" s="242"/>
      <c r="J935" s="242"/>
      <c r="K935" s="242"/>
    </row>
    <row r="936" ht="37.5" customHeight="1">
      <c r="A936" s="242"/>
      <c r="B936" s="243"/>
      <c r="C936" s="242"/>
      <c r="D936" s="242"/>
      <c r="E936" s="242"/>
      <c r="F936" s="242"/>
      <c r="G936" s="243"/>
      <c r="H936" s="242"/>
      <c r="I936" s="242"/>
      <c r="J936" s="242"/>
      <c r="K936" s="242"/>
    </row>
    <row r="937" ht="37.5" customHeight="1">
      <c r="A937" s="242"/>
      <c r="B937" s="243"/>
      <c r="C937" s="242"/>
      <c r="D937" s="242"/>
      <c r="E937" s="242"/>
      <c r="F937" s="242"/>
      <c r="G937" s="243"/>
      <c r="H937" s="242"/>
      <c r="I937" s="242"/>
      <c r="J937" s="242"/>
      <c r="K937" s="242"/>
    </row>
    <row r="938" ht="37.5" customHeight="1">
      <c r="A938" s="242"/>
      <c r="B938" s="243"/>
      <c r="C938" s="242"/>
      <c r="D938" s="242"/>
      <c r="E938" s="242"/>
      <c r="F938" s="242"/>
      <c r="G938" s="243"/>
      <c r="H938" s="242"/>
      <c r="I938" s="242"/>
      <c r="J938" s="242"/>
      <c r="K938" s="242"/>
    </row>
    <row r="939" ht="37.5" customHeight="1">
      <c r="A939" s="242"/>
      <c r="B939" s="243"/>
      <c r="C939" s="242"/>
      <c r="D939" s="242"/>
      <c r="E939" s="242"/>
      <c r="F939" s="242"/>
      <c r="G939" s="243"/>
      <c r="H939" s="242"/>
      <c r="I939" s="242"/>
      <c r="J939" s="242"/>
      <c r="K939" s="242"/>
    </row>
    <row r="940" ht="37.5" customHeight="1">
      <c r="A940" s="242"/>
      <c r="B940" s="243"/>
      <c r="C940" s="242"/>
      <c r="D940" s="242"/>
      <c r="E940" s="242"/>
      <c r="F940" s="242"/>
      <c r="G940" s="243"/>
      <c r="H940" s="242"/>
      <c r="I940" s="242"/>
      <c r="J940" s="242"/>
      <c r="K940" s="242"/>
    </row>
    <row r="941" ht="37.5" customHeight="1">
      <c r="A941" s="242"/>
      <c r="B941" s="243"/>
      <c r="C941" s="242"/>
      <c r="D941" s="242"/>
      <c r="E941" s="242"/>
      <c r="F941" s="242"/>
      <c r="G941" s="243"/>
      <c r="H941" s="242"/>
      <c r="I941" s="242"/>
      <c r="J941" s="242"/>
      <c r="K941" s="242"/>
    </row>
    <row r="942" ht="37.5" customHeight="1">
      <c r="A942" s="242"/>
      <c r="B942" s="243"/>
      <c r="C942" s="242"/>
      <c r="D942" s="242"/>
      <c r="E942" s="242"/>
      <c r="F942" s="242"/>
      <c r="G942" s="243"/>
      <c r="H942" s="242"/>
      <c r="I942" s="242"/>
      <c r="J942" s="242"/>
      <c r="K942" s="242"/>
    </row>
    <row r="943" ht="37.5" customHeight="1">
      <c r="A943" s="242"/>
      <c r="B943" s="243"/>
      <c r="C943" s="242"/>
      <c r="D943" s="242"/>
      <c r="E943" s="242"/>
      <c r="F943" s="242"/>
      <c r="G943" s="243"/>
      <c r="H943" s="242"/>
      <c r="I943" s="242"/>
      <c r="J943" s="242"/>
      <c r="K943" s="242"/>
    </row>
    <row r="944" ht="37.5" customHeight="1">
      <c r="A944" s="242"/>
      <c r="B944" s="243"/>
      <c r="C944" s="242"/>
      <c r="D944" s="242"/>
      <c r="E944" s="242"/>
      <c r="F944" s="242"/>
      <c r="G944" s="243"/>
      <c r="H944" s="242"/>
      <c r="I944" s="242"/>
      <c r="J944" s="242"/>
      <c r="K944" s="242"/>
    </row>
    <row r="945" ht="37.5" customHeight="1">
      <c r="A945" s="242"/>
      <c r="B945" s="243"/>
      <c r="C945" s="242"/>
      <c r="D945" s="242"/>
      <c r="E945" s="242"/>
      <c r="F945" s="242"/>
      <c r="G945" s="243"/>
      <c r="H945" s="242"/>
      <c r="I945" s="242"/>
      <c r="J945" s="242"/>
      <c r="K945" s="242"/>
    </row>
    <row r="946" ht="37.5" customHeight="1">
      <c r="A946" s="242"/>
      <c r="B946" s="243"/>
      <c r="C946" s="242"/>
      <c r="D946" s="242"/>
      <c r="E946" s="242"/>
      <c r="F946" s="242"/>
      <c r="G946" s="243"/>
      <c r="H946" s="242"/>
      <c r="I946" s="242"/>
      <c r="J946" s="242"/>
      <c r="K946" s="242"/>
    </row>
    <row r="947" ht="37.5" customHeight="1">
      <c r="A947" s="242"/>
      <c r="B947" s="243"/>
      <c r="C947" s="242"/>
      <c r="D947" s="242"/>
      <c r="E947" s="242"/>
      <c r="F947" s="242"/>
      <c r="G947" s="243"/>
      <c r="H947" s="242"/>
      <c r="I947" s="242"/>
      <c r="J947" s="242"/>
      <c r="K947" s="242"/>
    </row>
    <row r="948" ht="37.5" customHeight="1">
      <c r="A948" s="242"/>
      <c r="B948" s="243"/>
      <c r="C948" s="242"/>
      <c r="D948" s="242"/>
      <c r="E948" s="242"/>
      <c r="F948" s="242"/>
      <c r="G948" s="243"/>
      <c r="H948" s="242"/>
      <c r="I948" s="242"/>
      <c r="J948" s="242"/>
      <c r="K948" s="242"/>
    </row>
    <row r="949" ht="37.5" customHeight="1">
      <c r="A949" s="242"/>
      <c r="B949" s="243"/>
      <c r="C949" s="242"/>
      <c r="D949" s="242"/>
      <c r="E949" s="242"/>
      <c r="F949" s="242"/>
      <c r="G949" s="243"/>
      <c r="H949" s="242"/>
      <c r="I949" s="242"/>
      <c r="J949" s="242"/>
      <c r="K949" s="242"/>
    </row>
    <row r="950" ht="37.5" customHeight="1">
      <c r="A950" s="242"/>
      <c r="B950" s="243"/>
      <c r="C950" s="242"/>
      <c r="D950" s="242"/>
      <c r="E950" s="242"/>
      <c r="F950" s="242"/>
      <c r="G950" s="243"/>
      <c r="H950" s="242"/>
      <c r="I950" s="242"/>
      <c r="J950" s="242"/>
      <c r="K950" s="242"/>
    </row>
    <row r="951" ht="37.5" customHeight="1">
      <c r="A951" s="242"/>
      <c r="B951" s="243"/>
      <c r="C951" s="242"/>
      <c r="D951" s="242"/>
      <c r="E951" s="242"/>
      <c r="F951" s="242"/>
      <c r="G951" s="243"/>
      <c r="H951" s="242"/>
      <c r="I951" s="242"/>
      <c r="J951" s="242"/>
      <c r="K951" s="242"/>
    </row>
    <row r="952" ht="37.5" customHeight="1">
      <c r="A952" s="242"/>
      <c r="B952" s="243"/>
      <c r="C952" s="242"/>
      <c r="D952" s="242"/>
      <c r="E952" s="242"/>
      <c r="F952" s="242"/>
      <c r="G952" s="243"/>
      <c r="H952" s="242"/>
      <c r="I952" s="242"/>
      <c r="J952" s="242"/>
      <c r="K952" s="242"/>
    </row>
    <row r="953" ht="37.5" customHeight="1">
      <c r="A953" s="242"/>
      <c r="B953" s="243"/>
      <c r="C953" s="242"/>
      <c r="D953" s="242"/>
      <c r="E953" s="242"/>
      <c r="F953" s="242"/>
      <c r="G953" s="243"/>
      <c r="H953" s="242"/>
      <c r="I953" s="242"/>
      <c r="J953" s="242"/>
      <c r="K953" s="242"/>
    </row>
    <row r="954" ht="37.5" customHeight="1">
      <c r="A954" s="242"/>
      <c r="B954" s="243"/>
      <c r="C954" s="242"/>
      <c r="D954" s="242"/>
      <c r="E954" s="242"/>
      <c r="F954" s="242"/>
      <c r="G954" s="243"/>
      <c r="H954" s="242"/>
      <c r="I954" s="242"/>
      <c r="J954" s="242"/>
      <c r="K954" s="242"/>
    </row>
    <row r="955" ht="37.5" customHeight="1">
      <c r="A955" s="242"/>
      <c r="B955" s="243"/>
      <c r="C955" s="242"/>
      <c r="D955" s="242"/>
      <c r="E955" s="242"/>
      <c r="F955" s="242"/>
      <c r="G955" s="243"/>
      <c r="H955" s="242"/>
      <c r="I955" s="242"/>
      <c r="J955" s="242"/>
      <c r="K955" s="242"/>
    </row>
    <row r="956" ht="37.5" customHeight="1">
      <c r="A956" s="242"/>
      <c r="B956" s="243"/>
      <c r="C956" s="242"/>
      <c r="D956" s="242"/>
      <c r="E956" s="242"/>
      <c r="F956" s="242"/>
      <c r="G956" s="243"/>
      <c r="H956" s="242"/>
      <c r="I956" s="242"/>
      <c r="J956" s="242"/>
      <c r="K956" s="242"/>
    </row>
    <row r="957" ht="37.5" customHeight="1">
      <c r="A957" s="242"/>
      <c r="B957" s="243"/>
      <c r="C957" s="242"/>
      <c r="D957" s="242"/>
      <c r="E957" s="242"/>
      <c r="F957" s="242"/>
      <c r="G957" s="243"/>
      <c r="H957" s="242"/>
      <c r="I957" s="242"/>
      <c r="J957" s="242"/>
      <c r="K957" s="242"/>
    </row>
    <row r="958" ht="37.5" customHeight="1">
      <c r="A958" s="242"/>
      <c r="B958" s="243"/>
      <c r="C958" s="242"/>
      <c r="D958" s="242"/>
      <c r="E958" s="242"/>
      <c r="F958" s="242"/>
      <c r="G958" s="243"/>
      <c r="H958" s="242"/>
      <c r="I958" s="242"/>
      <c r="J958" s="242"/>
      <c r="K958" s="242"/>
    </row>
    <row r="959" ht="37.5" customHeight="1">
      <c r="A959" s="242"/>
      <c r="B959" s="243"/>
      <c r="C959" s="242"/>
      <c r="D959" s="242"/>
      <c r="E959" s="242"/>
      <c r="F959" s="242"/>
      <c r="G959" s="243"/>
      <c r="H959" s="242"/>
      <c r="I959" s="242"/>
      <c r="J959" s="242"/>
      <c r="K959" s="242"/>
    </row>
    <row r="960" ht="37.5" customHeight="1">
      <c r="A960" s="242"/>
      <c r="B960" s="243"/>
      <c r="C960" s="242"/>
      <c r="D960" s="242"/>
      <c r="E960" s="242"/>
      <c r="F960" s="242"/>
      <c r="G960" s="243"/>
      <c r="H960" s="242"/>
      <c r="I960" s="242"/>
      <c r="J960" s="242"/>
      <c r="K960" s="242"/>
    </row>
    <row r="961" ht="37.5" customHeight="1">
      <c r="A961" s="242"/>
      <c r="B961" s="243"/>
      <c r="C961" s="242"/>
      <c r="D961" s="242"/>
      <c r="E961" s="242"/>
      <c r="F961" s="242"/>
      <c r="G961" s="243"/>
      <c r="H961" s="242"/>
      <c r="I961" s="242"/>
      <c r="J961" s="242"/>
      <c r="K961" s="242"/>
    </row>
    <row r="962" ht="37.5" customHeight="1">
      <c r="A962" s="242"/>
      <c r="B962" s="243"/>
      <c r="C962" s="242"/>
      <c r="D962" s="242"/>
      <c r="E962" s="242"/>
      <c r="F962" s="242"/>
      <c r="G962" s="243"/>
      <c r="H962" s="242"/>
      <c r="I962" s="242"/>
      <c r="J962" s="242"/>
      <c r="K962" s="242"/>
    </row>
    <row r="963" ht="37.5" customHeight="1">
      <c r="A963" s="242"/>
      <c r="B963" s="243"/>
      <c r="C963" s="242"/>
      <c r="D963" s="242"/>
      <c r="E963" s="242"/>
      <c r="F963" s="242"/>
      <c r="G963" s="243"/>
      <c r="H963" s="242"/>
      <c r="I963" s="242"/>
      <c r="J963" s="242"/>
      <c r="K963" s="242"/>
    </row>
    <row r="964" ht="37.5" customHeight="1">
      <c r="A964" s="242"/>
      <c r="B964" s="243"/>
      <c r="C964" s="242"/>
      <c r="D964" s="242"/>
      <c r="E964" s="242"/>
      <c r="F964" s="242"/>
      <c r="G964" s="243"/>
      <c r="H964" s="242"/>
      <c r="I964" s="242"/>
      <c r="J964" s="242"/>
      <c r="K964" s="242"/>
    </row>
  </sheetData>
  <mergeCells count="148">
    <mergeCell ref="E2:H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E20:H22"/>
    <mergeCell ref="I18:J18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E39:H41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E57:H59"/>
    <mergeCell ref="I61:J61"/>
    <mergeCell ref="I62:J62"/>
    <mergeCell ref="I63:J63"/>
    <mergeCell ref="I64:J64"/>
    <mergeCell ref="I65:J65"/>
    <mergeCell ref="I66:J66"/>
    <mergeCell ref="I67:J67"/>
    <mergeCell ref="I121:J121"/>
    <mergeCell ref="I122:J122"/>
    <mergeCell ref="I123:J123"/>
    <mergeCell ref="I124:J124"/>
    <mergeCell ref="I125:J125"/>
    <mergeCell ref="I126:J126"/>
    <mergeCell ref="I127:J127"/>
    <mergeCell ref="I139:J139"/>
    <mergeCell ref="I140:J140"/>
    <mergeCell ref="I141:J141"/>
    <mergeCell ref="I144:J144"/>
    <mergeCell ref="I145:J145"/>
    <mergeCell ref="I146:J146"/>
    <mergeCell ref="I147:J147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E168:H170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184:J184"/>
    <mergeCell ref="E186:H188"/>
    <mergeCell ref="I190:J190"/>
    <mergeCell ref="I191:J191"/>
    <mergeCell ref="I192:J192"/>
    <mergeCell ref="I193:J193"/>
    <mergeCell ref="I194:J194"/>
    <mergeCell ref="I68:J68"/>
    <mergeCell ref="I69:J69"/>
    <mergeCell ref="I70:J70"/>
    <mergeCell ref="I71:J71"/>
    <mergeCell ref="I72:J72"/>
    <mergeCell ref="I74:J74"/>
    <mergeCell ref="E76:H78"/>
    <mergeCell ref="I80:J80"/>
    <mergeCell ref="I81:J81"/>
    <mergeCell ref="I86:J86"/>
    <mergeCell ref="I87:J87"/>
    <mergeCell ref="I88:J88"/>
    <mergeCell ref="I89:J89"/>
    <mergeCell ref="I90:J90"/>
    <mergeCell ref="I91:J91"/>
    <mergeCell ref="I92:J92"/>
    <mergeCell ref="E94:H96"/>
    <mergeCell ref="I98:J98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E112:H114"/>
    <mergeCell ref="I116:J116"/>
    <mergeCell ref="I117:J117"/>
    <mergeCell ref="I118:J118"/>
    <mergeCell ref="I119:J119"/>
    <mergeCell ref="I120:J120"/>
    <mergeCell ref="I128:J128"/>
    <mergeCell ref="E130:H132"/>
    <mergeCell ref="I134:J134"/>
    <mergeCell ref="I135:J135"/>
    <mergeCell ref="I136:J136"/>
    <mergeCell ref="I137:J137"/>
    <mergeCell ref="I138:J138"/>
    <mergeCell ref="I148:J148"/>
    <mergeCell ref="E150:H152"/>
    <mergeCell ref="I154:J154"/>
    <mergeCell ref="I155:J155"/>
    <mergeCell ref="I156:J156"/>
    <mergeCell ref="I157:J157"/>
    <mergeCell ref="I158:J158"/>
  </mergeCells>
  <printOptions gridLines="1" horizontalCentered="1"/>
  <pageMargins bottom="1.9059600085564987" footer="0.0" header="0.0" left="0.0" right="0.0" top="0.19664666754948001"/>
  <pageSetup fitToHeight="0" paperSize="9" cellComments="atEnd" orientation="landscape" pageOrder="overThenDown"/>
  <drawing r:id="rId1"/>
</worksheet>
</file>